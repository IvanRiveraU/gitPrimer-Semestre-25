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conesa\"/>
    </mc:Choice>
  </mc:AlternateContent>
  <xr:revisionPtr revIDLastSave="0" documentId="13_ncr:1_{0182A0F9-1D89-48D5-AF95-DD400BEE2FFB}" xr6:coauthVersionLast="47" xr6:coauthVersionMax="47" xr10:uidLastSave="{00000000-0000-0000-0000-000000000000}"/>
  <bookViews>
    <workbookView xWindow="-120" yWindow="-120" windowWidth="20730" windowHeight="11160" xr2:uid="{C63B5667-7F2F-4DB2-A4D1-1DF32550B9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1" l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P35" i="1" s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N5" i="1"/>
  <c r="O5" i="1"/>
  <c r="M5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6" i="1"/>
  <c r="J6" i="1"/>
  <c r="K6" i="1"/>
  <c r="I7" i="1"/>
  <c r="J7" i="1"/>
  <c r="K7" i="1"/>
  <c r="J5" i="1"/>
  <c r="K5" i="1"/>
  <c r="I5" i="1"/>
  <c r="H8" i="1"/>
  <c r="H26" i="1"/>
  <c r="F8" i="1"/>
  <c r="F11" i="1"/>
  <c r="H11" i="1" s="1"/>
  <c r="F14" i="1"/>
  <c r="H14" i="1" s="1"/>
  <c r="F17" i="1"/>
  <c r="H17" i="1" s="1"/>
  <c r="F20" i="1"/>
  <c r="H20" i="1" s="1"/>
  <c r="F23" i="1"/>
  <c r="H23" i="1" s="1"/>
  <c r="F26" i="1"/>
  <c r="F29" i="1"/>
  <c r="H29" i="1" s="1"/>
  <c r="F32" i="1"/>
  <c r="H32" i="1" s="1"/>
  <c r="F35" i="1"/>
  <c r="H35" i="1" s="1"/>
  <c r="F38" i="1"/>
  <c r="H38" i="1" s="1"/>
  <c r="F41" i="1"/>
  <c r="H41" i="1" s="1"/>
  <c r="F44" i="1"/>
  <c r="H44" i="1" s="1"/>
  <c r="F47" i="1"/>
  <c r="H47" i="1" s="1"/>
  <c r="F5" i="1"/>
  <c r="H5" i="1" s="1"/>
  <c r="L8" i="1" l="1"/>
  <c r="P47" i="1"/>
  <c r="P23" i="1"/>
  <c r="P11" i="1"/>
  <c r="L41" i="1"/>
  <c r="L38" i="1"/>
  <c r="L29" i="1"/>
  <c r="L26" i="1"/>
  <c r="L17" i="1"/>
  <c r="L14" i="1"/>
  <c r="P5" i="1"/>
  <c r="P44" i="1"/>
  <c r="P32" i="1"/>
  <c r="P20" i="1"/>
  <c r="P8" i="1"/>
  <c r="L32" i="1"/>
  <c r="L20" i="1"/>
  <c r="L47" i="1"/>
  <c r="L35" i="1"/>
  <c r="L23" i="1"/>
  <c r="L11" i="1"/>
  <c r="P41" i="1"/>
  <c r="P29" i="1"/>
  <c r="P17" i="1"/>
  <c r="L44" i="1"/>
  <c r="L5" i="1"/>
  <c r="P38" i="1"/>
  <c r="P26" i="1"/>
  <c r="P14" i="1"/>
  <c r="H50" i="1"/>
  <c r="P50" i="1" l="1"/>
  <c r="L50" i="1"/>
</calcChain>
</file>

<file path=xl/sharedStrings.xml><?xml version="1.0" encoding="utf-8"?>
<sst xmlns="http://schemas.openxmlformats.org/spreadsheetml/2006/main" count="26" uniqueCount="22">
  <si>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</si>
  <si>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</si>
  <si>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</si>
  <si>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</si>
  <si>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</si>
  <si>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</si>
  <si>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</si>
  <si>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</si>
  <si>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</si>
  <si>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</si>
  <si>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</si>
  <si>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</si>
  <si>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</si>
  <si>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</si>
  <si>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Ñ</t>
  </si>
  <si>
    <t>Volumen Corte(m3)</t>
  </si>
  <si>
    <t>Area (m2)</t>
  </si>
  <si>
    <t>Promedio Alturas (m)</t>
  </si>
  <si>
    <t xml:space="preserve">TOTAL </t>
  </si>
  <si>
    <t>Altura sin capa Vegetal</t>
  </si>
  <si>
    <t>Altura con capa Vegetal</t>
  </si>
  <si>
    <t xml:space="preserve">Altura sin capa vegetal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</si>
</sst>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6" xfId="0" applyBorder="1"/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0" fontId="0" fillId="0" borderId="8" xfId="0" applyFill="1" applyBorder="1"/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7" xfId="0" applyBorder="1"/>
    <xf numFmtId="0" fontId="0" fillId="0" borderId="15" xfId="0" applyBorder="1"/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0" fillId="0" borderId="20" xfId="0" applyBorder="1"/>
    <xf numFmtId="0" fontId="0" fillId="0" borderId="21" xfId="0" applyBorder="1"/>
    <xf numFmtId="0" fontId="0" fillId="0" borderId="27" xfId="0" applyBorder="1"/>
    <xf numFmtId="0" fontId="0" fillId="0" borderId="22" xfId="0" applyBorder="1"/>
    <xf numFmtId="0" fontId="1" fillId="0" borderId="23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2" fontId="1" fillId="2" borderId="25" xfId="0" applyNumberFormat="1" applyFont="1" applyFill="1" applyBorder="1" applyAlignment="1">
      <alignment horizontal="center" vertical="center"/>
    </xf>
    <xf numFmtId="2" fontId="1" fillId="2" borderId="26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28" xfId="0" applyNumberFormat="1" applyFont="1" applyFill="1" applyBorder="1" applyAlignment="1">
      <alignment horizontal="center" vertical="center"/>
    </xf>
    <xf numFmtId="2" fontId="1" fillId="2" borderId="29" xfId="0" applyNumberFormat="1" applyFont="1" applyFill="1" applyBorder="1" applyAlignment="1">
      <alignment horizontal="center" vertical="center"/>
    </xf>
    <xf numFmtId="2" fontId="1" fillId="2" borderId="28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5DF7-AA4B-4C00-B091-3CD5FE7855EC}">
  <dimension ref="B3:P67"/>
  <sheetViews>
    <sheetView tabSelected="1" zoomScale="85" zoomScaleNormal="85" workbookViewId="0">
      <selection activeCell="L8" sqref="L8:L10"/>
    </sheetView>
  </sheetViews>
  <sheetFormatPr baseColWidth="10" defaultRowHeight="15" x14ac:dyDescent="0.25"/>
  <cols>
    <col min="1" max="1" width="25.5703125" customWidth="1"/>
    <col min="6" max="6" width="26.28515625" style="2" customWidth="1"/>
    <col min="7" max="7" width="14.7109375" style="2" customWidth="1"/>
    <col min="8" max="8" width="24" style="2" customWidth="1"/>
    <col min="9" max="10" width="16.7109375" customWidth="1"/>
    <col min="12" max="12" width="25.7109375" customWidth="1"/>
    <col min="13" max="14" width="19.85546875" customWidth="1"/>
    <col min="16" max="16" width="26.85546875" customWidth="1"/>
  </cols>
  <sheetData>
    <row r="3" spans="2:16" ht="15.75" thickBot="1" x14ac:dyDescent="0.3"/>
    <row r="4" spans="2:16" ht="22.5" customHeight="1" thickBot="1" x14ac:dyDescent="0.3">
      <c r="B4" s="40"/>
      <c r="C4" s="55" t="s">
        <v>20</v>
      </c>
      <c r="D4" s="55"/>
      <c r="E4" s="55"/>
      <c r="F4" s="51" t="s">
        <v>17</v>
      </c>
      <c r="G4" s="51" t="s">
        <v>16</v>
      </c>
      <c r="H4" s="51" t="s">
        <v>15</v>
      </c>
      <c r="I4" s="52" t="s">
        <v>19</v>
      </c>
      <c r="J4" s="53"/>
      <c r="K4" s="50">
        <v>0.15</v>
      </c>
      <c r="L4" s="54" t="s">
        <v>15</v>
      </c>
      <c r="M4" s="49" t="s">
        <v>21</v>
      </c>
      <c r="N4" s="49"/>
      <c r="O4" s="50">
        <v>0.1</v>
      </c>
      <c r="P4" s="51" t="s">
        <v>15</v>
      </c>
    </row>
    <row r="5" spans="2:16" x14ac:dyDescent="0.25">
      <c r="B5" s="56" t="s">
        <v>0</v>
      </c>
      <c r="C5" s="6"/>
      <c r="D5" s="7">
        <v>0.25</v>
      </c>
      <c r="E5" s="7">
        <v>0.32</v>
      </c>
      <c r="F5" s="8">
        <f>AVERAGE(D5:E7)</f>
        <v>0.33500000000000002</v>
      </c>
      <c r="G5" s="8">
        <v>3075.5880000000002</v>
      </c>
      <c r="H5" s="24">
        <f>F5*G5</f>
        <v>1030.3219800000002</v>
      </c>
      <c r="I5" s="29">
        <f>MAX(0,C5-$K$4)</f>
        <v>0</v>
      </c>
      <c r="J5" s="6">
        <f t="shared" ref="J5:K5" si="0">MAX(0,D5-$K$4)</f>
        <v>0.1</v>
      </c>
      <c r="K5" s="6">
        <f t="shared" si="0"/>
        <v>0.17</v>
      </c>
      <c r="L5" s="59">
        <f>(AVERAGE(I5:K7)*G5)</f>
        <v>252.88168000000002</v>
      </c>
      <c r="M5" s="29">
        <f>MAX(0,C5-$O$4)</f>
        <v>0</v>
      </c>
      <c r="N5" s="6">
        <f t="shared" ref="N5:O5" si="1">MAX(0,D5-$O$4)</f>
        <v>0.15</v>
      </c>
      <c r="O5" s="6">
        <f t="shared" si="1"/>
        <v>0.22</v>
      </c>
      <c r="P5" s="9">
        <f>(AVERAGE(M5:O7)*G5)</f>
        <v>321.22808000000003</v>
      </c>
    </row>
    <row r="6" spans="2:16" x14ac:dyDescent="0.25">
      <c r="B6" s="57"/>
      <c r="C6" s="3"/>
      <c r="D6" s="4"/>
      <c r="E6" s="4"/>
      <c r="F6" s="5"/>
      <c r="G6" s="5"/>
      <c r="H6" s="25"/>
      <c r="I6" s="27">
        <f t="shared" ref="I6:I7" si="2">MAX(0,C6-$K$4)</f>
        <v>0</v>
      </c>
      <c r="J6" s="3">
        <f t="shared" ref="J6:J7" si="3">MAX(0,D6-$K$4)</f>
        <v>0</v>
      </c>
      <c r="K6" s="3">
        <f t="shared" ref="K6:K7" si="4">MAX(0,E6-$K$4)</f>
        <v>0</v>
      </c>
      <c r="L6" s="60"/>
      <c r="M6" s="27">
        <f t="shared" ref="M6:M49" si="5">MAX(0,C6-$O$4)</f>
        <v>0</v>
      </c>
      <c r="N6" s="3">
        <f t="shared" ref="N6:N49" si="6">MAX(0,D6-$O$4)</f>
        <v>0</v>
      </c>
      <c r="O6" s="3">
        <f t="shared" ref="O6:O49" si="7">MAX(0,E6-$O$4)</f>
        <v>0</v>
      </c>
      <c r="P6" s="10"/>
    </row>
    <row r="7" spans="2:16" ht="15.75" thickBot="1" x14ac:dyDescent="0.3">
      <c r="B7" s="58"/>
      <c r="C7" s="13"/>
      <c r="D7" s="14">
        <v>0.25</v>
      </c>
      <c r="E7" s="14">
        <v>0.52</v>
      </c>
      <c r="F7" s="15"/>
      <c r="G7" s="15"/>
      <c r="H7" s="26"/>
      <c r="I7" s="30">
        <f t="shared" si="2"/>
        <v>0</v>
      </c>
      <c r="J7" s="13">
        <f t="shared" si="3"/>
        <v>0.1</v>
      </c>
      <c r="K7" s="13">
        <f t="shared" si="4"/>
        <v>0.37</v>
      </c>
      <c r="L7" s="61"/>
      <c r="M7" s="30">
        <f t="shared" si="5"/>
        <v>0</v>
      </c>
      <c r="N7" s="13">
        <f t="shared" si="6"/>
        <v>0.15</v>
      </c>
      <c r="O7" s="13">
        <f t="shared" si="7"/>
        <v>0.42000000000000004</v>
      </c>
      <c r="P7" s="16"/>
    </row>
    <row r="8" spans="2:16" x14ac:dyDescent="0.25">
      <c r="B8" s="56" t="s">
        <v>1</v>
      </c>
      <c r="C8" s="6">
        <v>0.33</v>
      </c>
      <c r="D8" s="6"/>
      <c r="E8" s="6">
        <v>0.28999999999999998</v>
      </c>
      <c r="F8" s="8">
        <f>AVERAGE(C8:E10)</f>
        <v>0.7599999999999999</v>
      </c>
      <c r="G8" s="8">
        <v>3059.9760000000001</v>
      </c>
      <c r="H8" s="24">
        <f t="shared" ref="H8" si="8">F8*G8</f>
        <v>2325.5817599999996</v>
      </c>
      <c r="I8" s="29">
        <f t="shared" ref="I8:I49" si="9">MAX(0,C8-$K$4)</f>
        <v>0.18000000000000002</v>
      </c>
      <c r="J8" s="6">
        <f t="shared" ref="J8:J49" si="10">MAX(0,D8-$K$4)</f>
        <v>0</v>
      </c>
      <c r="K8" s="6">
        <f t="shared" ref="K8:K49" si="11">MAX(0,E8-$K$4)</f>
        <v>0.13999999999999999</v>
      </c>
      <c r="L8" s="59">
        <f t="shared" ref="L8" si="12">(AVERAGE(I8:K10)*G8)</f>
        <v>1451.7886133333336</v>
      </c>
      <c r="M8" s="29">
        <f t="shared" si="5"/>
        <v>0.23</v>
      </c>
      <c r="N8" s="6">
        <f t="shared" si="6"/>
        <v>0</v>
      </c>
      <c r="O8" s="6">
        <f t="shared" si="7"/>
        <v>0.18999999999999997</v>
      </c>
      <c r="P8" s="9">
        <f>(AVERAGE(M8:O10)*G8)</f>
        <v>1570.7876799999999</v>
      </c>
    </row>
    <row r="9" spans="2:16" x14ac:dyDescent="0.25">
      <c r="B9" s="57"/>
      <c r="C9" s="3">
        <v>0.51</v>
      </c>
      <c r="D9" s="3"/>
      <c r="E9" s="3">
        <v>0.97</v>
      </c>
      <c r="F9" s="5"/>
      <c r="G9" s="5"/>
      <c r="H9" s="25"/>
      <c r="I9" s="27">
        <f t="shared" si="9"/>
        <v>0.36</v>
      </c>
      <c r="J9" s="3">
        <f t="shared" si="10"/>
        <v>0</v>
      </c>
      <c r="K9" s="3">
        <f t="shared" si="11"/>
        <v>0.82</v>
      </c>
      <c r="L9" s="60"/>
      <c r="M9" s="27">
        <f t="shared" si="5"/>
        <v>0.41000000000000003</v>
      </c>
      <c r="N9" s="3">
        <f t="shared" si="6"/>
        <v>0</v>
      </c>
      <c r="O9" s="3">
        <f t="shared" si="7"/>
        <v>0.87</v>
      </c>
      <c r="P9" s="10"/>
    </row>
    <row r="10" spans="2:16" ht="15.75" thickBot="1" x14ac:dyDescent="0.3">
      <c r="B10" s="58"/>
      <c r="C10" s="13">
        <v>0.64</v>
      </c>
      <c r="D10" s="13">
        <v>1.1100000000000001</v>
      </c>
      <c r="E10" s="13">
        <v>1.47</v>
      </c>
      <c r="F10" s="15"/>
      <c r="G10" s="15"/>
      <c r="H10" s="26"/>
      <c r="I10" s="30">
        <f t="shared" si="9"/>
        <v>0.49</v>
      </c>
      <c r="J10" s="13">
        <f t="shared" si="10"/>
        <v>0.96000000000000008</v>
      </c>
      <c r="K10" s="13">
        <f t="shared" si="11"/>
        <v>1.32</v>
      </c>
      <c r="L10" s="61"/>
      <c r="M10" s="30">
        <f t="shared" si="5"/>
        <v>0.54</v>
      </c>
      <c r="N10" s="13">
        <f t="shared" si="6"/>
        <v>1.01</v>
      </c>
      <c r="O10" s="13">
        <f t="shared" si="7"/>
        <v>1.3699999999999999</v>
      </c>
      <c r="P10" s="16"/>
    </row>
    <row r="11" spans="2:16" x14ac:dyDescent="0.25">
      <c r="B11" s="56" t="s">
        <v>2</v>
      </c>
      <c r="C11" s="6">
        <v>0.45</v>
      </c>
      <c r="D11" s="6">
        <v>1.38</v>
      </c>
      <c r="E11" s="6">
        <v>0.46</v>
      </c>
      <c r="F11" s="8">
        <f>AVERAGE(C11:E13)</f>
        <v>0.64666666666666661</v>
      </c>
      <c r="G11" s="8">
        <v>6531.585</v>
      </c>
      <c r="H11" s="24">
        <f t="shared" ref="H11" si="13">F11*G11</f>
        <v>4223.7582999999995</v>
      </c>
      <c r="I11" s="29">
        <f t="shared" si="9"/>
        <v>0.30000000000000004</v>
      </c>
      <c r="J11" s="6">
        <f t="shared" si="10"/>
        <v>1.23</v>
      </c>
      <c r="K11" s="6">
        <f t="shared" si="11"/>
        <v>0.31000000000000005</v>
      </c>
      <c r="L11" s="59">
        <f t="shared" ref="L11" si="14">(AVERAGE(I11:K13)*G11)</f>
        <v>2162.6803666666669</v>
      </c>
      <c r="M11" s="29">
        <f t="shared" si="5"/>
        <v>0.35</v>
      </c>
      <c r="N11" s="6">
        <f t="shared" si="6"/>
        <v>1.2799999999999998</v>
      </c>
      <c r="O11" s="6">
        <f t="shared" si="7"/>
        <v>0.36</v>
      </c>
      <c r="P11" s="9">
        <f t="shared" ref="P11" si="15">(AVERAGE(M11:O13)*G11)</f>
        <v>2380.3998666666666</v>
      </c>
    </row>
    <row r="12" spans="2:16" x14ac:dyDescent="0.25">
      <c r="B12" s="57"/>
      <c r="C12" s="3"/>
      <c r="D12" s="3"/>
      <c r="E12" s="3">
        <v>0.34</v>
      </c>
      <c r="F12" s="5"/>
      <c r="G12" s="5"/>
      <c r="H12" s="25"/>
      <c r="I12" s="27">
        <f t="shared" si="9"/>
        <v>0</v>
      </c>
      <c r="J12" s="3">
        <f t="shared" si="10"/>
        <v>0</v>
      </c>
      <c r="K12" s="3">
        <f t="shared" si="11"/>
        <v>0.19000000000000003</v>
      </c>
      <c r="L12" s="60"/>
      <c r="M12" s="27">
        <f t="shared" si="5"/>
        <v>0</v>
      </c>
      <c r="N12" s="3">
        <f t="shared" si="6"/>
        <v>0</v>
      </c>
      <c r="O12" s="3">
        <f t="shared" si="7"/>
        <v>0.24000000000000002</v>
      </c>
      <c r="P12" s="10"/>
    </row>
    <row r="13" spans="2:16" ht="15.75" thickBot="1" x14ac:dyDescent="0.3">
      <c r="B13" s="58"/>
      <c r="C13" s="13">
        <v>0.95</v>
      </c>
      <c r="D13" s="13"/>
      <c r="E13" s="13">
        <v>0.3</v>
      </c>
      <c r="F13" s="15"/>
      <c r="G13" s="15"/>
      <c r="H13" s="26"/>
      <c r="I13" s="30">
        <f t="shared" si="9"/>
        <v>0.79999999999999993</v>
      </c>
      <c r="J13" s="13">
        <f t="shared" si="10"/>
        <v>0</v>
      </c>
      <c r="K13" s="13">
        <f t="shared" si="11"/>
        <v>0.15</v>
      </c>
      <c r="L13" s="61"/>
      <c r="M13" s="30">
        <f t="shared" si="5"/>
        <v>0.85</v>
      </c>
      <c r="N13" s="13">
        <f t="shared" si="6"/>
        <v>0</v>
      </c>
      <c r="O13" s="13">
        <f t="shared" si="7"/>
        <v>0.19999999999999998</v>
      </c>
      <c r="P13" s="16"/>
    </row>
    <row r="14" spans="2:16" x14ac:dyDescent="0.25">
      <c r="B14" s="56" t="s">
        <v>3</v>
      </c>
      <c r="C14" s="6">
        <v>0.63</v>
      </c>
      <c r="D14" s="6">
        <v>0.94</v>
      </c>
      <c r="E14" s="6">
        <v>1</v>
      </c>
      <c r="F14" s="8">
        <f>AVERAGE(C14:E16)</f>
        <v>0.6399999999999999</v>
      </c>
      <c r="G14" s="8">
        <v>3105.6010000000001</v>
      </c>
      <c r="H14" s="24">
        <f t="shared" ref="H14" si="16">F14*G14</f>
        <v>1987.5846399999998</v>
      </c>
      <c r="I14" s="29">
        <f t="shared" si="9"/>
        <v>0.48</v>
      </c>
      <c r="J14" s="6">
        <f t="shared" si="10"/>
        <v>0.78999999999999992</v>
      </c>
      <c r="K14" s="6">
        <f t="shared" si="11"/>
        <v>0.85</v>
      </c>
      <c r="L14" s="59">
        <f t="shared" ref="L14" si="17">(AVERAGE(I14:K16)*G14)</f>
        <v>1352.6617688888889</v>
      </c>
      <c r="M14" s="29">
        <f t="shared" si="5"/>
        <v>0.53</v>
      </c>
      <c r="N14" s="6">
        <f t="shared" si="6"/>
        <v>0.84</v>
      </c>
      <c r="O14" s="6">
        <f t="shared" si="7"/>
        <v>0.9</v>
      </c>
      <c r="P14" s="9">
        <f t="shared" ref="P14" si="18">(AVERAGE(M14:O16)*G14)</f>
        <v>1490.6884800000003</v>
      </c>
    </row>
    <row r="15" spans="2:16" x14ac:dyDescent="0.25">
      <c r="B15" s="57"/>
      <c r="C15" s="3">
        <v>0.38</v>
      </c>
      <c r="D15" s="3"/>
      <c r="E15" s="3">
        <v>0.82</v>
      </c>
      <c r="F15" s="5"/>
      <c r="G15" s="5"/>
      <c r="H15" s="25"/>
      <c r="I15" s="27">
        <f t="shared" si="9"/>
        <v>0.23</v>
      </c>
      <c r="J15" s="3">
        <f t="shared" si="10"/>
        <v>0</v>
      </c>
      <c r="K15" s="3">
        <f t="shared" si="11"/>
        <v>0.66999999999999993</v>
      </c>
      <c r="L15" s="60"/>
      <c r="M15" s="27">
        <f t="shared" si="5"/>
        <v>0.28000000000000003</v>
      </c>
      <c r="N15" s="3">
        <f t="shared" si="6"/>
        <v>0</v>
      </c>
      <c r="O15" s="3">
        <f t="shared" si="7"/>
        <v>0.72</v>
      </c>
      <c r="P15" s="10"/>
    </row>
    <row r="16" spans="2:16" ht="15.75" thickBot="1" x14ac:dyDescent="0.3">
      <c r="B16" s="58"/>
      <c r="C16" s="13">
        <v>0.3</v>
      </c>
      <c r="D16" s="13">
        <v>0.55000000000000004</v>
      </c>
      <c r="E16" s="13">
        <v>0.5</v>
      </c>
      <c r="F16" s="15"/>
      <c r="G16" s="15"/>
      <c r="H16" s="26"/>
      <c r="I16" s="30">
        <f t="shared" si="9"/>
        <v>0.15</v>
      </c>
      <c r="J16" s="13">
        <f t="shared" si="10"/>
        <v>0.4</v>
      </c>
      <c r="K16" s="13">
        <f t="shared" si="11"/>
        <v>0.35</v>
      </c>
      <c r="L16" s="61"/>
      <c r="M16" s="30">
        <f t="shared" si="5"/>
        <v>0.19999999999999998</v>
      </c>
      <c r="N16" s="13">
        <f t="shared" si="6"/>
        <v>0.45000000000000007</v>
      </c>
      <c r="O16" s="13">
        <f t="shared" si="7"/>
        <v>0.4</v>
      </c>
      <c r="P16" s="16"/>
    </row>
    <row r="17" spans="2:16" x14ac:dyDescent="0.25">
      <c r="B17" s="56" t="s">
        <v>4</v>
      </c>
      <c r="C17" s="6">
        <v>0.9</v>
      </c>
      <c r="D17" s="23">
        <v>0.81</v>
      </c>
      <c r="E17" s="6">
        <v>0.96</v>
      </c>
      <c r="F17" s="8">
        <f>AVERAGE(C17:E19)</f>
        <v>0.90625</v>
      </c>
      <c r="G17" s="8">
        <v>2568.386</v>
      </c>
      <c r="H17" s="24">
        <f t="shared" ref="H17" si="19">F17*G17</f>
        <v>2327.5998125000001</v>
      </c>
      <c r="I17" s="29">
        <f t="shared" si="9"/>
        <v>0.75</v>
      </c>
      <c r="J17" s="6">
        <f t="shared" si="10"/>
        <v>0.66</v>
      </c>
      <c r="K17" s="6">
        <f t="shared" si="11"/>
        <v>0.80999999999999994</v>
      </c>
      <c r="L17" s="59">
        <f t="shared" ref="L17" si="20">(AVERAGE(I17:K19)*G17)</f>
        <v>1726.5261444444445</v>
      </c>
      <c r="M17" s="29">
        <f t="shared" si="5"/>
        <v>0.8</v>
      </c>
      <c r="N17" s="6">
        <f t="shared" si="6"/>
        <v>0.71000000000000008</v>
      </c>
      <c r="O17" s="6">
        <f t="shared" si="7"/>
        <v>0.86</v>
      </c>
      <c r="P17" s="9">
        <f t="shared" ref="P17" si="21">(AVERAGE(M17:O19)*G17)</f>
        <v>1840.676633333333</v>
      </c>
    </row>
    <row r="18" spans="2:16" x14ac:dyDescent="0.25">
      <c r="B18" s="57"/>
      <c r="C18" s="3">
        <v>0.98</v>
      </c>
      <c r="D18" s="3"/>
      <c r="E18" s="3">
        <v>1.02</v>
      </c>
      <c r="F18" s="5"/>
      <c r="G18" s="5"/>
      <c r="H18" s="25"/>
      <c r="I18" s="27">
        <f t="shared" si="9"/>
        <v>0.83</v>
      </c>
      <c r="J18" s="3">
        <f t="shared" si="10"/>
        <v>0</v>
      </c>
      <c r="K18" s="3">
        <f t="shared" si="11"/>
        <v>0.87</v>
      </c>
      <c r="L18" s="60"/>
      <c r="M18" s="27">
        <f t="shared" si="5"/>
        <v>0.88</v>
      </c>
      <c r="N18" s="3">
        <f t="shared" si="6"/>
        <v>0</v>
      </c>
      <c r="O18" s="3">
        <f t="shared" si="7"/>
        <v>0.92</v>
      </c>
      <c r="P18" s="10"/>
    </row>
    <row r="19" spans="2:16" ht="15.75" thickBot="1" x14ac:dyDescent="0.3">
      <c r="B19" s="58"/>
      <c r="C19" s="13">
        <v>0.37</v>
      </c>
      <c r="D19" s="13">
        <v>0.81</v>
      </c>
      <c r="E19" s="13">
        <v>1.4</v>
      </c>
      <c r="F19" s="15"/>
      <c r="G19" s="15"/>
      <c r="H19" s="26"/>
      <c r="I19" s="28">
        <f t="shared" si="9"/>
        <v>0.22</v>
      </c>
      <c r="J19" s="11">
        <f t="shared" si="10"/>
        <v>0.66</v>
      </c>
      <c r="K19" s="11">
        <f t="shared" si="11"/>
        <v>1.25</v>
      </c>
      <c r="L19" s="61"/>
      <c r="M19" s="30">
        <f t="shared" si="5"/>
        <v>0.27</v>
      </c>
      <c r="N19" s="13">
        <f t="shared" si="6"/>
        <v>0.71000000000000008</v>
      </c>
      <c r="O19" s="13">
        <f t="shared" si="7"/>
        <v>1.2999999999999998</v>
      </c>
      <c r="P19" s="16"/>
    </row>
    <row r="20" spans="2:16" x14ac:dyDescent="0.25">
      <c r="B20" s="56" t="s">
        <v>5</v>
      </c>
      <c r="C20" s="6">
        <v>1.53</v>
      </c>
      <c r="D20" s="6">
        <v>0.4</v>
      </c>
      <c r="E20" s="6">
        <v>0.6</v>
      </c>
      <c r="F20" s="8">
        <f>AVERAGE(C20:E22)</f>
        <v>0.69833333333333336</v>
      </c>
      <c r="G20" s="8">
        <v>4594.1809999999996</v>
      </c>
      <c r="H20" s="24">
        <f t="shared" ref="H20" si="22">F20*G20</f>
        <v>3208.2697316666663</v>
      </c>
      <c r="I20" s="29">
        <f t="shared" si="9"/>
        <v>1.3800000000000001</v>
      </c>
      <c r="J20" s="6">
        <f t="shared" si="10"/>
        <v>0.25</v>
      </c>
      <c r="K20" s="35">
        <f t="shared" si="11"/>
        <v>0.44999999999999996</v>
      </c>
      <c r="L20" s="62">
        <f t="shared" ref="L20" si="23">(AVERAGE(I20:K22)*G20)</f>
        <v>1679.4283877777777</v>
      </c>
      <c r="M20" s="29">
        <f t="shared" si="5"/>
        <v>1.43</v>
      </c>
      <c r="N20" s="6">
        <f t="shared" si="6"/>
        <v>0.30000000000000004</v>
      </c>
      <c r="O20" s="6">
        <f t="shared" si="7"/>
        <v>0.5</v>
      </c>
      <c r="P20" s="9">
        <f t="shared" ref="P20" si="24">(AVERAGE(M20:O22)*G20)</f>
        <v>1832.5677544444443</v>
      </c>
    </row>
    <row r="21" spans="2:16" x14ac:dyDescent="0.25">
      <c r="B21" s="57"/>
      <c r="C21" s="3"/>
      <c r="D21" s="3"/>
      <c r="E21" s="3">
        <v>0.46</v>
      </c>
      <c r="F21" s="5"/>
      <c r="G21" s="5"/>
      <c r="H21" s="25"/>
      <c r="I21" s="27">
        <f t="shared" si="9"/>
        <v>0</v>
      </c>
      <c r="J21" s="3">
        <f t="shared" si="10"/>
        <v>0</v>
      </c>
      <c r="K21" s="36">
        <f t="shared" si="11"/>
        <v>0.31000000000000005</v>
      </c>
      <c r="L21" s="63"/>
      <c r="M21" s="27">
        <f t="shared" si="5"/>
        <v>0</v>
      </c>
      <c r="N21" s="3">
        <f t="shared" si="6"/>
        <v>0</v>
      </c>
      <c r="O21" s="3">
        <f t="shared" si="7"/>
        <v>0.36</v>
      </c>
      <c r="P21" s="10"/>
    </row>
    <row r="22" spans="2:16" ht="15.75" thickBot="1" x14ac:dyDescent="0.3">
      <c r="B22" s="58"/>
      <c r="C22" s="13">
        <v>0.67</v>
      </c>
      <c r="D22" s="13"/>
      <c r="E22" s="13">
        <v>0.53</v>
      </c>
      <c r="F22" s="15"/>
      <c r="G22" s="15"/>
      <c r="H22" s="26"/>
      <c r="I22" s="28">
        <f t="shared" si="9"/>
        <v>0.52</v>
      </c>
      <c r="J22" s="11">
        <f t="shared" si="10"/>
        <v>0</v>
      </c>
      <c r="K22" s="37">
        <f t="shared" si="11"/>
        <v>0.38</v>
      </c>
      <c r="L22" s="64"/>
      <c r="M22" s="30">
        <f t="shared" si="5"/>
        <v>0.57000000000000006</v>
      </c>
      <c r="N22" s="13">
        <f t="shared" si="6"/>
        <v>0</v>
      </c>
      <c r="O22" s="13">
        <f t="shared" si="7"/>
        <v>0.43000000000000005</v>
      </c>
      <c r="P22" s="16"/>
    </row>
    <row r="23" spans="2:16" x14ac:dyDescent="0.25">
      <c r="B23" s="56" t="s">
        <v>6</v>
      </c>
      <c r="C23" s="6">
        <v>0.6</v>
      </c>
      <c r="D23" s="6">
        <v>0.81</v>
      </c>
      <c r="E23" s="6">
        <v>0.6</v>
      </c>
      <c r="F23" s="8">
        <f>AVERAGE(C23:E25)</f>
        <v>0.48875000000000002</v>
      </c>
      <c r="G23" s="8">
        <v>3100.2069999999999</v>
      </c>
      <c r="H23" s="24">
        <f t="shared" ref="H23" si="25">F23*G23</f>
        <v>1515.2261712500001</v>
      </c>
      <c r="I23" s="29">
        <f t="shared" si="9"/>
        <v>0.44999999999999996</v>
      </c>
      <c r="J23" s="6">
        <f t="shared" si="10"/>
        <v>0.66</v>
      </c>
      <c r="K23" s="35">
        <f t="shared" si="11"/>
        <v>0.44999999999999996</v>
      </c>
      <c r="L23" s="62">
        <f t="shared" ref="L23" si="26">(AVERAGE(I23:K25)*G23)</f>
        <v>985.1768911111111</v>
      </c>
      <c r="M23" s="29">
        <f t="shared" si="5"/>
        <v>0.5</v>
      </c>
      <c r="N23" s="6">
        <f t="shared" si="6"/>
        <v>0.71000000000000008</v>
      </c>
      <c r="O23" s="6">
        <f t="shared" si="7"/>
        <v>0.5</v>
      </c>
      <c r="P23" s="9">
        <f t="shared" ref="P23" si="27">(AVERAGE(M23:O25)*G23)</f>
        <v>1105.7404966666668</v>
      </c>
    </row>
    <row r="24" spans="2:16" x14ac:dyDescent="0.25">
      <c r="B24" s="57"/>
      <c r="C24" s="3">
        <v>0.32</v>
      </c>
      <c r="D24" s="3"/>
      <c r="E24" s="3">
        <v>0.7</v>
      </c>
      <c r="F24" s="5"/>
      <c r="G24" s="5"/>
      <c r="H24" s="25"/>
      <c r="I24" s="27">
        <f t="shared" si="9"/>
        <v>0.17</v>
      </c>
      <c r="J24" s="3">
        <f t="shared" si="10"/>
        <v>0</v>
      </c>
      <c r="K24" s="36">
        <f t="shared" si="11"/>
        <v>0.54999999999999993</v>
      </c>
      <c r="L24" s="63"/>
      <c r="M24" s="27">
        <f t="shared" si="5"/>
        <v>0.22</v>
      </c>
      <c r="N24" s="3">
        <f t="shared" si="6"/>
        <v>0</v>
      </c>
      <c r="O24" s="3">
        <f t="shared" si="7"/>
        <v>0.6</v>
      </c>
      <c r="P24" s="10"/>
    </row>
    <row r="25" spans="2:16" ht="15.75" thickBot="1" x14ac:dyDescent="0.3">
      <c r="B25" s="58"/>
      <c r="C25" s="13">
        <v>0.33</v>
      </c>
      <c r="D25" s="13">
        <v>0</v>
      </c>
      <c r="E25" s="13">
        <v>0.55000000000000004</v>
      </c>
      <c r="F25" s="15"/>
      <c r="G25" s="15"/>
      <c r="H25" s="26"/>
      <c r="I25" s="28">
        <f t="shared" si="9"/>
        <v>0.18000000000000002</v>
      </c>
      <c r="J25" s="11">
        <f t="shared" si="10"/>
        <v>0</v>
      </c>
      <c r="K25" s="37">
        <f t="shared" si="11"/>
        <v>0.4</v>
      </c>
      <c r="L25" s="64"/>
      <c r="M25" s="30">
        <f t="shared" si="5"/>
        <v>0.23</v>
      </c>
      <c r="N25" s="13">
        <f t="shared" si="6"/>
        <v>0</v>
      </c>
      <c r="O25" s="13">
        <f t="shared" si="7"/>
        <v>0.45000000000000007</v>
      </c>
      <c r="P25" s="16"/>
    </row>
    <row r="26" spans="2:16" x14ac:dyDescent="0.25">
      <c r="B26" s="56" t="s">
        <v>7</v>
      </c>
      <c r="C26" s="6">
        <v>0.52</v>
      </c>
      <c r="D26" s="6">
        <v>0.83</v>
      </c>
      <c r="E26" s="6">
        <v>1.1000000000000001</v>
      </c>
      <c r="F26" s="8">
        <f>AVERAGE(C26:E28)</f>
        <v>0.70571428571428574</v>
      </c>
      <c r="G26" s="8">
        <v>3217.8870000000002</v>
      </c>
      <c r="H26" s="24">
        <f t="shared" ref="H26" si="28">F26*G26</f>
        <v>2270.9088257142857</v>
      </c>
      <c r="I26" s="29">
        <f t="shared" si="9"/>
        <v>0.37</v>
      </c>
      <c r="J26" s="6">
        <f t="shared" si="10"/>
        <v>0.67999999999999994</v>
      </c>
      <c r="K26" s="35">
        <f t="shared" si="11"/>
        <v>0.95000000000000007</v>
      </c>
      <c r="L26" s="62">
        <f t="shared" ref="L26" si="29">(AVERAGE(I26:K28)*G26)</f>
        <v>1390.8422700000003</v>
      </c>
      <c r="M26" s="29">
        <f t="shared" si="5"/>
        <v>0.42000000000000004</v>
      </c>
      <c r="N26" s="6">
        <f t="shared" si="6"/>
        <v>0.73</v>
      </c>
      <c r="O26" s="6">
        <f t="shared" si="7"/>
        <v>1</v>
      </c>
      <c r="P26" s="9">
        <f t="shared" ref="P26" si="30">(AVERAGE(M26:O28)*G26)</f>
        <v>1515.9823199999998</v>
      </c>
    </row>
    <row r="27" spans="2:16" x14ac:dyDescent="0.25">
      <c r="B27" s="57"/>
      <c r="C27" s="3">
        <v>0.46</v>
      </c>
      <c r="D27" s="3"/>
      <c r="E27" s="3"/>
      <c r="F27" s="5"/>
      <c r="G27" s="5"/>
      <c r="H27" s="25"/>
      <c r="I27" s="27">
        <f t="shared" si="9"/>
        <v>0.31000000000000005</v>
      </c>
      <c r="J27" s="3">
        <f t="shared" si="10"/>
        <v>0</v>
      </c>
      <c r="K27" s="36">
        <f t="shared" si="11"/>
        <v>0</v>
      </c>
      <c r="L27" s="63"/>
      <c r="M27" s="27">
        <f t="shared" si="5"/>
        <v>0.36</v>
      </c>
      <c r="N27" s="3">
        <f t="shared" si="6"/>
        <v>0</v>
      </c>
      <c r="O27" s="3">
        <f t="shared" si="7"/>
        <v>0</v>
      </c>
      <c r="P27" s="10"/>
    </row>
    <row r="28" spans="2:16" ht="15.75" thickBot="1" x14ac:dyDescent="0.3">
      <c r="B28" s="58"/>
      <c r="C28" s="13">
        <v>0.4</v>
      </c>
      <c r="D28" s="13">
        <v>0.45</v>
      </c>
      <c r="E28" s="13">
        <v>1.18</v>
      </c>
      <c r="F28" s="15"/>
      <c r="G28" s="15"/>
      <c r="H28" s="26"/>
      <c r="I28" s="28">
        <f t="shared" si="9"/>
        <v>0.25</v>
      </c>
      <c r="J28" s="11">
        <f t="shared" si="10"/>
        <v>0.30000000000000004</v>
      </c>
      <c r="K28" s="37">
        <f t="shared" si="11"/>
        <v>1.03</v>
      </c>
      <c r="L28" s="64"/>
      <c r="M28" s="30">
        <f t="shared" si="5"/>
        <v>0.30000000000000004</v>
      </c>
      <c r="N28" s="13">
        <f t="shared" si="6"/>
        <v>0.35</v>
      </c>
      <c r="O28" s="13">
        <f t="shared" si="7"/>
        <v>1.0799999999999998</v>
      </c>
      <c r="P28" s="16"/>
    </row>
    <row r="29" spans="2:16" x14ac:dyDescent="0.25">
      <c r="B29" s="56" t="s">
        <v>8</v>
      </c>
      <c r="C29" s="6">
        <v>0.25</v>
      </c>
      <c r="D29" s="6">
        <v>0.54</v>
      </c>
      <c r="E29" s="6">
        <v>0.65</v>
      </c>
      <c r="F29" s="8">
        <f>AVERAGE(C29:E31)</f>
        <v>0.84250000000000003</v>
      </c>
      <c r="G29" s="8">
        <v>4483</v>
      </c>
      <c r="H29" s="24">
        <f t="shared" ref="H29" si="31">F29*G29</f>
        <v>3776.9275000000002</v>
      </c>
      <c r="I29" s="29">
        <f t="shared" si="9"/>
        <v>0.1</v>
      </c>
      <c r="J29" s="6">
        <f t="shared" si="10"/>
        <v>0.39</v>
      </c>
      <c r="K29" s="35">
        <f t="shared" si="11"/>
        <v>0.5</v>
      </c>
      <c r="L29" s="62">
        <f t="shared" ref="L29" si="32">(AVERAGE(I29:K31)*G29)</f>
        <v>2759.5355555555561</v>
      </c>
      <c r="M29" s="29">
        <f t="shared" si="5"/>
        <v>0.15</v>
      </c>
      <c r="N29" s="6">
        <f t="shared" si="6"/>
        <v>0.44000000000000006</v>
      </c>
      <c r="O29" s="6">
        <f t="shared" si="7"/>
        <v>0.55000000000000004</v>
      </c>
      <c r="P29" s="9">
        <f t="shared" ref="P29" si="33">(AVERAGE(M29:O31)*G29)</f>
        <v>2958.7799999999997</v>
      </c>
    </row>
    <row r="30" spans="2:16" x14ac:dyDescent="0.25">
      <c r="B30" s="57"/>
      <c r="C30" s="3">
        <v>0.93</v>
      </c>
      <c r="D30" s="3">
        <v>1.1000000000000001</v>
      </c>
      <c r="E30" s="3">
        <v>1.1599999999999999</v>
      </c>
      <c r="F30" s="5"/>
      <c r="G30" s="5"/>
      <c r="H30" s="25"/>
      <c r="I30" s="27">
        <f t="shared" si="9"/>
        <v>0.78</v>
      </c>
      <c r="J30" s="3">
        <f t="shared" si="10"/>
        <v>0.95000000000000007</v>
      </c>
      <c r="K30" s="36">
        <f t="shared" si="11"/>
        <v>1.01</v>
      </c>
      <c r="L30" s="63"/>
      <c r="M30" s="27">
        <f t="shared" si="5"/>
        <v>0.83000000000000007</v>
      </c>
      <c r="N30" s="3">
        <f t="shared" si="6"/>
        <v>1</v>
      </c>
      <c r="O30" s="3">
        <f t="shared" si="7"/>
        <v>1.0599999999999998</v>
      </c>
      <c r="P30" s="10"/>
    </row>
    <row r="31" spans="2:16" ht="15.75" thickBot="1" x14ac:dyDescent="0.3">
      <c r="B31" s="58"/>
      <c r="C31" s="13">
        <v>0.86</v>
      </c>
      <c r="D31" s="13">
        <v>1.25</v>
      </c>
      <c r="E31" s="13"/>
      <c r="F31" s="15"/>
      <c r="G31" s="15"/>
      <c r="H31" s="26"/>
      <c r="I31" s="28">
        <f t="shared" si="9"/>
        <v>0.71</v>
      </c>
      <c r="J31" s="11">
        <f t="shared" si="10"/>
        <v>1.1000000000000001</v>
      </c>
      <c r="K31" s="37">
        <f t="shared" si="11"/>
        <v>0</v>
      </c>
      <c r="L31" s="64"/>
      <c r="M31" s="30">
        <f t="shared" si="5"/>
        <v>0.76</v>
      </c>
      <c r="N31" s="13">
        <f t="shared" si="6"/>
        <v>1.1499999999999999</v>
      </c>
      <c r="O31" s="13">
        <f t="shared" si="7"/>
        <v>0</v>
      </c>
      <c r="P31" s="16"/>
    </row>
    <row r="32" spans="2:16" x14ac:dyDescent="0.25">
      <c r="B32" s="56" t="s">
        <v>9</v>
      </c>
      <c r="C32" s="6">
        <v>1.45</v>
      </c>
      <c r="D32" s="6">
        <v>0.5</v>
      </c>
      <c r="E32" s="6">
        <v>0.55000000000000004</v>
      </c>
      <c r="F32" s="8">
        <f>AVERAGE(C32:E34)</f>
        <v>0.54714285714285704</v>
      </c>
      <c r="G32" s="8">
        <v>3698.2109999999998</v>
      </c>
      <c r="H32" s="24">
        <f t="shared" ref="H32" si="34">F32*G32</f>
        <v>2023.4497328571424</v>
      </c>
      <c r="I32" s="29">
        <f t="shared" si="9"/>
        <v>1.3</v>
      </c>
      <c r="J32" s="6">
        <f t="shared" si="10"/>
        <v>0.35</v>
      </c>
      <c r="K32" s="35">
        <f t="shared" si="11"/>
        <v>0.4</v>
      </c>
      <c r="L32" s="62">
        <f t="shared" ref="L32" si="35">(AVERAGE(I32:K34)*G32)</f>
        <v>1203.9731366666665</v>
      </c>
      <c r="M32" s="29">
        <f t="shared" si="5"/>
        <v>1.3499999999999999</v>
      </c>
      <c r="N32" s="6">
        <f t="shared" si="6"/>
        <v>0.4</v>
      </c>
      <c r="O32" s="6">
        <f t="shared" si="7"/>
        <v>0.45000000000000007</v>
      </c>
      <c r="P32" s="9">
        <f t="shared" ref="P32" si="36">(AVERAGE(M32:O34)*G32)</f>
        <v>1327.2468366666667</v>
      </c>
    </row>
    <row r="33" spans="2:16" x14ac:dyDescent="0.25">
      <c r="B33" s="57"/>
      <c r="C33" s="3"/>
      <c r="D33" s="3"/>
      <c r="E33" s="3">
        <v>0.4</v>
      </c>
      <c r="F33" s="5"/>
      <c r="G33" s="5"/>
      <c r="H33" s="25"/>
      <c r="I33" s="27">
        <f t="shared" si="9"/>
        <v>0</v>
      </c>
      <c r="J33" s="3">
        <f t="shared" si="10"/>
        <v>0</v>
      </c>
      <c r="K33" s="36">
        <f t="shared" si="11"/>
        <v>0.25</v>
      </c>
      <c r="L33" s="63"/>
      <c r="M33" s="27">
        <f t="shared" si="5"/>
        <v>0</v>
      </c>
      <c r="N33" s="3">
        <f t="shared" si="6"/>
        <v>0</v>
      </c>
      <c r="O33" s="3">
        <f t="shared" si="7"/>
        <v>0.30000000000000004</v>
      </c>
      <c r="P33" s="10"/>
    </row>
    <row r="34" spans="2:16" ht="15.75" thickBot="1" x14ac:dyDescent="0.3">
      <c r="B34" s="58"/>
      <c r="C34" s="13">
        <v>0.63</v>
      </c>
      <c r="D34" s="13">
        <v>0</v>
      </c>
      <c r="E34" s="13">
        <v>0.3</v>
      </c>
      <c r="F34" s="15"/>
      <c r="G34" s="15"/>
      <c r="H34" s="26"/>
      <c r="I34" s="28">
        <f t="shared" si="9"/>
        <v>0.48</v>
      </c>
      <c r="J34" s="11">
        <f t="shared" si="10"/>
        <v>0</v>
      </c>
      <c r="K34" s="37">
        <f t="shared" si="11"/>
        <v>0.15</v>
      </c>
      <c r="L34" s="64"/>
      <c r="M34" s="30">
        <f t="shared" si="5"/>
        <v>0.53</v>
      </c>
      <c r="N34" s="13">
        <f t="shared" si="6"/>
        <v>0</v>
      </c>
      <c r="O34" s="13">
        <f t="shared" si="7"/>
        <v>0.19999999999999998</v>
      </c>
      <c r="P34" s="16"/>
    </row>
    <row r="35" spans="2:16" x14ac:dyDescent="0.25">
      <c r="B35" s="56" t="s">
        <v>10</v>
      </c>
      <c r="C35" s="6">
        <v>0.57999999999999996</v>
      </c>
      <c r="D35" s="6">
        <v>0.3</v>
      </c>
      <c r="E35" s="6">
        <v>0.45</v>
      </c>
      <c r="F35" s="8">
        <f>AVERAGE(C35:E37)</f>
        <v>0.43374999999999997</v>
      </c>
      <c r="G35" s="8">
        <v>2986.7089999999998</v>
      </c>
      <c r="H35" s="24">
        <f t="shared" ref="H35" si="37">F35*G35</f>
        <v>1295.4850287499999</v>
      </c>
      <c r="I35" s="29">
        <f t="shared" si="9"/>
        <v>0.42999999999999994</v>
      </c>
      <c r="J35" s="6">
        <f t="shared" si="10"/>
        <v>0.15</v>
      </c>
      <c r="K35" s="35">
        <f t="shared" si="11"/>
        <v>0.30000000000000004</v>
      </c>
      <c r="L35" s="62">
        <f t="shared" ref="L35" si="38">(AVERAGE(I35:K37)*G35)</f>
        <v>753.31438111111106</v>
      </c>
      <c r="M35" s="29">
        <f t="shared" si="5"/>
        <v>0.48</v>
      </c>
      <c r="N35" s="6">
        <f t="shared" si="6"/>
        <v>0.19999999999999998</v>
      </c>
      <c r="O35" s="6">
        <f t="shared" si="7"/>
        <v>0.35</v>
      </c>
      <c r="P35" s="9">
        <f t="shared" ref="P35" si="39">(AVERAGE(M35:O37)*G35)</f>
        <v>886.05700333333323</v>
      </c>
    </row>
    <row r="36" spans="2:16" x14ac:dyDescent="0.25">
      <c r="B36" s="57"/>
      <c r="C36" s="3">
        <v>0.37</v>
      </c>
      <c r="D36" s="3"/>
      <c r="E36" s="3">
        <v>0.42</v>
      </c>
      <c r="F36" s="5"/>
      <c r="G36" s="5"/>
      <c r="H36" s="25"/>
      <c r="I36" s="27">
        <f t="shared" si="9"/>
        <v>0.22</v>
      </c>
      <c r="J36" s="3">
        <f t="shared" si="10"/>
        <v>0</v>
      </c>
      <c r="K36" s="36">
        <f t="shared" si="11"/>
        <v>0.27</v>
      </c>
      <c r="L36" s="63"/>
      <c r="M36" s="27">
        <f t="shared" si="5"/>
        <v>0.27</v>
      </c>
      <c r="N36" s="3">
        <f t="shared" si="6"/>
        <v>0</v>
      </c>
      <c r="O36" s="3">
        <f t="shared" si="7"/>
        <v>0.31999999999999995</v>
      </c>
      <c r="P36" s="10"/>
    </row>
    <row r="37" spans="2:16" ht="15.75" thickBot="1" x14ac:dyDescent="0.3">
      <c r="B37" s="58"/>
      <c r="C37" s="13">
        <v>0.25</v>
      </c>
      <c r="D37" s="13">
        <v>0.3</v>
      </c>
      <c r="E37" s="13">
        <v>0.8</v>
      </c>
      <c r="F37" s="15"/>
      <c r="G37" s="15"/>
      <c r="H37" s="26"/>
      <c r="I37" s="28">
        <f t="shared" si="9"/>
        <v>0.1</v>
      </c>
      <c r="J37" s="11">
        <f t="shared" si="10"/>
        <v>0.15</v>
      </c>
      <c r="K37" s="37">
        <f t="shared" si="11"/>
        <v>0.65</v>
      </c>
      <c r="L37" s="64"/>
      <c r="M37" s="30">
        <f t="shared" si="5"/>
        <v>0.15</v>
      </c>
      <c r="N37" s="13">
        <f t="shared" si="6"/>
        <v>0.19999999999999998</v>
      </c>
      <c r="O37" s="13">
        <f t="shared" si="7"/>
        <v>0.70000000000000007</v>
      </c>
      <c r="P37" s="16"/>
    </row>
    <row r="38" spans="2:16" x14ac:dyDescent="0.25">
      <c r="B38" s="56" t="s">
        <v>14</v>
      </c>
      <c r="C38" s="6">
        <v>0.36</v>
      </c>
      <c r="D38" s="6">
        <v>0.35</v>
      </c>
      <c r="E38" s="6">
        <v>1.4</v>
      </c>
      <c r="F38" s="8">
        <f>AVERAGE(C38:E40)</f>
        <v>0.85749999999999993</v>
      </c>
      <c r="G38" s="8">
        <v>4099.5770000000002</v>
      </c>
      <c r="H38" s="24">
        <f t="shared" ref="H38" si="40">F38*G38</f>
        <v>3515.3872775</v>
      </c>
      <c r="I38" s="29">
        <f t="shared" si="9"/>
        <v>0.21</v>
      </c>
      <c r="J38" s="6">
        <f t="shared" si="10"/>
        <v>0.19999999999999998</v>
      </c>
      <c r="K38" s="35">
        <f t="shared" si="11"/>
        <v>1.25</v>
      </c>
      <c r="L38" s="62">
        <f t="shared" ref="L38" si="41">(AVERAGE(I38:K40)*G38)</f>
        <v>2578.1784244444448</v>
      </c>
      <c r="M38" s="29">
        <f t="shared" si="5"/>
        <v>0.26</v>
      </c>
      <c r="N38" s="6">
        <f t="shared" si="6"/>
        <v>0.24999999999999997</v>
      </c>
      <c r="O38" s="6">
        <f t="shared" si="7"/>
        <v>1.2999999999999998</v>
      </c>
      <c r="P38" s="9">
        <f t="shared" ref="P38" si="42">(AVERAGE(M38:O40)*G38)</f>
        <v>2760.3818466666667</v>
      </c>
    </row>
    <row r="39" spans="2:16" x14ac:dyDescent="0.25">
      <c r="B39" s="57"/>
      <c r="C39" s="3">
        <v>0.3</v>
      </c>
      <c r="D39" s="3"/>
      <c r="E39" s="3">
        <v>1.35</v>
      </c>
      <c r="F39" s="5"/>
      <c r="G39" s="5"/>
      <c r="H39" s="25"/>
      <c r="I39" s="27">
        <f t="shared" si="9"/>
        <v>0.15</v>
      </c>
      <c r="J39" s="3">
        <f t="shared" si="10"/>
        <v>0</v>
      </c>
      <c r="K39" s="36">
        <f t="shared" si="11"/>
        <v>1.2000000000000002</v>
      </c>
      <c r="L39" s="63"/>
      <c r="M39" s="27">
        <f t="shared" si="5"/>
        <v>0.19999999999999998</v>
      </c>
      <c r="N39" s="3">
        <f t="shared" si="6"/>
        <v>0</v>
      </c>
      <c r="O39" s="3">
        <f t="shared" si="7"/>
        <v>1.25</v>
      </c>
      <c r="P39" s="10"/>
    </row>
    <row r="40" spans="2:16" ht="15.75" thickBot="1" x14ac:dyDescent="0.3">
      <c r="B40" s="58"/>
      <c r="C40" s="13">
        <v>0.35</v>
      </c>
      <c r="D40" s="13">
        <v>1.1499999999999999</v>
      </c>
      <c r="E40" s="13">
        <v>1.6</v>
      </c>
      <c r="F40" s="15"/>
      <c r="G40" s="15"/>
      <c r="H40" s="26"/>
      <c r="I40" s="28">
        <f t="shared" si="9"/>
        <v>0.19999999999999998</v>
      </c>
      <c r="J40" s="11">
        <f t="shared" si="10"/>
        <v>0.99999999999999989</v>
      </c>
      <c r="K40" s="37">
        <f t="shared" si="11"/>
        <v>1.4500000000000002</v>
      </c>
      <c r="L40" s="64"/>
      <c r="M40" s="30">
        <f t="shared" si="5"/>
        <v>0.24999999999999997</v>
      </c>
      <c r="N40" s="13">
        <f t="shared" si="6"/>
        <v>1.0499999999999998</v>
      </c>
      <c r="O40" s="13">
        <f t="shared" si="7"/>
        <v>1.5</v>
      </c>
      <c r="P40" s="16"/>
    </row>
    <row r="41" spans="2:16" x14ac:dyDescent="0.25">
      <c r="B41" s="56" t="s">
        <v>11</v>
      </c>
      <c r="C41" s="6">
        <v>1.4</v>
      </c>
      <c r="D41" s="6">
        <v>0.5</v>
      </c>
      <c r="E41" s="6">
        <v>0.4</v>
      </c>
      <c r="F41" s="8">
        <f>AVERAGE(C41:E43)</f>
        <v>0.56599999999999995</v>
      </c>
      <c r="G41" s="8">
        <v>3128.0889999999999</v>
      </c>
      <c r="H41" s="24">
        <f t="shared" ref="H41" si="43">F41*G41</f>
        <v>1770.4983739999998</v>
      </c>
      <c r="I41" s="29">
        <f t="shared" si="9"/>
        <v>1.25</v>
      </c>
      <c r="J41" s="6">
        <f t="shared" si="10"/>
        <v>0.35</v>
      </c>
      <c r="K41" s="35">
        <f t="shared" si="11"/>
        <v>0.25</v>
      </c>
      <c r="L41" s="62">
        <f t="shared" ref="L41" si="44">(AVERAGE(I41:K43)*G41)</f>
        <v>722.93612444444443</v>
      </c>
      <c r="M41" s="29">
        <f t="shared" si="5"/>
        <v>1.2999999999999998</v>
      </c>
      <c r="N41" s="6">
        <f t="shared" si="6"/>
        <v>0.4</v>
      </c>
      <c r="O41" s="6">
        <f t="shared" si="7"/>
        <v>0.30000000000000004</v>
      </c>
      <c r="P41" s="9">
        <f t="shared" ref="P41" si="45">(AVERAGE(M41:O43)*G41)</f>
        <v>809.82748555555554</v>
      </c>
    </row>
    <row r="42" spans="2:16" x14ac:dyDescent="0.25">
      <c r="B42" s="57"/>
      <c r="C42" s="3"/>
      <c r="D42" s="3"/>
      <c r="E42" s="3">
        <v>0.23</v>
      </c>
      <c r="F42" s="5"/>
      <c r="G42" s="5"/>
      <c r="H42" s="25"/>
      <c r="I42" s="27">
        <f t="shared" si="9"/>
        <v>0</v>
      </c>
      <c r="J42" s="3">
        <f t="shared" si="10"/>
        <v>0</v>
      </c>
      <c r="K42" s="36">
        <f t="shared" si="11"/>
        <v>8.0000000000000016E-2</v>
      </c>
      <c r="L42" s="63"/>
      <c r="M42" s="27">
        <f t="shared" si="5"/>
        <v>0</v>
      </c>
      <c r="N42" s="3">
        <f t="shared" si="6"/>
        <v>0</v>
      </c>
      <c r="O42" s="3">
        <f t="shared" si="7"/>
        <v>0.13</v>
      </c>
      <c r="P42" s="10"/>
    </row>
    <row r="43" spans="2:16" ht="15.75" thickBot="1" x14ac:dyDescent="0.3">
      <c r="B43" s="58"/>
      <c r="C43" s="13"/>
      <c r="D43" s="13"/>
      <c r="E43" s="13">
        <v>0.3</v>
      </c>
      <c r="F43" s="15"/>
      <c r="G43" s="15"/>
      <c r="H43" s="26"/>
      <c r="I43" s="28">
        <f t="shared" si="9"/>
        <v>0</v>
      </c>
      <c r="J43" s="11">
        <f t="shared" si="10"/>
        <v>0</v>
      </c>
      <c r="K43" s="37">
        <f t="shared" si="11"/>
        <v>0.15</v>
      </c>
      <c r="L43" s="64"/>
      <c r="M43" s="30">
        <f t="shared" si="5"/>
        <v>0</v>
      </c>
      <c r="N43" s="13">
        <f t="shared" si="6"/>
        <v>0</v>
      </c>
      <c r="O43" s="13">
        <f t="shared" si="7"/>
        <v>0.19999999999999998</v>
      </c>
      <c r="P43" s="16"/>
    </row>
    <row r="44" spans="2:16" x14ac:dyDescent="0.25">
      <c r="B44" s="56" t="s">
        <v>12</v>
      </c>
      <c r="C44" s="6">
        <v>0.2</v>
      </c>
      <c r="D44" s="6">
        <v>0.52</v>
      </c>
      <c r="E44" s="6">
        <v>1.05</v>
      </c>
      <c r="F44" s="8">
        <f>AVERAGE(C44:E46)</f>
        <v>0.49</v>
      </c>
      <c r="G44" s="8">
        <v>3032.6419999999998</v>
      </c>
      <c r="H44" s="24">
        <f t="shared" ref="H44" si="46">F44*G44</f>
        <v>1485.9945799999998</v>
      </c>
      <c r="I44" s="29">
        <f t="shared" si="9"/>
        <v>5.0000000000000017E-2</v>
      </c>
      <c r="J44" s="6">
        <f t="shared" si="10"/>
        <v>0.37</v>
      </c>
      <c r="K44" s="35">
        <f t="shared" si="11"/>
        <v>0.9</v>
      </c>
      <c r="L44" s="62">
        <f t="shared" ref="L44" si="47">(AVERAGE(I44:K46)*G44)</f>
        <v>687.39885333333336</v>
      </c>
      <c r="M44" s="29">
        <f t="shared" si="5"/>
        <v>0.1</v>
      </c>
      <c r="N44" s="6">
        <f t="shared" si="6"/>
        <v>0.42000000000000004</v>
      </c>
      <c r="O44" s="6">
        <f t="shared" si="7"/>
        <v>0.95000000000000007</v>
      </c>
      <c r="P44" s="9">
        <f t="shared" ref="P44" si="48">(AVERAGE(M44:O46)*G44)</f>
        <v>788.48691999999994</v>
      </c>
    </row>
    <row r="45" spans="2:16" x14ac:dyDescent="0.25">
      <c r="B45" s="57"/>
      <c r="C45" s="3">
        <v>0.25</v>
      </c>
      <c r="D45" s="3"/>
      <c r="E45" s="3">
        <v>0.65</v>
      </c>
      <c r="F45" s="5"/>
      <c r="G45" s="5"/>
      <c r="H45" s="25"/>
      <c r="I45" s="27">
        <f t="shared" si="9"/>
        <v>0.1</v>
      </c>
      <c r="J45" s="3">
        <f t="shared" si="10"/>
        <v>0</v>
      </c>
      <c r="K45" s="36">
        <f t="shared" si="11"/>
        <v>0.5</v>
      </c>
      <c r="L45" s="63"/>
      <c r="M45" s="27">
        <f t="shared" si="5"/>
        <v>0.15</v>
      </c>
      <c r="N45" s="3">
        <f t="shared" si="6"/>
        <v>0</v>
      </c>
      <c r="O45" s="3">
        <f t="shared" si="7"/>
        <v>0.55000000000000004</v>
      </c>
      <c r="P45" s="10"/>
    </row>
    <row r="46" spans="2:16" ht="15.75" thickBot="1" x14ac:dyDescent="0.3">
      <c r="B46" s="58"/>
      <c r="C46" s="13">
        <v>0.27</v>
      </c>
      <c r="D46" s="13"/>
      <c r="E46" s="13"/>
      <c r="F46" s="15"/>
      <c r="G46" s="15"/>
      <c r="H46" s="26"/>
      <c r="I46" s="28">
        <f t="shared" si="9"/>
        <v>0.12000000000000002</v>
      </c>
      <c r="J46" s="11">
        <f t="shared" si="10"/>
        <v>0</v>
      </c>
      <c r="K46" s="37">
        <f t="shared" si="11"/>
        <v>0</v>
      </c>
      <c r="L46" s="64"/>
      <c r="M46" s="30">
        <f t="shared" si="5"/>
        <v>0.17</v>
      </c>
      <c r="N46" s="13">
        <f t="shared" si="6"/>
        <v>0</v>
      </c>
      <c r="O46" s="13">
        <f t="shared" si="7"/>
        <v>0</v>
      </c>
      <c r="P46" s="16"/>
    </row>
    <row r="47" spans="2:16" x14ac:dyDescent="0.25">
      <c r="B47" s="56" t="s">
        <v>13</v>
      </c>
      <c r="C47" s="6">
        <v>0.36</v>
      </c>
      <c r="D47" s="6">
        <v>1.21</v>
      </c>
      <c r="E47" s="6">
        <v>1.87</v>
      </c>
      <c r="F47" s="8">
        <f>AVERAGE(C47:E49)</f>
        <v>1.1466666666666667</v>
      </c>
      <c r="G47" s="8">
        <v>4534.6909999999998</v>
      </c>
      <c r="H47" s="24">
        <f t="shared" ref="H47" si="49">F47*G47</f>
        <v>5199.7790133333338</v>
      </c>
      <c r="I47" s="29">
        <f t="shared" si="9"/>
        <v>0.21</v>
      </c>
      <c r="J47" s="6">
        <f t="shared" si="10"/>
        <v>1.06</v>
      </c>
      <c r="K47" s="35">
        <f t="shared" si="11"/>
        <v>1.7200000000000002</v>
      </c>
      <c r="L47" s="62">
        <f t="shared" ref="L47" si="50">(AVERAGE(I47:K49)*G47)</f>
        <v>1506.5251211111113</v>
      </c>
      <c r="M47" s="29">
        <f t="shared" si="5"/>
        <v>0.26</v>
      </c>
      <c r="N47" s="6">
        <f t="shared" si="6"/>
        <v>1.1099999999999999</v>
      </c>
      <c r="O47" s="6">
        <f t="shared" si="7"/>
        <v>1.77</v>
      </c>
      <c r="P47" s="9">
        <f t="shared" ref="P47" si="51">(AVERAGE(M47:O49)*G47)</f>
        <v>1582.1033044444443</v>
      </c>
    </row>
    <row r="48" spans="2:16" x14ac:dyDescent="0.25">
      <c r="B48" s="57"/>
      <c r="C48" s="3"/>
      <c r="D48" s="3"/>
      <c r="E48" s="3"/>
      <c r="F48" s="5"/>
      <c r="G48" s="5"/>
      <c r="H48" s="25"/>
      <c r="I48" s="27">
        <f t="shared" si="9"/>
        <v>0</v>
      </c>
      <c r="J48" s="3">
        <f t="shared" si="10"/>
        <v>0</v>
      </c>
      <c r="K48" s="36">
        <f t="shared" si="11"/>
        <v>0</v>
      </c>
      <c r="L48" s="63"/>
      <c r="M48" s="27">
        <f t="shared" si="5"/>
        <v>0</v>
      </c>
      <c r="N48" s="3">
        <f t="shared" si="6"/>
        <v>0</v>
      </c>
      <c r="O48" s="3">
        <f t="shared" si="7"/>
        <v>0</v>
      </c>
      <c r="P48" s="10"/>
    </row>
    <row r="49" spans="2:16" ht="15.75" thickBot="1" x14ac:dyDescent="0.3">
      <c r="B49" s="58"/>
      <c r="C49" s="13"/>
      <c r="D49" s="13"/>
      <c r="E49" s="13"/>
      <c r="F49" s="15"/>
      <c r="G49" s="15"/>
      <c r="H49" s="26"/>
      <c r="I49" s="30">
        <f t="shared" si="9"/>
        <v>0</v>
      </c>
      <c r="J49" s="13">
        <f t="shared" si="10"/>
        <v>0</v>
      </c>
      <c r="K49" s="38">
        <f t="shared" si="11"/>
        <v>0</v>
      </c>
      <c r="L49" s="65"/>
      <c r="M49" s="28">
        <f t="shared" si="5"/>
        <v>0</v>
      </c>
      <c r="N49" s="11">
        <f t="shared" si="6"/>
        <v>0</v>
      </c>
      <c r="O49" s="11">
        <f t="shared" si="7"/>
        <v>0</v>
      </c>
      <c r="P49" s="12"/>
    </row>
    <row r="50" spans="2:16" x14ac:dyDescent="0.25">
      <c r="B50" s="17" t="s">
        <v>18</v>
      </c>
      <c r="C50" s="18"/>
      <c r="D50" s="18"/>
      <c r="E50" s="18"/>
      <c r="F50" s="18"/>
      <c r="G50" s="19"/>
      <c r="H50" s="47">
        <f>SUM(H5:H49)</f>
        <v>37956.772727571428</v>
      </c>
      <c r="I50" s="31" t="s">
        <v>18</v>
      </c>
      <c r="J50" s="32"/>
      <c r="K50" s="41"/>
      <c r="L50" s="45">
        <f>SUM(L5:L49)</f>
        <v>21213.84771888889</v>
      </c>
      <c r="M50" s="39" t="s">
        <v>18</v>
      </c>
      <c r="N50" s="39"/>
      <c r="O50" s="39"/>
      <c r="P50" s="43">
        <f>SUM(P5:P49)</f>
        <v>23170.954707777775</v>
      </c>
    </row>
    <row r="51" spans="2:16" ht="15.75" thickBot="1" x14ac:dyDescent="0.3">
      <c r="B51" s="20"/>
      <c r="C51" s="21"/>
      <c r="D51" s="21"/>
      <c r="E51" s="21"/>
      <c r="F51" s="21"/>
      <c r="G51" s="22"/>
      <c r="H51" s="48"/>
      <c r="I51" s="33"/>
      <c r="J51" s="34"/>
      <c r="K51" s="42"/>
      <c r="L51" s="46"/>
      <c r="M51" s="34"/>
      <c r="N51" s="34"/>
      <c r="O51" s="34"/>
      <c r="P51" s="44"/>
    </row>
    <row r="52" spans="2:16" x14ac:dyDescent="0.25">
      <c r="B52" s="1"/>
    </row>
    <row r="53" spans="2:16" x14ac:dyDescent="0.25">
      <c r="B53" s="1"/>
    </row>
    <row r="54" spans="2:16" x14ac:dyDescent="0.25">
      <c r="B54" s="1"/>
    </row>
    <row r="55" spans="2:16" x14ac:dyDescent="0.25">
      <c r="B55" s="1"/>
    </row>
    <row r="56" spans="2:16" x14ac:dyDescent="0.25">
      <c r="B56" s="1"/>
    </row>
    <row r="57" spans="2:16" x14ac:dyDescent="0.25">
      <c r="B57" s="1"/>
    </row>
    <row r="58" spans="2:16" x14ac:dyDescent="0.25">
      <c r="B58" s="1"/>
    </row>
    <row r="59" spans="2:16" x14ac:dyDescent="0.25">
      <c r="B59" s="1"/>
    </row>
    <row r="60" spans="2:16" x14ac:dyDescent="0.25">
      <c r="B60" s="1"/>
    </row>
    <row r="61" spans="2:16" x14ac:dyDescent="0.25">
      <c r="B61" s="1"/>
    </row>
    <row r="62" spans="2:16" x14ac:dyDescent="0.25">
      <c r="B62" s="1"/>
    </row>
    <row r="63" spans="2:16" x14ac:dyDescent="0.25">
      <c r="B63" s="1"/>
    </row>
    <row r="64" spans="2:16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</sheetData>
  <mergeCells count="107">
    <mergeCell ref="I4:J4"/>
    <mergeCell ref="M4:N4"/>
    <mergeCell ref="P38:P40"/>
    <mergeCell ref="P41:P43"/>
    <mergeCell ref="P44:P46"/>
    <mergeCell ref="P47:P49"/>
    <mergeCell ref="P50:P51"/>
    <mergeCell ref="M50:O51"/>
    <mergeCell ref="P20:P22"/>
    <mergeCell ref="P23:P25"/>
    <mergeCell ref="P26:P28"/>
    <mergeCell ref="P29:P31"/>
    <mergeCell ref="P32:P34"/>
    <mergeCell ref="P35:P37"/>
    <mergeCell ref="L41:L43"/>
    <mergeCell ref="L44:L46"/>
    <mergeCell ref="L47:L49"/>
    <mergeCell ref="I50:K51"/>
    <mergeCell ref="L50:L51"/>
    <mergeCell ref="P5:P7"/>
    <mergeCell ref="P8:P10"/>
    <mergeCell ref="P11:P13"/>
    <mergeCell ref="P14:P16"/>
    <mergeCell ref="P17:P19"/>
    <mergeCell ref="L23:L25"/>
    <mergeCell ref="L26:L28"/>
    <mergeCell ref="L29:L31"/>
    <mergeCell ref="L32:L34"/>
    <mergeCell ref="L35:L37"/>
    <mergeCell ref="L38:L40"/>
    <mergeCell ref="H44:H46"/>
    <mergeCell ref="H47:H49"/>
    <mergeCell ref="B50:G51"/>
    <mergeCell ref="H50:H51"/>
    <mergeCell ref="L5:L7"/>
    <mergeCell ref="L8:L10"/>
    <mergeCell ref="L11:L13"/>
    <mergeCell ref="L14:L16"/>
    <mergeCell ref="L17:L19"/>
    <mergeCell ref="L20:L22"/>
    <mergeCell ref="H26:H28"/>
    <mergeCell ref="H29:H31"/>
    <mergeCell ref="H32:H34"/>
    <mergeCell ref="H35:H37"/>
    <mergeCell ref="H38:H40"/>
    <mergeCell ref="H41:H43"/>
    <mergeCell ref="H8:H10"/>
    <mergeCell ref="H11:H13"/>
    <mergeCell ref="H14:H16"/>
    <mergeCell ref="H17:H19"/>
    <mergeCell ref="H20:H22"/>
    <mergeCell ref="H23:H25"/>
    <mergeCell ref="F47:F49"/>
    <mergeCell ref="F29:F31"/>
    <mergeCell ref="F32:F34"/>
    <mergeCell ref="F35:F37"/>
    <mergeCell ref="F38:F40"/>
    <mergeCell ref="F41:F43"/>
    <mergeCell ref="F44:F46"/>
    <mergeCell ref="G44:G46"/>
    <mergeCell ref="G47:G49"/>
    <mergeCell ref="F8:F10"/>
    <mergeCell ref="F11:F13"/>
    <mergeCell ref="F14:F16"/>
    <mergeCell ref="F17:F19"/>
    <mergeCell ref="F20:F22"/>
    <mergeCell ref="F23:F25"/>
    <mergeCell ref="F26:F28"/>
    <mergeCell ref="G26:G28"/>
    <mergeCell ref="G29:G31"/>
    <mergeCell ref="G32:G34"/>
    <mergeCell ref="G35:G37"/>
    <mergeCell ref="G38:G40"/>
    <mergeCell ref="G41:G43"/>
    <mergeCell ref="B62:B63"/>
    <mergeCell ref="B64:B65"/>
    <mergeCell ref="B66:B67"/>
    <mergeCell ref="G8:G10"/>
    <mergeCell ref="G11:G13"/>
    <mergeCell ref="G14:G16"/>
    <mergeCell ref="G17:G19"/>
    <mergeCell ref="G20:G22"/>
    <mergeCell ref="G23:G25"/>
    <mergeCell ref="B52:B53"/>
    <mergeCell ref="B54:B55"/>
    <mergeCell ref="B56:B57"/>
    <mergeCell ref="B58:B59"/>
    <mergeCell ref="B60:B61"/>
    <mergeCell ref="B35:B37"/>
    <mergeCell ref="B38:B40"/>
    <mergeCell ref="B41:B43"/>
    <mergeCell ref="B44:B46"/>
    <mergeCell ref="B47:B49"/>
    <mergeCell ref="B17:B19"/>
    <mergeCell ref="B20:B22"/>
    <mergeCell ref="B23:B25"/>
    <mergeCell ref="B26:B28"/>
    <mergeCell ref="B29:B31"/>
    <mergeCell ref="B32:B34"/>
    <mergeCell ref="B5:B7"/>
    <mergeCell ref="B8:B10"/>
    <mergeCell ref="B11:B13"/>
    <mergeCell ref="B14:B16"/>
    <mergeCell ref="G5:G7"/>
    <mergeCell ref="F5:F7"/>
    <mergeCell ref="C4:E4"/>
    <mergeCell ref="H5:H7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dcterms:created xsi:type="dcterms:W3CDTF">2025-08-21T14:23:28Z</dcterms:created>
  <dcterms:modified xsi:type="dcterms:W3CDTF">2025-08-21T20:37:09Z</dcterms:modified>
</cp:coreProperties>
</file>