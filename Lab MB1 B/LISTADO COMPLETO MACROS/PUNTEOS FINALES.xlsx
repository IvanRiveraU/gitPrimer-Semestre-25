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Ubicacion C a D\Documentos\gitPrimer-Semetre-25\Lab MB1 B\LISTADO COMPLETO MACROS\"/>
    </mc:Choice>
  </mc:AlternateContent>
  <xr:revisionPtr revIDLastSave="0" documentId="13_ncr:1_{D3099883-2201-42E2-AA83-7E40F1CB7D1B}" xr6:coauthVersionLast="47" xr6:coauthVersionMax="47" xr10:uidLastSave="{00000000-0000-0000-0000-000000000000}"/>
  <bookViews>
    <workbookView xWindow="-110" yWindow="-110" windowWidth="19420" windowHeight="10420" xr2:uid="{F4BDE4DC-E94C-4D9E-A851-8F281B73FE4C}"/>
  </bookViews>
  <sheets>
    <sheet name="Hoja1" sheetId="1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8" i="1" l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7" i="1"/>
  <c r="Q28" i="1" l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F80" i="1" l="1"/>
  <c r="G80" i="1"/>
  <c r="H80" i="1"/>
  <c r="I80" i="1"/>
  <c r="J80" i="1"/>
  <c r="K80" i="1"/>
  <c r="L80" i="1"/>
  <c r="M80" i="1"/>
  <c r="N80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7" i="1"/>
  <c r="O80" i="1"/>
  <c r="P80" i="1"/>
</calcChain>
</file>

<file path=xl/sharedStrings.xml><?xml version="1.0" encoding="utf-8"?>
<sst xmlns="http://schemas.openxmlformats.org/spreadsheetml/2006/main" count="128" uniqueCount="109">
  <si>
    <t>No.</t>
  </si>
  <si>
    <t>Registro</t>
  </si>
  <si>
    <t>Nombres</t>
  </si>
  <si>
    <t>Pérez Aráuz Bily Bilsen Américo</t>
  </si>
  <si>
    <t>Macario Xicara Daniel Enrique</t>
  </si>
  <si>
    <t>Gomez Miranda Ronald Eliu</t>
  </si>
  <si>
    <t>Sum Agustin Cristian Yair</t>
  </si>
  <si>
    <t>Norato Batz Gabriel Alexander</t>
  </si>
  <si>
    <t>Orozco Bautista Cristian Emanuel</t>
  </si>
  <si>
    <t>Juárez Pinzón Yheshua Hermany</t>
  </si>
  <si>
    <t>Poncio Chávez Kevin José Moisés</t>
  </si>
  <si>
    <t>Maldonado Ramírez Leandry Analisse</t>
  </si>
  <si>
    <t>López Pereira Marcos Gadiel</t>
  </si>
  <si>
    <t>Osorio Alvarez Lesther Noel</t>
  </si>
  <si>
    <t>Ventura Ramón Allan Bacilio Guadalupe</t>
  </si>
  <si>
    <t>Gómez Gómez Flor De María</t>
  </si>
  <si>
    <t>Sacalxot Fuentes Ricardo Josué</t>
  </si>
  <si>
    <t>Baquiax Hernández Jackelin Vanessa</t>
  </si>
  <si>
    <t>Colaj Aguilar Juan Carlos</t>
  </si>
  <si>
    <t>De Leon De Leon Wilder Jose Manuel</t>
  </si>
  <si>
    <t>Gabriel Tziquín Francisco Miguel</t>
  </si>
  <si>
    <t>Romero Méndez Hanier Elien</t>
  </si>
  <si>
    <t>García Hernández José Miguel</t>
  </si>
  <si>
    <t>Lem Vicente Kabawil Jose Victor</t>
  </si>
  <si>
    <t>Pérez Güinac Allan Alfonso</t>
  </si>
  <si>
    <t>Caxaj Pérez Monica Silvana</t>
  </si>
  <si>
    <t>Laynez Sanchez Domingo Williams Witt</t>
  </si>
  <si>
    <t>González Agustin Brandon Geovany</t>
  </si>
  <si>
    <t>Estrada Orozco Luis Alessandro</t>
  </si>
  <si>
    <t>Sut Canil Fátima Guadalupe</t>
  </si>
  <si>
    <t>Maldonado Alvarez Willy André</t>
  </si>
  <si>
    <t>Hilario Ixcaticoy David Francisco</t>
  </si>
  <si>
    <t>García Méndez Rubén</t>
  </si>
  <si>
    <t>Lopez Coyoy Daniel Alexander</t>
  </si>
  <si>
    <t>Hernandez Flores Maria De Los Angeles</t>
  </si>
  <si>
    <t>Ramírez Lorenzo Bécket Wenceslao</t>
  </si>
  <si>
    <t>Cux Son Josseline Paola</t>
  </si>
  <si>
    <t>Us Ochoa Emily Paola</t>
  </si>
  <si>
    <t>Montiel Pérez Fulvio Alfredo</t>
  </si>
  <si>
    <t>Aguilar Herrera Kevin Misael</t>
  </si>
  <si>
    <t>Robles Barán Christian Fernando</t>
  </si>
  <si>
    <t>Lopez Rodriguez Marvin Josue</t>
  </si>
  <si>
    <t>Matul Figueroa Estefani Abigail</t>
  </si>
  <si>
    <t>Xiquin Yoxón Fernando David</t>
  </si>
  <si>
    <t>Caxaj Tale Jeremy Roman</t>
  </si>
  <si>
    <t>Say Tax Mario Francisco David</t>
  </si>
  <si>
    <t>Sac Ajxup Joel Isaac</t>
  </si>
  <si>
    <t>Sacalxot Escobar Manuel</t>
  </si>
  <si>
    <t>Poron Quiacain Emman Didier Nicolas</t>
  </si>
  <si>
    <t>Chojolan Macario Heydi Maritza</t>
  </si>
  <si>
    <t>Yancor Ocana Maria Fernanda</t>
  </si>
  <si>
    <t>Salanic Garcia Bryan Rocael</t>
  </si>
  <si>
    <t>Vasquez Peneleu Estuardo Rafael</t>
  </si>
  <si>
    <t>Campollo Garcia Juan Rodrigo</t>
  </si>
  <si>
    <t>Perez Choxom Lidia Alejandra</t>
  </si>
  <si>
    <t>Xivir Xivir Alex Felipe</t>
  </si>
  <si>
    <t>Ramos Cholotio Juan Antonio</t>
  </si>
  <si>
    <t>Fuentes Perez Nelfin Ulises</t>
  </si>
  <si>
    <t>Cac Tzoc Obed Absalon</t>
  </si>
  <si>
    <t>Ramirez García Astrid Alejandra</t>
  </si>
  <si>
    <t>Tistoj Quixtan Daniel Alejandro</t>
  </si>
  <si>
    <t>Copp Elías Esteban Fernando</t>
  </si>
  <si>
    <t>Macario López Débora Marian</t>
  </si>
  <si>
    <t>Lux Xulá Anthony Smaylin</t>
  </si>
  <si>
    <t>Zapeta Pur Angel Herson Jose</t>
  </si>
  <si>
    <t>Garcia Mendez Michael Anderson</t>
  </si>
  <si>
    <t>Juárez González Wilmer Ronaél</t>
  </si>
  <si>
    <t>Recinos Maldonado Jerry Francisco</t>
  </si>
  <si>
    <t>Rodríguez Carreto Brenda Michelle</t>
  </si>
  <si>
    <t>Bach Camaja Ilsi Juanita Magdalena</t>
  </si>
  <si>
    <t>Pelicó Alvarez Astrid Yohana</t>
  </si>
  <si>
    <t>Coyoy Lucas Edgar Inocente Isaac</t>
  </si>
  <si>
    <t>Pastor Cajchum Billy Bequer</t>
  </si>
  <si>
    <t>Jiménez Gómez Angel Daniel Dominique</t>
  </si>
  <si>
    <t>Total Estudiantes: 0</t>
  </si>
  <si>
    <t xml:space="preserve">Asistencia </t>
  </si>
  <si>
    <t xml:space="preserve">Martes </t>
  </si>
  <si>
    <t xml:space="preserve">Jueves </t>
  </si>
  <si>
    <t xml:space="preserve">José Alexander López Cantoral </t>
  </si>
  <si>
    <t>*</t>
  </si>
  <si>
    <t xml:space="preserve">Fredi Horlando Cotom Pérez </t>
  </si>
  <si>
    <t>HT 7 (11/09/2025)</t>
  </si>
  <si>
    <t>H8 (23/09/2025)</t>
  </si>
  <si>
    <t xml:space="preserve">Laboratorio Química </t>
  </si>
  <si>
    <t>5:50-7:30</t>
  </si>
  <si>
    <t>Programación Comercial</t>
  </si>
  <si>
    <t>Dibujo Mecánico</t>
  </si>
  <si>
    <t>Dibujo Constructivo</t>
  </si>
  <si>
    <t>5:50-7:20</t>
  </si>
  <si>
    <t>Programación Comercial (Jueves)</t>
  </si>
  <si>
    <t>06:00 - 7:00</t>
  </si>
  <si>
    <t xml:space="preserve">JUEVES </t>
  </si>
  <si>
    <t xml:space="preserve"> (23/09/2025)</t>
  </si>
  <si>
    <t xml:space="preserve">Semana Congreso </t>
  </si>
  <si>
    <t>HT5 (28/08/2025)</t>
  </si>
  <si>
    <t>HT(12/08/2025)</t>
  </si>
  <si>
    <t xml:space="preserve">Geometria y ecuaciones </t>
  </si>
  <si>
    <t>Funciones</t>
  </si>
  <si>
    <t>HT(19/08/2025)</t>
  </si>
  <si>
    <t>HT (2/09/2025)</t>
  </si>
  <si>
    <t>Investigacion teorica polinimios</t>
  </si>
  <si>
    <t>TAREA (2/09/2025)</t>
  </si>
  <si>
    <t>HT1 inge (29/07/2025)</t>
  </si>
  <si>
    <t>HT2 inge (1/08/2025)</t>
  </si>
  <si>
    <t xml:space="preserve">Graficas </t>
  </si>
  <si>
    <t>HT3  inge(13/08/2025)</t>
  </si>
  <si>
    <t>HT4  inge(29/08/2025)</t>
  </si>
  <si>
    <t>Funciones Racionales, Asintotas</t>
  </si>
  <si>
    <t>HT(9/10/2025)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</si>
</sst>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434343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0" fillId="2" borderId="0" xfId="0" applyFill="1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20" fontId="0" fillId="0" borderId="0" xfId="0" applyNumberFormat="1"/>
    <xf numFmtId="14" fontId="1" fillId="0" borderId="0" xfId="0" applyNumberFormat="1" applyFont="1" applyAlignment="1">
      <alignment horizontal="center"/>
    </xf>
    <xf numFmtId="0" fontId="0" fillId="0" borderId="2" xfId="0" applyBorder="1"/>
    <xf numFmtId="0" fontId="0" fillId="0" borderId="3" xfId="0" applyBorder="1"/>
    <xf numFmtId="0" fontId="1" fillId="0" borderId="3" xfId="0" applyFont="1" applyBorder="1"/>
    <xf numFmtId="0" fontId="1" fillId="0" borderId="1" xfId="0" applyFont="1" applyBorder="1"/>
    <xf numFmtId="0" fontId="0" fillId="0" borderId="4" xfId="0" applyBorder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bicacion%20C%20a%20D\Documentos\gitPrimer-Semetre-25\Lab%20MB1%20B\LISTADO%20COMPLETO%20MACROS\htasintota.xlsm" TargetMode="External"/><Relationship Id="rId1" Type="http://schemas.openxmlformats.org/officeDocument/2006/relationships/externalLinkPath" Target="htasintota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otrahoj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tfxasint"/>
      <sheetName val="punteo"/>
    </sheetNames>
    <sheetDataSet>
      <sheetData sheetId="0"/>
      <sheetData sheetId="1">
        <row r="6">
          <cell r="L6">
            <v>0</v>
          </cell>
        </row>
        <row r="7">
          <cell r="L7">
            <v>100</v>
          </cell>
        </row>
        <row r="8">
          <cell r="L8">
            <v>80</v>
          </cell>
        </row>
        <row r="9">
          <cell r="L9">
            <v>0</v>
          </cell>
        </row>
        <row r="10">
          <cell r="L10">
            <v>100</v>
          </cell>
        </row>
        <row r="11">
          <cell r="L11">
            <v>0</v>
          </cell>
        </row>
        <row r="12">
          <cell r="L12">
            <v>80</v>
          </cell>
        </row>
        <row r="13">
          <cell r="L13">
            <v>80</v>
          </cell>
        </row>
        <row r="14">
          <cell r="L14">
            <v>100</v>
          </cell>
        </row>
        <row r="15">
          <cell r="L15">
            <v>0</v>
          </cell>
        </row>
        <row r="16">
          <cell r="L16">
            <v>0</v>
          </cell>
        </row>
        <row r="17">
          <cell r="L17">
            <v>0</v>
          </cell>
        </row>
        <row r="18">
          <cell r="L18">
            <v>100</v>
          </cell>
        </row>
        <row r="19">
          <cell r="L19">
            <v>100</v>
          </cell>
        </row>
        <row r="20">
          <cell r="L20">
            <v>0</v>
          </cell>
        </row>
        <row r="21">
          <cell r="L21">
            <v>80</v>
          </cell>
        </row>
        <row r="22">
          <cell r="L22">
            <v>100</v>
          </cell>
        </row>
        <row r="23">
          <cell r="L23">
            <v>80</v>
          </cell>
        </row>
        <row r="24">
          <cell r="L24">
            <v>0</v>
          </cell>
        </row>
        <row r="25">
          <cell r="L25">
            <v>100</v>
          </cell>
        </row>
        <row r="26">
          <cell r="L26">
            <v>80</v>
          </cell>
        </row>
        <row r="27">
          <cell r="L27">
            <v>80</v>
          </cell>
        </row>
        <row r="28">
          <cell r="L28">
            <v>0</v>
          </cell>
        </row>
        <row r="29">
          <cell r="L29">
            <v>0</v>
          </cell>
        </row>
        <row r="30">
          <cell r="L30">
            <v>80</v>
          </cell>
        </row>
        <row r="31">
          <cell r="L31">
            <v>0</v>
          </cell>
        </row>
        <row r="32">
          <cell r="L32">
            <v>80</v>
          </cell>
        </row>
        <row r="33">
          <cell r="L33">
            <v>90</v>
          </cell>
        </row>
        <row r="34">
          <cell r="L34">
            <v>80</v>
          </cell>
        </row>
        <row r="35">
          <cell r="L35">
            <v>80</v>
          </cell>
        </row>
        <row r="36">
          <cell r="L36">
            <v>100</v>
          </cell>
        </row>
        <row r="37">
          <cell r="L37">
            <v>100</v>
          </cell>
        </row>
        <row r="38">
          <cell r="L38">
            <v>80</v>
          </cell>
        </row>
        <row r="39">
          <cell r="L39">
            <v>95</v>
          </cell>
        </row>
        <row r="40">
          <cell r="L40">
            <v>100</v>
          </cell>
        </row>
        <row r="41">
          <cell r="L41">
            <v>0</v>
          </cell>
        </row>
        <row r="42">
          <cell r="L42">
            <v>0</v>
          </cell>
        </row>
        <row r="43">
          <cell r="L43">
            <v>80</v>
          </cell>
        </row>
        <row r="44">
          <cell r="L44">
            <v>0</v>
          </cell>
        </row>
        <row r="45">
          <cell r="L45">
            <v>0</v>
          </cell>
        </row>
        <row r="46">
          <cell r="L46">
            <v>0</v>
          </cell>
        </row>
        <row r="47">
          <cell r="L47">
            <v>80</v>
          </cell>
        </row>
        <row r="48">
          <cell r="L48">
            <v>0</v>
          </cell>
        </row>
        <row r="49">
          <cell r="L49">
            <v>100</v>
          </cell>
        </row>
        <row r="50">
          <cell r="L50">
            <v>100</v>
          </cell>
        </row>
        <row r="51">
          <cell r="L51">
            <v>100</v>
          </cell>
        </row>
        <row r="52">
          <cell r="L52">
            <v>100</v>
          </cell>
        </row>
        <row r="53">
          <cell r="L53">
            <v>100</v>
          </cell>
        </row>
        <row r="54">
          <cell r="L54">
            <v>80</v>
          </cell>
        </row>
        <row r="55">
          <cell r="L55">
            <v>90</v>
          </cell>
        </row>
        <row r="56">
          <cell r="L56">
            <v>80</v>
          </cell>
        </row>
        <row r="57">
          <cell r="L57">
            <v>95</v>
          </cell>
        </row>
        <row r="58">
          <cell r="L58">
            <v>100</v>
          </cell>
        </row>
        <row r="59">
          <cell r="L59">
            <v>90</v>
          </cell>
        </row>
        <row r="60">
          <cell r="L60">
            <v>80</v>
          </cell>
        </row>
        <row r="61">
          <cell r="L61">
            <v>80</v>
          </cell>
        </row>
        <row r="62">
          <cell r="L62">
            <v>0</v>
          </cell>
        </row>
        <row r="63">
          <cell r="L63">
            <v>0</v>
          </cell>
        </row>
        <row r="64">
          <cell r="L64">
            <v>0</v>
          </cell>
        </row>
        <row r="65">
          <cell r="L65">
            <v>95</v>
          </cell>
        </row>
        <row r="66">
          <cell r="L66">
            <v>0</v>
          </cell>
        </row>
        <row r="67">
          <cell r="L67">
            <v>90</v>
          </cell>
        </row>
        <row r="68">
          <cell r="L68">
            <v>0</v>
          </cell>
        </row>
        <row r="69">
          <cell r="L69">
            <v>100</v>
          </cell>
        </row>
        <row r="70">
          <cell r="L70">
            <v>80</v>
          </cell>
        </row>
        <row r="71">
          <cell r="L71">
            <v>100</v>
          </cell>
        </row>
        <row r="72">
          <cell r="L72">
            <v>0</v>
          </cell>
        </row>
        <row r="73">
          <cell r="L73">
            <v>95</v>
          </cell>
        </row>
        <row r="74">
          <cell r="L74">
            <v>0</v>
          </cell>
        </row>
        <row r="75">
          <cell r="L75">
            <v>100</v>
          </cell>
        </row>
        <row r="76">
          <cell r="L76">
            <v>0</v>
          </cell>
        </row>
        <row r="77">
          <cell r="L77">
            <v>100</v>
          </cell>
        </row>
        <row r="78">
          <cell r="L78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tfxasint"/>
      <sheetName val="punteo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37005-F0FF-4A3F-B098-783C2B519B7D}">
  <sheetPr codeName="Hoja1"/>
  <dimension ref="A4:W80"/>
  <sheetViews>
    <sheetView tabSelected="1" topLeftCell="N1" zoomScale="70" zoomScaleNormal="70" workbookViewId="0">
      <selection activeCell="R12" sqref="R12"/>
    </sheetView>
  </sheetViews>
  <sheetFormatPr baseColWidth="10" defaultRowHeight="14.5" x14ac:dyDescent="0.35"/>
  <cols>
    <col min="2" max="2" width="29.26953125" style="1" customWidth="1"/>
    <col min="3" max="3" width="12" customWidth="1"/>
    <col min="4" max="4" width="20.1796875" customWidth="1"/>
    <col min="5" max="5" width="36.1796875" customWidth="1"/>
    <col min="6" max="6" width="22.54296875" customWidth="1"/>
    <col min="7" max="7" width="19.54296875" customWidth="1"/>
    <col min="8" max="9" width="19.90625" customWidth="1"/>
    <col min="10" max="10" width="24.1796875" customWidth="1"/>
    <col min="11" max="11" width="30.7265625" customWidth="1"/>
    <col min="12" max="13" width="27.6328125" customWidth="1"/>
    <col min="14" max="14" width="21.1796875" customWidth="1"/>
    <col min="15" max="19" width="27.26953125" customWidth="1"/>
    <col min="20" max="21" width="31.81640625" customWidth="1"/>
    <col min="22" max="22" width="22.81640625" customWidth="1"/>
    <col min="23" max="23" width="18.54296875" customWidth="1"/>
  </cols>
  <sheetData>
    <row r="4" spans="3:23" x14ac:dyDescent="0.35">
      <c r="T4" s="5" t="s">
        <v>75</v>
      </c>
      <c r="U4" s="5" t="s">
        <v>75</v>
      </c>
      <c r="V4" s="15" t="s">
        <v>93</v>
      </c>
      <c r="W4" s="15"/>
    </row>
    <row r="5" spans="3:23" x14ac:dyDescent="0.35">
      <c r="J5" t="s">
        <v>96</v>
      </c>
      <c r="K5" t="s">
        <v>97</v>
      </c>
      <c r="M5" t="s">
        <v>100</v>
      </c>
      <c r="N5" t="s">
        <v>104</v>
      </c>
      <c r="Q5" t="s">
        <v>107</v>
      </c>
      <c r="T5" s="5" t="s">
        <v>77</v>
      </c>
      <c r="U5" s="5" t="s">
        <v>91</v>
      </c>
      <c r="V5" s="4" t="s">
        <v>76</v>
      </c>
      <c r="W5" s="4" t="s">
        <v>77</v>
      </c>
    </row>
    <row r="6" spans="3:23" x14ac:dyDescent="0.35">
      <c r="C6" s="1" t="s">
        <v>0</v>
      </c>
      <c r="D6" s="1" t="s">
        <v>1</v>
      </c>
      <c r="E6" s="1" t="s">
        <v>2</v>
      </c>
      <c r="F6" s="1" t="s">
        <v>102</v>
      </c>
      <c r="G6" s="1" t="s">
        <v>103</v>
      </c>
      <c r="H6" s="1" t="s">
        <v>105</v>
      </c>
      <c r="I6" s="1" t="s">
        <v>106</v>
      </c>
      <c r="J6" s="1" t="s">
        <v>95</v>
      </c>
      <c r="K6" s="1" t="s">
        <v>98</v>
      </c>
      <c r="L6" s="1" t="s">
        <v>94</v>
      </c>
      <c r="M6" s="1" t="s">
        <v>99</v>
      </c>
      <c r="N6" s="1" t="s">
        <v>101</v>
      </c>
      <c r="O6" s="4" t="s">
        <v>81</v>
      </c>
      <c r="P6" s="4" t="s">
        <v>82</v>
      </c>
      <c r="Q6" s="4" t="s">
        <v>108</v>
      </c>
      <c r="R6" s="4"/>
      <c r="S6" s="4"/>
      <c r="T6" s="7">
        <v>45911</v>
      </c>
      <c r="U6" s="4" t="s">
        <v>92</v>
      </c>
      <c r="V6" s="2">
        <v>45930</v>
      </c>
      <c r="W6" s="2">
        <v>45902</v>
      </c>
    </row>
    <row r="7" spans="3:23" x14ac:dyDescent="0.35">
      <c r="C7">
        <v>1</v>
      </c>
      <c r="D7">
        <v>202030174</v>
      </c>
      <c r="E7" t="s">
        <v>3</v>
      </c>
      <c r="F7">
        <v>0</v>
      </c>
      <c r="G7">
        <v>0</v>
      </c>
      <c r="H7">
        <v>50</v>
      </c>
      <c r="I7">
        <v>0</v>
      </c>
      <c r="J7">
        <v>0</v>
      </c>
      <c r="K7">
        <v>0</v>
      </c>
      <c r="L7">
        <v>0</v>
      </c>
      <c r="M7">
        <v>100</v>
      </c>
      <c r="N7">
        <v>0</v>
      </c>
      <c r="P7">
        <v>100</v>
      </c>
      <c r="Q7" s="14">
        <f>IF([1]punteo!L6="",0,[1]punteo!L6)</f>
        <v>0</v>
      </c>
      <c r="R7" s="14">
        <f>IF([1]punteo!M6="",0,[2]punteo!M6)</f>
        <v>0</v>
      </c>
      <c r="T7">
        <f>IF(O7&gt;0,1,0)</f>
        <v>0</v>
      </c>
      <c r="U7">
        <f>IF(P7&gt;0,1,0)</f>
        <v>1</v>
      </c>
      <c r="V7" s="3">
        <v>1</v>
      </c>
    </row>
    <row r="8" spans="3:23" x14ac:dyDescent="0.35">
      <c r="C8">
        <v>2</v>
      </c>
      <c r="D8">
        <v>202032032</v>
      </c>
      <c r="E8" t="s">
        <v>4</v>
      </c>
      <c r="F8">
        <v>100</v>
      </c>
      <c r="G8">
        <v>0</v>
      </c>
      <c r="H8">
        <v>50</v>
      </c>
      <c r="I8">
        <v>100</v>
      </c>
      <c r="J8">
        <v>100</v>
      </c>
      <c r="K8">
        <v>100</v>
      </c>
      <c r="L8">
        <v>100</v>
      </c>
      <c r="M8">
        <v>100</v>
      </c>
      <c r="N8">
        <v>80</v>
      </c>
      <c r="O8">
        <v>100</v>
      </c>
      <c r="P8">
        <v>100</v>
      </c>
      <c r="Q8" s="14">
        <f>IF([1]punteo!L7="",0,[1]punteo!L7)</f>
        <v>100</v>
      </c>
      <c r="R8" s="14">
        <f>IF([1]punteo!M7="",0,[2]punteo!M7)</f>
        <v>0</v>
      </c>
      <c r="T8">
        <f t="shared" ref="T8:T71" si="0">IF(O8&gt;0,1,0)</f>
        <v>1</v>
      </c>
      <c r="U8">
        <f t="shared" ref="U8:U71" si="1">IF(P8&gt;0,1,0)</f>
        <v>1</v>
      </c>
      <c r="V8">
        <v>1</v>
      </c>
    </row>
    <row r="9" spans="3:23" x14ac:dyDescent="0.35">
      <c r="C9">
        <v>3</v>
      </c>
      <c r="D9">
        <v>202231116</v>
      </c>
      <c r="E9" t="s">
        <v>5</v>
      </c>
      <c r="F9">
        <v>100</v>
      </c>
      <c r="G9">
        <v>0</v>
      </c>
      <c r="H9">
        <v>100</v>
      </c>
      <c r="I9">
        <v>0</v>
      </c>
      <c r="J9">
        <v>85</v>
      </c>
      <c r="K9">
        <v>100</v>
      </c>
      <c r="L9">
        <v>100</v>
      </c>
      <c r="M9">
        <v>100</v>
      </c>
      <c r="N9">
        <v>70</v>
      </c>
      <c r="P9">
        <v>85</v>
      </c>
      <c r="Q9" s="14">
        <f>IF([1]punteo!L8="",0,[1]punteo!L8)</f>
        <v>80</v>
      </c>
      <c r="R9" s="14">
        <f>IF([1]punteo!M8="",0,[2]punteo!M8)</f>
        <v>0</v>
      </c>
      <c r="T9">
        <f t="shared" si="0"/>
        <v>0</v>
      </c>
      <c r="U9">
        <f t="shared" si="1"/>
        <v>1</v>
      </c>
      <c r="V9">
        <v>0</v>
      </c>
    </row>
    <row r="10" spans="3:23" x14ac:dyDescent="0.35">
      <c r="C10">
        <v>4</v>
      </c>
      <c r="D10">
        <v>202330276</v>
      </c>
      <c r="E10" t="s">
        <v>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Q10" s="14">
        <f>IF([1]punteo!L9="",0,[1]punteo!L9)</f>
        <v>0</v>
      </c>
      <c r="R10" s="14">
        <f>IF([1]punteo!M9="",0,[2]punteo!M9)</f>
        <v>0</v>
      </c>
      <c r="T10">
        <f t="shared" si="0"/>
        <v>0</v>
      </c>
      <c r="U10">
        <f t="shared" si="1"/>
        <v>0</v>
      </c>
      <c r="V10">
        <v>1</v>
      </c>
    </row>
    <row r="11" spans="3:23" x14ac:dyDescent="0.35">
      <c r="C11">
        <v>5</v>
      </c>
      <c r="D11">
        <v>202331587</v>
      </c>
      <c r="E11" t="s">
        <v>7</v>
      </c>
      <c r="F11">
        <v>0</v>
      </c>
      <c r="G11">
        <v>0</v>
      </c>
      <c r="H11">
        <v>100</v>
      </c>
      <c r="I11">
        <v>90</v>
      </c>
      <c r="J11">
        <v>0</v>
      </c>
      <c r="K11">
        <v>50</v>
      </c>
      <c r="L11">
        <v>90</v>
      </c>
      <c r="M11">
        <v>80</v>
      </c>
      <c r="N11">
        <v>75</v>
      </c>
      <c r="O11">
        <v>85</v>
      </c>
      <c r="Q11" s="14">
        <f>IF([1]punteo!L10="",0,[1]punteo!L10)</f>
        <v>100</v>
      </c>
      <c r="R11" s="14">
        <f>IF([1]punteo!M10="",0,[2]punteo!M10)</f>
        <v>0</v>
      </c>
      <c r="T11">
        <f t="shared" si="0"/>
        <v>1</v>
      </c>
      <c r="U11">
        <f t="shared" si="1"/>
        <v>0</v>
      </c>
      <c r="V11">
        <v>0</v>
      </c>
    </row>
    <row r="12" spans="3:23" x14ac:dyDescent="0.35">
      <c r="C12">
        <v>6</v>
      </c>
      <c r="D12">
        <v>202332049</v>
      </c>
      <c r="E12" t="s">
        <v>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Q12" s="14">
        <f>IF([1]punteo!L11="",0,[1]punteo!L11)</f>
        <v>0</v>
      </c>
      <c r="R12" s="14">
        <f>IF([1]punteo!M11="",0,[2]punteo!M11)</f>
        <v>0</v>
      </c>
      <c r="T12">
        <f t="shared" si="0"/>
        <v>0</v>
      </c>
      <c r="U12">
        <f t="shared" si="1"/>
        <v>0</v>
      </c>
      <c r="V12">
        <v>0</v>
      </c>
    </row>
    <row r="13" spans="3:23" x14ac:dyDescent="0.35">
      <c r="C13">
        <v>7</v>
      </c>
      <c r="D13">
        <v>202402553</v>
      </c>
      <c r="E13" t="s">
        <v>9</v>
      </c>
      <c r="F13">
        <v>100</v>
      </c>
      <c r="G13">
        <v>0</v>
      </c>
      <c r="H13">
        <v>100</v>
      </c>
      <c r="I13">
        <v>90</v>
      </c>
      <c r="J13">
        <v>60</v>
      </c>
      <c r="K13">
        <v>0</v>
      </c>
      <c r="L13">
        <v>100</v>
      </c>
      <c r="M13">
        <v>100</v>
      </c>
      <c r="N13">
        <v>50</v>
      </c>
      <c r="P13">
        <v>65</v>
      </c>
      <c r="Q13" s="14">
        <f>IF([1]punteo!L12="",0,[1]punteo!L12)</f>
        <v>80</v>
      </c>
      <c r="R13" s="14">
        <f>IF([1]punteo!M12="",0,[2]punteo!M12)</f>
        <v>0</v>
      </c>
      <c r="T13">
        <f t="shared" si="0"/>
        <v>0</v>
      </c>
      <c r="U13">
        <f t="shared" si="1"/>
        <v>1</v>
      </c>
      <c r="V13">
        <v>0</v>
      </c>
    </row>
    <row r="14" spans="3:23" x14ac:dyDescent="0.35">
      <c r="C14">
        <v>8</v>
      </c>
      <c r="D14">
        <v>202430271</v>
      </c>
      <c r="E14" t="s">
        <v>10</v>
      </c>
      <c r="F14">
        <v>0</v>
      </c>
      <c r="G14">
        <v>100</v>
      </c>
      <c r="H14">
        <v>0</v>
      </c>
      <c r="I14">
        <v>0</v>
      </c>
      <c r="J14">
        <v>100</v>
      </c>
      <c r="K14">
        <v>100</v>
      </c>
      <c r="L14">
        <v>0</v>
      </c>
      <c r="M14">
        <v>0</v>
      </c>
      <c r="N14">
        <v>0</v>
      </c>
      <c r="P14">
        <v>70</v>
      </c>
      <c r="Q14" s="14">
        <f>IF([1]punteo!L13="",0,[1]punteo!L13)</f>
        <v>80</v>
      </c>
      <c r="R14" s="14">
        <f>IF([1]punteo!M13="",0,[2]punteo!M13)</f>
        <v>0</v>
      </c>
      <c r="T14">
        <f t="shared" si="0"/>
        <v>0</v>
      </c>
      <c r="U14">
        <f t="shared" si="1"/>
        <v>1</v>
      </c>
      <c r="V14">
        <v>1</v>
      </c>
    </row>
    <row r="15" spans="3:23" x14ac:dyDescent="0.35">
      <c r="C15">
        <v>9</v>
      </c>
      <c r="D15">
        <v>202430532</v>
      </c>
      <c r="E15" t="s">
        <v>11</v>
      </c>
      <c r="F15">
        <v>100</v>
      </c>
      <c r="G15">
        <v>0</v>
      </c>
      <c r="H15">
        <v>100</v>
      </c>
      <c r="I15">
        <v>100</v>
      </c>
      <c r="J15">
        <v>100</v>
      </c>
      <c r="K15">
        <v>100</v>
      </c>
      <c r="L15">
        <v>100</v>
      </c>
      <c r="M15">
        <v>100</v>
      </c>
      <c r="N15">
        <v>100</v>
      </c>
      <c r="O15">
        <v>65</v>
      </c>
      <c r="P15">
        <v>80</v>
      </c>
      <c r="Q15" s="14">
        <f>IF([1]punteo!L14="",0,[1]punteo!L14)</f>
        <v>100</v>
      </c>
      <c r="R15" s="14">
        <f>IF([1]punteo!M14="",0,[2]punteo!M14)</f>
        <v>0</v>
      </c>
      <c r="T15">
        <f t="shared" si="0"/>
        <v>1</v>
      </c>
      <c r="U15">
        <f t="shared" si="1"/>
        <v>1</v>
      </c>
      <c r="V15">
        <v>0</v>
      </c>
    </row>
    <row r="16" spans="3:23" x14ac:dyDescent="0.35">
      <c r="C16">
        <v>10</v>
      </c>
      <c r="D16">
        <v>202430589</v>
      </c>
      <c r="E16" t="s">
        <v>12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100</v>
      </c>
      <c r="M16">
        <v>80</v>
      </c>
      <c r="N16">
        <v>70</v>
      </c>
      <c r="Q16" s="14">
        <f>IF([1]punteo!L15="",0,[1]punteo!L15)</f>
        <v>0</v>
      </c>
      <c r="R16" s="14">
        <f>IF([1]punteo!M15="",0,[2]punteo!M15)</f>
        <v>0</v>
      </c>
      <c r="T16">
        <f t="shared" si="0"/>
        <v>0</v>
      </c>
      <c r="U16">
        <f t="shared" si="1"/>
        <v>0</v>
      </c>
      <c r="V16">
        <v>0</v>
      </c>
    </row>
    <row r="17" spans="1:22" x14ac:dyDescent="0.35">
      <c r="C17">
        <v>11</v>
      </c>
      <c r="D17">
        <v>202430602</v>
      </c>
      <c r="E17" t="s">
        <v>13</v>
      </c>
      <c r="F17">
        <v>0</v>
      </c>
      <c r="G17">
        <v>0</v>
      </c>
      <c r="H17">
        <v>100</v>
      </c>
      <c r="I17">
        <v>0</v>
      </c>
      <c r="J17">
        <v>60</v>
      </c>
      <c r="K17">
        <v>0</v>
      </c>
      <c r="L17">
        <v>90</v>
      </c>
      <c r="M17">
        <v>100</v>
      </c>
      <c r="N17">
        <v>0</v>
      </c>
      <c r="P17">
        <v>30</v>
      </c>
      <c r="Q17" s="14">
        <f>IF([1]punteo!L16="",0,[1]punteo!L16)</f>
        <v>0</v>
      </c>
      <c r="R17" s="14">
        <f>IF([1]punteo!M16="",0,[2]punteo!M16)</f>
        <v>0</v>
      </c>
      <c r="T17">
        <f t="shared" si="0"/>
        <v>0</v>
      </c>
      <c r="U17">
        <f t="shared" si="1"/>
        <v>1</v>
      </c>
      <c r="V17">
        <v>0</v>
      </c>
    </row>
    <row r="18" spans="1:22" x14ac:dyDescent="0.35">
      <c r="C18">
        <v>12</v>
      </c>
      <c r="D18">
        <v>202430633</v>
      </c>
      <c r="E18" t="s">
        <v>14</v>
      </c>
      <c r="F18">
        <v>100</v>
      </c>
      <c r="G18">
        <v>0</v>
      </c>
      <c r="H18">
        <v>100</v>
      </c>
      <c r="I18">
        <v>100</v>
      </c>
      <c r="J18">
        <v>100</v>
      </c>
      <c r="K18">
        <v>100</v>
      </c>
      <c r="L18">
        <v>100</v>
      </c>
      <c r="M18">
        <v>100</v>
      </c>
      <c r="N18">
        <v>50</v>
      </c>
      <c r="O18">
        <v>100</v>
      </c>
      <c r="P18">
        <v>50</v>
      </c>
      <c r="Q18" s="14">
        <f>IF([1]punteo!L17="",0,[1]punteo!L17)</f>
        <v>0</v>
      </c>
      <c r="R18" s="14">
        <f>IF([1]punteo!M17="",0,[2]punteo!M17)</f>
        <v>0</v>
      </c>
      <c r="T18">
        <f t="shared" si="0"/>
        <v>1</v>
      </c>
      <c r="U18">
        <f t="shared" si="1"/>
        <v>1</v>
      </c>
      <c r="V18">
        <v>1</v>
      </c>
    </row>
    <row r="19" spans="1:22" x14ac:dyDescent="0.35">
      <c r="A19" s="6">
        <v>0.27777777777777779</v>
      </c>
      <c r="B19" s="13" t="s">
        <v>85</v>
      </c>
      <c r="C19">
        <v>13</v>
      </c>
      <c r="D19">
        <v>202430645</v>
      </c>
      <c r="E19" t="s">
        <v>15</v>
      </c>
      <c r="F19">
        <v>100</v>
      </c>
      <c r="G19">
        <v>0</v>
      </c>
      <c r="H19">
        <v>50</v>
      </c>
      <c r="I19">
        <v>0</v>
      </c>
      <c r="J19">
        <v>100</v>
      </c>
      <c r="K19">
        <v>85</v>
      </c>
      <c r="L19">
        <v>100</v>
      </c>
      <c r="M19">
        <v>100</v>
      </c>
      <c r="N19">
        <v>70</v>
      </c>
      <c r="O19">
        <v>75</v>
      </c>
      <c r="P19">
        <v>70</v>
      </c>
      <c r="Q19" s="14">
        <f>IF([1]punteo!L18="",0,[1]punteo!L18)</f>
        <v>100</v>
      </c>
      <c r="R19" s="14">
        <f>IF([1]punteo!M18="",0,[2]punteo!M18)</f>
        <v>0</v>
      </c>
      <c r="T19">
        <f t="shared" si="0"/>
        <v>1</v>
      </c>
      <c r="U19">
        <f t="shared" si="1"/>
        <v>1</v>
      </c>
      <c r="V19">
        <v>1</v>
      </c>
    </row>
    <row r="20" spans="1:22" x14ac:dyDescent="0.35">
      <c r="C20">
        <v>14</v>
      </c>
      <c r="D20">
        <v>202430733</v>
      </c>
      <c r="E20" t="s">
        <v>16</v>
      </c>
      <c r="F20">
        <v>100</v>
      </c>
      <c r="G20">
        <v>0</v>
      </c>
      <c r="H20">
        <v>50</v>
      </c>
      <c r="I20">
        <v>100</v>
      </c>
      <c r="J20">
        <v>85</v>
      </c>
      <c r="K20">
        <v>100</v>
      </c>
      <c r="L20">
        <v>100</v>
      </c>
      <c r="M20">
        <v>100</v>
      </c>
      <c r="N20">
        <v>50</v>
      </c>
      <c r="O20">
        <v>100</v>
      </c>
      <c r="P20">
        <v>100</v>
      </c>
      <c r="Q20" s="14">
        <f>IF([1]punteo!L19="",0,[1]punteo!L19)</f>
        <v>100</v>
      </c>
      <c r="R20" s="14">
        <f>IF([1]punteo!M19="",0,[2]punteo!M19)</f>
        <v>0</v>
      </c>
      <c r="T20">
        <f t="shared" si="0"/>
        <v>1</v>
      </c>
      <c r="U20">
        <f t="shared" si="1"/>
        <v>1</v>
      </c>
      <c r="V20">
        <v>0</v>
      </c>
    </row>
    <row r="21" spans="1:22" x14ac:dyDescent="0.35">
      <c r="C21">
        <v>15</v>
      </c>
      <c r="D21">
        <v>202430804</v>
      </c>
      <c r="E21" t="s">
        <v>17</v>
      </c>
      <c r="F21">
        <v>100</v>
      </c>
      <c r="G21">
        <v>0</v>
      </c>
      <c r="H21">
        <v>0</v>
      </c>
      <c r="I21">
        <v>0</v>
      </c>
      <c r="J21">
        <v>100</v>
      </c>
      <c r="K21">
        <v>100</v>
      </c>
      <c r="L21">
        <v>100</v>
      </c>
      <c r="M21">
        <v>100</v>
      </c>
      <c r="N21">
        <v>80</v>
      </c>
      <c r="O21">
        <v>100</v>
      </c>
      <c r="P21">
        <v>100</v>
      </c>
      <c r="Q21" s="14">
        <f>IF([1]punteo!L20="",0,[1]punteo!L20)</f>
        <v>0</v>
      </c>
      <c r="R21" s="14">
        <f>IF([1]punteo!M20="",0,[2]punteo!M20)</f>
        <v>0</v>
      </c>
      <c r="T21">
        <f t="shared" si="0"/>
        <v>1</v>
      </c>
      <c r="U21">
        <f t="shared" si="1"/>
        <v>1</v>
      </c>
      <c r="V21">
        <v>0</v>
      </c>
    </row>
    <row r="22" spans="1:22" x14ac:dyDescent="0.35">
      <c r="A22" s="6" t="s">
        <v>90</v>
      </c>
      <c r="B22" s="13" t="s">
        <v>86</v>
      </c>
      <c r="C22">
        <v>16</v>
      </c>
      <c r="D22">
        <v>202430829</v>
      </c>
      <c r="E22" t="s">
        <v>18</v>
      </c>
      <c r="F22">
        <v>100</v>
      </c>
      <c r="G22">
        <v>100</v>
      </c>
      <c r="H22">
        <v>100</v>
      </c>
      <c r="I22">
        <v>90</v>
      </c>
      <c r="J22">
        <v>85</v>
      </c>
      <c r="K22">
        <v>100</v>
      </c>
      <c r="L22">
        <v>100</v>
      </c>
      <c r="M22">
        <v>100</v>
      </c>
      <c r="N22">
        <v>70</v>
      </c>
      <c r="O22">
        <v>85</v>
      </c>
      <c r="P22">
        <v>85</v>
      </c>
      <c r="Q22" s="14">
        <f>IF([1]punteo!L21="",0,[1]punteo!L21)</f>
        <v>80</v>
      </c>
      <c r="R22" s="14">
        <f>IF([1]punteo!M21="",0,[2]punteo!M21)</f>
        <v>0</v>
      </c>
      <c r="T22">
        <f t="shared" si="0"/>
        <v>1</v>
      </c>
      <c r="U22">
        <f t="shared" si="1"/>
        <v>1</v>
      </c>
      <c r="V22">
        <v>1</v>
      </c>
    </row>
    <row r="23" spans="1:22" x14ac:dyDescent="0.35">
      <c r="C23">
        <v>17</v>
      </c>
      <c r="D23">
        <v>202431169</v>
      </c>
      <c r="E23" t="s">
        <v>19</v>
      </c>
      <c r="F23">
        <v>100</v>
      </c>
      <c r="G23">
        <v>0</v>
      </c>
      <c r="H23">
        <v>50</v>
      </c>
      <c r="I23">
        <v>100</v>
      </c>
      <c r="J23">
        <v>85</v>
      </c>
      <c r="K23">
        <v>100</v>
      </c>
      <c r="L23">
        <v>100</v>
      </c>
      <c r="M23">
        <v>100</v>
      </c>
      <c r="N23">
        <v>50</v>
      </c>
      <c r="O23">
        <v>100</v>
      </c>
      <c r="P23">
        <v>100</v>
      </c>
      <c r="Q23" s="14">
        <f>IF([1]punteo!L22="",0,[1]punteo!L22)</f>
        <v>100</v>
      </c>
      <c r="R23" s="14">
        <f>IF([1]punteo!M22="",0,[2]punteo!M22)</f>
        <v>0</v>
      </c>
      <c r="T23">
        <f t="shared" si="0"/>
        <v>1</v>
      </c>
      <c r="U23">
        <f t="shared" si="1"/>
        <v>1</v>
      </c>
      <c r="V23">
        <v>1</v>
      </c>
    </row>
    <row r="24" spans="1:22" x14ac:dyDescent="0.35">
      <c r="A24" s="6">
        <v>0.27777777777777779</v>
      </c>
      <c r="B24" s="13" t="s">
        <v>87</v>
      </c>
      <c r="C24">
        <v>18</v>
      </c>
      <c r="D24">
        <v>202431502</v>
      </c>
      <c r="E24" t="s">
        <v>20</v>
      </c>
      <c r="F24">
        <v>100</v>
      </c>
      <c r="G24">
        <v>100</v>
      </c>
      <c r="H24">
        <v>100</v>
      </c>
      <c r="I24">
        <v>100</v>
      </c>
      <c r="J24">
        <v>100</v>
      </c>
      <c r="K24">
        <v>100</v>
      </c>
      <c r="L24">
        <v>100</v>
      </c>
      <c r="M24">
        <v>100</v>
      </c>
      <c r="N24">
        <v>50</v>
      </c>
      <c r="O24">
        <v>90</v>
      </c>
      <c r="P24">
        <v>45</v>
      </c>
      <c r="Q24" s="14">
        <f>IF([1]punteo!L23="",0,[1]punteo!L23)</f>
        <v>80</v>
      </c>
      <c r="R24" s="14">
        <f>IF([1]punteo!M23="",0,[2]punteo!M23)</f>
        <v>0</v>
      </c>
      <c r="T24">
        <f t="shared" si="0"/>
        <v>1</v>
      </c>
      <c r="U24">
        <f t="shared" si="1"/>
        <v>1</v>
      </c>
      <c r="V24">
        <v>0</v>
      </c>
    </row>
    <row r="25" spans="1:22" x14ac:dyDescent="0.35">
      <c r="B25" s="13"/>
      <c r="C25">
        <v>19</v>
      </c>
      <c r="D25">
        <v>202431726</v>
      </c>
      <c r="E25" t="s">
        <v>21</v>
      </c>
      <c r="F25">
        <v>100</v>
      </c>
      <c r="G25">
        <v>0</v>
      </c>
      <c r="H25">
        <v>100</v>
      </c>
      <c r="I25">
        <v>100</v>
      </c>
      <c r="J25">
        <v>75</v>
      </c>
      <c r="K25">
        <v>100</v>
      </c>
      <c r="L25">
        <v>100</v>
      </c>
      <c r="M25">
        <v>100</v>
      </c>
      <c r="N25">
        <v>90</v>
      </c>
      <c r="O25">
        <v>95</v>
      </c>
      <c r="P25">
        <v>90</v>
      </c>
      <c r="Q25" s="14">
        <f>IF([1]punteo!L24="",0,[1]punteo!L24)</f>
        <v>0</v>
      </c>
      <c r="R25" s="14">
        <f>IF([1]punteo!M24="",0,[2]punteo!M24)</f>
        <v>0</v>
      </c>
      <c r="T25">
        <f t="shared" si="0"/>
        <v>1</v>
      </c>
      <c r="U25">
        <f t="shared" si="1"/>
        <v>1</v>
      </c>
      <c r="V25">
        <v>0</v>
      </c>
    </row>
    <row r="26" spans="1:22" x14ac:dyDescent="0.35">
      <c r="C26">
        <v>20</v>
      </c>
      <c r="D26">
        <v>202431817</v>
      </c>
      <c r="E26" t="s">
        <v>22</v>
      </c>
      <c r="F26">
        <v>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0</v>
      </c>
      <c r="O26">
        <v>15</v>
      </c>
      <c r="P26">
        <v>90</v>
      </c>
      <c r="Q26" s="14">
        <f>IF([1]punteo!L25="",0,[1]punteo!L25)</f>
        <v>100</v>
      </c>
      <c r="R26" s="14">
        <f>IF([1]punteo!M25="",0,[2]punteo!M25)</f>
        <v>0</v>
      </c>
      <c r="T26">
        <f t="shared" si="0"/>
        <v>1</v>
      </c>
      <c r="U26">
        <f t="shared" si="1"/>
        <v>1</v>
      </c>
      <c r="V26">
        <v>0</v>
      </c>
    </row>
    <row r="27" spans="1:22" x14ac:dyDescent="0.35">
      <c r="C27">
        <v>21</v>
      </c>
      <c r="D27">
        <v>202431819</v>
      </c>
      <c r="E27" t="s">
        <v>23</v>
      </c>
      <c r="F27">
        <v>0</v>
      </c>
      <c r="G27">
        <v>100</v>
      </c>
      <c r="H27">
        <v>0</v>
      </c>
      <c r="I27">
        <v>0</v>
      </c>
      <c r="J27">
        <v>0</v>
      </c>
      <c r="K27">
        <v>100</v>
      </c>
      <c r="L27">
        <v>0</v>
      </c>
      <c r="M27">
        <v>100</v>
      </c>
      <c r="N27">
        <v>0</v>
      </c>
      <c r="O27">
        <v>85</v>
      </c>
      <c r="P27">
        <v>70</v>
      </c>
      <c r="Q27" s="14">
        <f>IF([1]punteo!L26="",0,[1]punteo!L26)</f>
        <v>80</v>
      </c>
      <c r="R27" s="14">
        <f>IF([1]punteo!M26="",0,[2]punteo!M26)</f>
        <v>0</v>
      </c>
      <c r="T27">
        <f t="shared" si="0"/>
        <v>1</v>
      </c>
      <c r="U27">
        <f t="shared" si="1"/>
        <v>1</v>
      </c>
      <c r="V27" s="3">
        <v>1</v>
      </c>
    </row>
    <row r="28" spans="1:22" x14ac:dyDescent="0.35">
      <c r="A28" t="s">
        <v>88</v>
      </c>
      <c r="B28" s="13" t="s">
        <v>83</v>
      </c>
      <c r="C28">
        <v>22</v>
      </c>
      <c r="D28">
        <v>202431863</v>
      </c>
      <c r="E28" t="s">
        <v>24</v>
      </c>
      <c r="F28">
        <v>100</v>
      </c>
      <c r="G28">
        <v>0</v>
      </c>
      <c r="H28">
        <v>0</v>
      </c>
      <c r="I28">
        <v>100</v>
      </c>
      <c r="J28">
        <v>0</v>
      </c>
      <c r="K28">
        <v>0</v>
      </c>
      <c r="L28">
        <v>0</v>
      </c>
      <c r="M28">
        <v>100</v>
      </c>
      <c r="N28">
        <v>0</v>
      </c>
      <c r="P28">
        <v>100</v>
      </c>
      <c r="Q28" s="14">
        <f>IF([1]punteo!L27="",0,[1]punteo!L27)</f>
        <v>80</v>
      </c>
      <c r="R28" s="14">
        <f>IF([1]punteo!M27="",0,[2]punteo!M27)</f>
        <v>0</v>
      </c>
      <c r="T28">
        <f t="shared" si="0"/>
        <v>0</v>
      </c>
      <c r="U28">
        <f t="shared" si="1"/>
        <v>1</v>
      </c>
      <c r="V28">
        <v>0</v>
      </c>
    </row>
    <row r="29" spans="1:22" x14ac:dyDescent="0.35">
      <c r="C29">
        <v>23</v>
      </c>
      <c r="D29">
        <v>202432080</v>
      </c>
      <c r="E29" t="s">
        <v>25</v>
      </c>
      <c r="F29">
        <v>100</v>
      </c>
      <c r="G29">
        <v>0</v>
      </c>
      <c r="H29">
        <v>0</v>
      </c>
      <c r="I29">
        <v>0</v>
      </c>
      <c r="J29">
        <v>0</v>
      </c>
      <c r="K29">
        <v>100</v>
      </c>
      <c r="L29">
        <v>100</v>
      </c>
      <c r="M29">
        <v>100</v>
      </c>
      <c r="N29">
        <v>70</v>
      </c>
      <c r="O29">
        <v>100</v>
      </c>
      <c r="P29">
        <v>100</v>
      </c>
      <c r="Q29" s="14">
        <f>IF([1]punteo!L28="",0,[1]punteo!L28)</f>
        <v>0</v>
      </c>
      <c r="R29" s="14">
        <f>IF([1]punteo!M28="",0,[2]punteo!M28)</f>
        <v>0</v>
      </c>
      <c r="T29">
        <f t="shared" si="0"/>
        <v>1</v>
      </c>
      <c r="U29">
        <f t="shared" si="1"/>
        <v>1</v>
      </c>
      <c r="V29">
        <v>0</v>
      </c>
    </row>
    <row r="30" spans="1:22" x14ac:dyDescent="0.35">
      <c r="C30">
        <v>24</v>
      </c>
      <c r="D30">
        <v>202432085</v>
      </c>
      <c r="E30" t="s">
        <v>26</v>
      </c>
      <c r="F30">
        <v>100</v>
      </c>
      <c r="G30">
        <v>0</v>
      </c>
      <c r="H30">
        <v>100</v>
      </c>
      <c r="I30">
        <v>100</v>
      </c>
      <c r="J30">
        <v>75</v>
      </c>
      <c r="K30">
        <v>100</v>
      </c>
      <c r="L30">
        <v>90</v>
      </c>
      <c r="M30">
        <v>100</v>
      </c>
      <c r="N30">
        <v>70</v>
      </c>
      <c r="O30">
        <v>95</v>
      </c>
      <c r="P30">
        <v>90</v>
      </c>
      <c r="Q30" s="14">
        <f>IF([1]punteo!L29="",0,[1]punteo!L29)</f>
        <v>0</v>
      </c>
      <c r="R30" s="14">
        <f>IF([1]punteo!M29="",0,[2]punteo!M29)</f>
        <v>0</v>
      </c>
      <c r="T30">
        <f t="shared" si="0"/>
        <v>1</v>
      </c>
      <c r="U30">
        <f t="shared" si="1"/>
        <v>1</v>
      </c>
      <c r="V30" s="3">
        <v>1</v>
      </c>
    </row>
    <row r="31" spans="1:22" x14ac:dyDescent="0.35">
      <c r="A31" s="6" t="s">
        <v>84</v>
      </c>
      <c r="B31" s="1" t="s">
        <v>83</v>
      </c>
      <c r="C31">
        <v>25</v>
      </c>
      <c r="D31">
        <v>202432137</v>
      </c>
      <c r="E31" t="s">
        <v>27</v>
      </c>
      <c r="F31">
        <v>100</v>
      </c>
      <c r="G31">
        <v>0</v>
      </c>
      <c r="H31">
        <v>0</v>
      </c>
      <c r="I31">
        <v>100</v>
      </c>
      <c r="J31">
        <v>0</v>
      </c>
      <c r="K31">
        <v>0</v>
      </c>
      <c r="L31">
        <v>0</v>
      </c>
      <c r="M31">
        <v>0</v>
      </c>
      <c r="N31">
        <v>0</v>
      </c>
      <c r="P31">
        <v>100</v>
      </c>
      <c r="Q31" s="14">
        <f>IF([1]punteo!L30="",0,[1]punteo!L30)</f>
        <v>80</v>
      </c>
      <c r="R31" s="14">
        <f>IF([1]punteo!M30="",0,[2]punteo!M30)</f>
        <v>0</v>
      </c>
      <c r="T31">
        <f t="shared" si="0"/>
        <v>0</v>
      </c>
      <c r="U31">
        <f t="shared" si="1"/>
        <v>1</v>
      </c>
      <c r="V31">
        <v>0</v>
      </c>
    </row>
    <row r="32" spans="1:22" x14ac:dyDescent="0.35">
      <c r="C32">
        <v>26</v>
      </c>
      <c r="D32">
        <v>202530125</v>
      </c>
      <c r="E32" t="s">
        <v>28</v>
      </c>
      <c r="F32">
        <v>0</v>
      </c>
      <c r="G32">
        <v>0</v>
      </c>
      <c r="H32">
        <v>100</v>
      </c>
      <c r="I32">
        <v>100</v>
      </c>
      <c r="J32">
        <v>100</v>
      </c>
      <c r="K32">
        <v>75</v>
      </c>
      <c r="L32">
        <v>90</v>
      </c>
      <c r="M32">
        <v>100</v>
      </c>
      <c r="N32">
        <v>80</v>
      </c>
      <c r="O32">
        <v>90</v>
      </c>
      <c r="P32">
        <v>60</v>
      </c>
      <c r="Q32" s="14">
        <f>IF([1]punteo!L31="",0,[1]punteo!L31)</f>
        <v>0</v>
      </c>
      <c r="R32" s="14">
        <f>IF([1]punteo!M31="",0,[2]punteo!M31)</f>
        <v>0</v>
      </c>
      <c r="T32">
        <f t="shared" si="0"/>
        <v>1</v>
      </c>
      <c r="U32">
        <f t="shared" si="1"/>
        <v>1</v>
      </c>
      <c r="V32" s="3">
        <v>1</v>
      </c>
    </row>
    <row r="33" spans="1:22" x14ac:dyDescent="0.35">
      <c r="A33" s="6" t="s">
        <v>90</v>
      </c>
      <c r="B33" s="13" t="s">
        <v>86</v>
      </c>
      <c r="C33">
        <v>27</v>
      </c>
      <c r="D33">
        <v>202530235</v>
      </c>
      <c r="E33" t="s">
        <v>29</v>
      </c>
      <c r="F33">
        <v>100</v>
      </c>
      <c r="G33">
        <v>0</v>
      </c>
      <c r="H33">
        <v>100</v>
      </c>
      <c r="I33">
        <v>100</v>
      </c>
      <c r="J33">
        <v>100</v>
      </c>
      <c r="K33">
        <v>100</v>
      </c>
      <c r="L33">
        <v>100</v>
      </c>
      <c r="M33">
        <v>100</v>
      </c>
      <c r="N33">
        <v>100</v>
      </c>
      <c r="P33">
        <v>100</v>
      </c>
      <c r="Q33" s="14">
        <f>IF([1]punteo!L32="",0,[1]punteo!L32)</f>
        <v>80</v>
      </c>
      <c r="R33" s="14">
        <f>IF([1]punteo!M32="",0,[2]punteo!M32)</f>
        <v>0</v>
      </c>
      <c r="T33">
        <f t="shared" si="0"/>
        <v>0</v>
      </c>
      <c r="U33">
        <f t="shared" si="1"/>
        <v>1</v>
      </c>
      <c r="V33">
        <v>1</v>
      </c>
    </row>
    <row r="34" spans="1:22" x14ac:dyDescent="0.35">
      <c r="A34" s="6">
        <v>0.27777777777777779</v>
      </c>
      <c r="B34" s="13" t="s">
        <v>87</v>
      </c>
      <c r="C34">
        <v>28</v>
      </c>
      <c r="D34">
        <v>202530265</v>
      </c>
      <c r="E34" t="s">
        <v>30</v>
      </c>
      <c r="F34">
        <v>100</v>
      </c>
      <c r="G34">
        <v>100</v>
      </c>
      <c r="H34">
        <v>100</v>
      </c>
      <c r="I34">
        <v>100</v>
      </c>
      <c r="J34">
        <v>100</v>
      </c>
      <c r="K34">
        <v>90</v>
      </c>
      <c r="L34">
        <v>100</v>
      </c>
      <c r="M34">
        <v>100</v>
      </c>
      <c r="N34">
        <v>70</v>
      </c>
      <c r="O34">
        <v>100</v>
      </c>
      <c r="P34">
        <v>100</v>
      </c>
      <c r="Q34" s="14">
        <f>IF([1]punteo!L33="",0,[1]punteo!L33)</f>
        <v>90</v>
      </c>
      <c r="R34" s="14">
        <f>IF([1]punteo!M33="",0,[2]punteo!M33)</f>
        <v>0</v>
      </c>
      <c r="T34">
        <f t="shared" si="0"/>
        <v>1</v>
      </c>
      <c r="U34">
        <f t="shared" si="1"/>
        <v>1</v>
      </c>
      <c r="V34">
        <v>1</v>
      </c>
    </row>
    <row r="35" spans="1:22" x14ac:dyDescent="0.35">
      <c r="C35">
        <v>29</v>
      </c>
      <c r="D35">
        <v>202530315</v>
      </c>
      <c r="E35" t="s">
        <v>31</v>
      </c>
      <c r="F35">
        <v>100</v>
      </c>
      <c r="G35">
        <v>0</v>
      </c>
      <c r="H35">
        <v>100</v>
      </c>
      <c r="I35">
        <v>100</v>
      </c>
      <c r="J35">
        <v>100</v>
      </c>
      <c r="K35">
        <v>100</v>
      </c>
      <c r="L35">
        <v>100</v>
      </c>
      <c r="M35">
        <v>100</v>
      </c>
      <c r="N35">
        <v>50</v>
      </c>
      <c r="O35">
        <v>100</v>
      </c>
      <c r="P35">
        <v>50</v>
      </c>
      <c r="Q35" s="14">
        <f>IF([1]punteo!L34="",0,[1]punteo!L34)</f>
        <v>80</v>
      </c>
      <c r="R35" s="14">
        <f>IF([1]punteo!M34="",0,[2]punteo!M34)</f>
        <v>0</v>
      </c>
      <c r="T35">
        <f t="shared" si="0"/>
        <v>1</v>
      </c>
      <c r="U35">
        <f t="shared" si="1"/>
        <v>1</v>
      </c>
      <c r="V35">
        <v>1</v>
      </c>
    </row>
    <row r="36" spans="1:22" x14ac:dyDescent="0.35">
      <c r="C36">
        <v>30</v>
      </c>
      <c r="D36">
        <v>202530329</v>
      </c>
      <c r="E36" t="s">
        <v>32</v>
      </c>
      <c r="F36">
        <v>100</v>
      </c>
      <c r="G36">
        <v>0</v>
      </c>
      <c r="H36">
        <v>100</v>
      </c>
      <c r="I36">
        <v>0</v>
      </c>
      <c r="J36">
        <v>100</v>
      </c>
      <c r="K36">
        <v>95</v>
      </c>
      <c r="L36">
        <v>100</v>
      </c>
      <c r="M36">
        <v>100</v>
      </c>
      <c r="N36">
        <v>70</v>
      </c>
      <c r="O36">
        <v>85</v>
      </c>
      <c r="P36">
        <v>65</v>
      </c>
      <c r="Q36" s="14">
        <f>IF([1]punteo!L35="",0,[1]punteo!L35)</f>
        <v>80</v>
      </c>
      <c r="R36" s="14">
        <f>IF([1]punteo!M35="",0,[2]punteo!M35)</f>
        <v>0</v>
      </c>
      <c r="T36">
        <f t="shared" si="0"/>
        <v>1</v>
      </c>
      <c r="U36">
        <f t="shared" si="1"/>
        <v>1</v>
      </c>
      <c r="V36">
        <v>0</v>
      </c>
    </row>
    <row r="37" spans="1:22" x14ac:dyDescent="0.35">
      <c r="A37" s="6">
        <v>0.27777777777777779</v>
      </c>
      <c r="B37" s="13" t="s">
        <v>89</v>
      </c>
      <c r="C37">
        <v>31</v>
      </c>
      <c r="D37">
        <v>202530349</v>
      </c>
      <c r="E37" t="s">
        <v>33</v>
      </c>
      <c r="F37">
        <v>0</v>
      </c>
      <c r="G37">
        <v>0</v>
      </c>
      <c r="H37">
        <v>100</v>
      </c>
      <c r="I37">
        <v>100</v>
      </c>
      <c r="J37">
        <v>100</v>
      </c>
      <c r="K37">
        <v>75</v>
      </c>
      <c r="L37">
        <v>100</v>
      </c>
      <c r="M37">
        <v>100</v>
      </c>
      <c r="N37">
        <v>80</v>
      </c>
      <c r="O37">
        <v>90</v>
      </c>
      <c r="P37">
        <v>60</v>
      </c>
      <c r="Q37" s="14">
        <f>IF([1]punteo!L36="",0,[1]punteo!L36)</f>
        <v>100</v>
      </c>
      <c r="R37" s="14">
        <f>IF([1]punteo!M36="",0,[2]punteo!M36)</f>
        <v>0</v>
      </c>
      <c r="T37">
        <f t="shared" si="0"/>
        <v>1</v>
      </c>
      <c r="U37">
        <f t="shared" si="1"/>
        <v>1</v>
      </c>
      <c r="V37">
        <v>1</v>
      </c>
    </row>
    <row r="38" spans="1:22" x14ac:dyDescent="0.35">
      <c r="C38">
        <v>32</v>
      </c>
      <c r="D38">
        <v>202530357</v>
      </c>
      <c r="E38" t="s">
        <v>34</v>
      </c>
      <c r="F38">
        <v>100</v>
      </c>
      <c r="G38">
        <v>0</v>
      </c>
      <c r="H38">
        <v>100</v>
      </c>
      <c r="I38">
        <v>100</v>
      </c>
      <c r="J38">
        <v>100</v>
      </c>
      <c r="K38">
        <v>100</v>
      </c>
      <c r="L38">
        <v>100</v>
      </c>
      <c r="M38">
        <v>100</v>
      </c>
      <c r="N38">
        <v>80</v>
      </c>
      <c r="O38">
        <v>65</v>
      </c>
      <c r="P38">
        <v>80</v>
      </c>
      <c r="Q38" s="14">
        <f>IF([1]punteo!L37="",0,[1]punteo!L37)</f>
        <v>100</v>
      </c>
      <c r="R38" s="14">
        <f>IF([1]punteo!M37="",0,[2]punteo!M37)</f>
        <v>0</v>
      </c>
      <c r="T38">
        <f t="shared" si="0"/>
        <v>1</v>
      </c>
      <c r="U38">
        <f t="shared" si="1"/>
        <v>1</v>
      </c>
      <c r="V38">
        <v>1</v>
      </c>
    </row>
    <row r="39" spans="1:22" x14ac:dyDescent="0.35">
      <c r="C39">
        <v>33</v>
      </c>
      <c r="D39">
        <v>202530381</v>
      </c>
      <c r="E39" t="s">
        <v>35</v>
      </c>
      <c r="F39">
        <v>100</v>
      </c>
      <c r="G39">
        <v>100</v>
      </c>
      <c r="H39">
        <v>100</v>
      </c>
      <c r="I39">
        <v>100</v>
      </c>
      <c r="J39">
        <v>100</v>
      </c>
      <c r="K39">
        <v>100</v>
      </c>
      <c r="L39">
        <v>100</v>
      </c>
      <c r="M39">
        <v>100</v>
      </c>
      <c r="N39">
        <v>50</v>
      </c>
      <c r="O39">
        <v>90</v>
      </c>
      <c r="P39">
        <v>45</v>
      </c>
      <c r="Q39" s="14">
        <f>IF([1]punteo!L38="",0,[1]punteo!L38)</f>
        <v>80</v>
      </c>
      <c r="R39" s="14">
        <f>IF([1]punteo!M38="",0,[2]punteo!M38)</f>
        <v>0</v>
      </c>
      <c r="T39">
        <f t="shared" si="0"/>
        <v>1</v>
      </c>
      <c r="U39">
        <f t="shared" si="1"/>
        <v>1</v>
      </c>
      <c r="V39">
        <v>1</v>
      </c>
    </row>
    <row r="40" spans="1:22" x14ac:dyDescent="0.35">
      <c r="A40" s="6">
        <v>0.27777777777777779</v>
      </c>
      <c r="B40" s="13" t="s">
        <v>87</v>
      </c>
      <c r="C40">
        <v>34</v>
      </c>
      <c r="D40">
        <v>202530434</v>
      </c>
      <c r="E40" t="s">
        <v>36</v>
      </c>
      <c r="F40">
        <v>100</v>
      </c>
      <c r="G40">
        <v>0</v>
      </c>
      <c r="H40">
        <v>100</v>
      </c>
      <c r="I40">
        <v>90</v>
      </c>
      <c r="J40">
        <v>75</v>
      </c>
      <c r="K40">
        <v>55</v>
      </c>
      <c r="L40">
        <v>100</v>
      </c>
      <c r="M40">
        <v>100</v>
      </c>
      <c r="N40">
        <v>90</v>
      </c>
      <c r="O40">
        <v>75</v>
      </c>
      <c r="P40">
        <v>100</v>
      </c>
      <c r="Q40" s="14">
        <f>IF([1]punteo!L39="",0,[1]punteo!L39)</f>
        <v>95</v>
      </c>
      <c r="R40" s="14">
        <f>IF([1]punteo!M39="",0,[2]punteo!M39)</f>
        <v>0</v>
      </c>
      <c r="T40">
        <f t="shared" si="0"/>
        <v>1</v>
      </c>
      <c r="U40">
        <f t="shared" si="1"/>
        <v>1</v>
      </c>
      <c r="V40">
        <v>0</v>
      </c>
    </row>
    <row r="41" spans="1:22" x14ac:dyDescent="0.35">
      <c r="A41" s="6">
        <v>0.27777777777777779</v>
      </c>
      <c r="B41" s="13" t="s">
        <v>89</v>
      </c>
      <c r="C41">
        <v>35</v>
      </c>
      <c r="D41">
        <v>202530446</v>
      </c>
      <c r="E41" t="s">
        <v>37</v>
      </c>
      <c r="F41">
        <v>100</v>
      </c>
      <c r="G41">
        <v>0</v>
      </c>
      <c r="H41">
        <v>100</v>
      </c>
      <c r="I41">
        <v>0</v>
      </c>
      <c r="J41">
        <v>100</v>
      </c>
      <c r="K41">
        <v>100</v>
      </c>
      <c r="L41">
        <v>100</v>
      </c>
      <c r="M41">
        <v>100</v>
      </c>
      <c r="N41">
        <v>50</v>
      </c>
      <c r="O41">
        <v>85</v>
      </c>
      <c r="P41">
        <v>80</v>
      </c>
      <c r="Q41" s="14">
        <f>IF([1]punteo!L40="",0,[1]punteo!L40)</f>
        <v>100</v>
      </c>
      <c r="R41" s="14">
        <f>IF([1]punteo!M40="",0,[2]punteo!M40)</f>
        <v>0</v>
      </c>
      <c r="T41">
        <f t="shared" si="0"/>
        <v>1</v>
      </c>
      <c r="U41">
        <f t="shared" si="1"/>
        <v>1</v>
      </c>
      <c r="V41">
        <v>0</v>
      </c>
    </row>
    <row r="42" spans="1:22" x14ac:dyDescent="0.35">
      <c r="C42">
        <v>36</v>
      </c>
      <c r="D42">
        <v>202530522</v>
      </c>
      <c r="E42" t="s">
        <v>38</v>
      </c>
      <c r="F42">
        <v>100</v>
      </c>
      <c r="G42">
        <v>0</v>
      </c>
      <c r="H42">
        <v>100</v>
      </c>
      <c r="I42">
        <v>0</v>
      </c>
      <c r="J42">
        <v>100</v>
      </c>
      <c r="K42">
        <v>100</v>
      </c>
      <c r="L42">
        <v>100</v>
      </c>
      <c r="M42">
        <v>100</v>
      </c>
      <c r="N42">
        <v>50</v>
      </c>
      <c r="O42">
        <v>80</v>
      </c>
      <c r="P42">
        <v>80</v>
      </c>
      <c r="Q42" s="14">
        <f>IF([1]punteo!L41="",0,[1]punteo!L41)</f>
        <v>0</v>
      </c>
      <c r="R42" s="14">
        <f>IF([1]punteo!M41="",0,[2]punteo!M41)</f>
        <v>0</v>
      </c>
      <c r="T42">
        <f t="shared" si="0"/>
        <v>1</v>
      </c>
      <c r="U42">
        <f t="shared" si="1"/>
        <v>1</v>
      </c>
      <c r="V42">
        <v>0</v>
      </c>
    </row>
    <row r="43" spans="1:22" x14ac:dyDescent="0.35">
      <c r="C43">
        <v>37</v>
      </c>
      <c r="D43">
        <v>202530613</v>
      </c>
      <c r="E43" t="s">
        <v>39</v>
      </c>
      <c r="F43">
        <v>0</v>
      </c>
      <c r="G43">
        <v>100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Q43" s="14">
        <f>IF([1]punteo!L42="",0,[1]punteo!L42)</f>
        <v>0</v>
      </c>
      <c r="R43" s="14">
        <f>IF([1]punteo!M42="",0,[2]punteo!M42)</f>
        <v>0</v>
      </c>
      <c r="T43">
        <f t="shared" si="0"/>
        <v>0</v>
      </c>
      <c r="U43">
        <f t="shared" si="1"/>
        <v>0</v>
      </c>
      <c r="V43" s="3">
        <v>1</v>
      </c>
    </row>
    <row r="44" spans="1:22" x14ac:dyDescent="0.35">
      <c r="C44">
        <v>38</v>
      </c>
      <c r="D44">
        <v>202530621</v>
      </c>
      <c r="E44" t="s">
        <v>40</v>
      </c>
      <c r="F44">
        <v>100</v>
      </c>
      <c r="G44">
        <v>0</v>
      </c>
      <c r="H44">
        <v>100</v>
      </c>
      <c r="I44">
        <v>90</v>
      </c>
      <c r="J44">
        <v>70</v>
      </c>
      <c r="K44">
        <v>100</v>
      </c>
      <c r="L44">
        <v>100</v>
      </c>
      <c r="M44">
        <v>100</v>
      </c>
      <c r="N44">
        <v>0</v>
      </c>
      <c r="O44">
        <v>60</v>
      </c>
      <c r="P44">
        <v>65</v>
      </c>
      <c r="Q44" s="14">
        <f>IF([1]punteo!L43="",0,[1]punteo!L43)</f>
        <v>80</v>
      </c>
      <c r="R44" s="14">
        <f>IF([1]punteo!M43="",0,[2]punteo!M43)</f>
        <v>0</v>
      </c>
      <c r="T44">
        <f t="shared" si="0"/>
        <v>1</v>
      </c>
      <c r="U44">
        <f t="shared" si="1"/>
        <v>1</v>
      </c>
      <c r="V44">
        <v>0</v>
      </c>
    </row>
    <row r="45" spans="1:22" x14ac:dyDescent="0.35">
      <c r="A45" s="6">
        <v>0.27777777777777779</v>
      </c>
      <c r="B45" s="13" t="s">
        <v>87</v>
      </c>
      <c r="C45">
        <v>39</v>
      </c>
      <c r="D45">
        <v>202530673</v>
      </c>
      <c r="E45" t="s">
        <v>41</v>
      </c>
      <c r="F45">
        <v>0</v>
      </c>
      <c r="G45">
        <v>0</v>
      </c>
      <c r="H45">
        <v>0</v>
      </c>
      <c r="I45">
        <v>100</v>
      </c>
      <c r="J45">
        <v>0</v>
      </c>
      <c r="K45">
        <v>0</v>
      </c>
      <c r="L45">
        <v>100</v>
      </c>
      <c r="M45">
        <v>100</v>
      </c>
      <c r="N45">
        <v>70</v>
      </c>
      <c r="O45">
        <v>95</v>
      </c>
      <c r="Q45" s="14">
        <f>IF([1]punteo!L44="",0,[1]punteo!L44)</f>
        <v>0</v>
      </c>
      <c r="R45" s="14">
        <f>IF([1]punteo!M44="",0,[2]punteo!M44)</f>
        <v>0</v>
      </c>
      <c r="T45">
        <f t="shared" si="0"/>
        <v>1</v>
      </c>
      <c r="U45">
        <f t="shared" si="1"/>
        <v>0</v>
      </c>
      <c r="V45">
        <v>0</v>
      </c>
    </row>
    <row r="46" spans="1:22" x14ac:dyDescent="0.35">
      <c r="C46">
        <v>40</v>
      </c>
      <c r="D46">
        <v>202530674</v>
      </c>
      <c r="E46" t="s">
        <v>42</v>
      </c>
      <c r="F46">
        <v>0</v>
      </c>
      <c r="G46">
        <v>0</v>
      </c>
      <c r="H46">
        <v>50</v>
      </c>
      <c r="I46">
        <v>0</v>
      </c>
      <c r="J46">
        <v>100</v>
      </c>
      <c r="K46">
        <v>100</v>
      </c>
      <c r="L46">
        <v>90</v>
      </c>
      <c r="M46">
        <v>100</v>
      </c>
      <c r="N46">
        <v>50</v>
      </c>
      <c r="O46">
        <v>85</v>
      </c>
      <c r="P46">
        <v>70</v>
      </c>
      <c r="Q46" s="14">
        <f>IF([1]punteo!L45="",0,[1]punteo!L45)</f>
        <v>0</v>
      </c>
      <c r="R46" s="14">
        <f>IF([1]punteo!M45="",0,[2]punteo!M45)</f>
        <v>0</v>
      </c>
      <c r="T46">
        <f t="shared" si="0"/>
        <v>1</v>
      </c>
      <c r="U46">
        <f t="shared" si="1"/>
        <v>1</v>
      </c>
      <c r="V46">
        <v>0</v>
      </c>
    </row>
    <row r="47" spans="1:22" x14ac:dyDescent="0.35">
      <c r="C47">
        <v>41</v>
      </c>
      <c r="D47">
        <v>202530677</v>
      </c>
      <c r="E47" t="s">
        <v>43</v>
      </c>
      <c r="F47">
        <v>100</v>
      </c>
      <c r="G47">
        <v>0</v>
      </c>
      <c r="H47">
        <v>100</v>
      </c>
      <c r="I47">
        <v>0</v>
      </c>
      <c r="J47">
        <v>100</v>
      </c>
      <c r="K47">
        <v>0</v>
      </c>
      <c r="L47">
        <v>100</v>
      </c>
      <c r="M47">
        <v>0</v>
      </c>
      <c r="N47">
        <v>0</v>
      </c>
      <c r="Q47" s="14">
        <f>IF([1]punteo!L46="",0,[1]punteo!L46)</f>
        <v>0</v>
      </c>
      <c r="R47" s="14">
        <f>IF([1]punteo!M46="",0,[2]punteo!M46)</f>
        <v>0</v>
      </c>
      <c r="T47">
        <f t="shared" si="0"/>
        <v>0</v>
      </c>
      <c r="U47">
        <f t="shared" si="1"/>
        <v>0</v>
      </c>
      <c r="V47">
        <v>0</v>
      </c>
    </row>
    <row r="48" spans="1:22" x14ac:dyDescent="0.35">
      <c r="A48" s="6">
        <v>0.27777777777777779</v>
      </c>
      <c r="B48" s="13" t="s">
        <v>87</v>
      </c>
      <c r="C48">
        <v>42</v>
      </c>
      <c r="D48">
        <v>202530728</v>
      </c>
      <c r="E48" t="s">
        <v>44</v>
      </c>
      <c r="F48">
        <v>100</v>
      </c>
      <c r="G48">
        <v>0</v>
      </c>
      <c r="H48">
        <v>100</v>
      </c>
      <c r="I48">
        <v>0</v>
      </c>
      <c r="J48">
        <v>0</v>
      </c>
      <c r="K48">
        <v>0</v>
      </c>
      <c r="L48">
        <v>0</v>
      </c>
      <c r="M48">
        <v>100</v>
      </c>
      <c r="N48">
        <v>70</v>
      </c>
      <c r="O48">
        <v>85</v>
      </c>
      <c r="P48">
        <v>50</v>
      </c>
      <c r="Q48" s="14">
        <f>IF([1]punteo!L47="",0,[1]punteo!L47)</f>
        <v>80</v>
      </c>
      <c r="R48" s="14">
        <f>IF([1]punteo!M47="",0,[2]punteo!M47)</f>
        <v>0</v>
      </c>
      <c r="T48">
        <f t="shared" si="0"/>
        <v>1</v>
      </c>
      <c r="U48">
        <f t="shared" si="1"/>
        <v>1</v>
      </c>
      <c r="V48">
        <v>0</v>
      </c>
    </row>
    <row r="49" spans="1:22" x14ac:dyDescent="0.35">
      <c r="A49" s="6">
        <v>0.27777777777777779</v>
      </c>
      <c r="B49" s="13" t="s">
        <v>87</v>
      </c>
      <c r="C49">
        <v>43</v>
      </c>
      <c r="D49">
        <v>202530843</v>
      </c>
      <c r="E49" t="s">
        <v>45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100</v>
      </c>
      <c r="N49">
        <v>70</v>
      </c>
      <c r="O49">
        <v>85</v>
      </c>
      <c r="P49">
        <v>85</v>
      </c>
      <c r="Q49" s="14">
        <f>IF([1]punteo!L48="",0,[1]punteo!L48)</f>
        <v>0</v>
      </c>
      <c r="R49" s="14">
        <f>IF([1]punteo!M48="",0,[2]punteo!M48)</f>
        <v>0</v>
      </c>
      <c r="T49">
        <f t="shared" si="0"/>
        <v>1</v>
      </c>
      <c r="U49">
        <f t="shared" si="1"/>
        <v>1</v>
      </c>
      <c r="V49" s="3">
        <v>1</v>
      </c>
    </row>
    <row r="50" spans="1:22" x14ac:dyDescent="0.35">
      <c r="C50">
        <v>44</v>
      </c>
      <c r="D50">
        <v>202530866</v>
      </c>
      <c r="E50" t="s">
        <v>46</v>
      </c>
      <c r="F50">
        <v>100</v>
      </c>
      <c r="G50">
        <v>0</v>
      </c>
      <c r="H50">
        <v>100</v>
      </c>
      <c r="I50">
        <v>90</v>
      </c>
      <c r="J50">
        <v>100</v>
      </c>
      <c r="K50">
        <v>100</v>
      </c>
      <c r="L50">
        <v>90</v>
      </c>
      <c r="M50">
        <v>100</v>
      </c>
      <c r="N50">
        <v>50</v>
      </c>
      <c r="O50">
        <v>85</v>
      </c>
      <c r="P50">
        <v>55</v>
      </c>
      <c r="Q50" s="14">
        <f>IF([1]punteo!L49="",0,[1]punteo!L49)</f>
        <v>100</v>
      </c>
      <c r="R50" s="14">
        <f>IF([1]punteo!M49="",0,[2]punteo!M49)</f>
        <v>0</v>
      </c>
      <c r="T50">
        <f t="shared" si="0"/>
        <v>1</v>
      </c>
      <c r="U50">
        <f t="shared" si="1"/>
        <v>1</v>
      </c>
      <c r="V50">
        <v>1</v>
      </c>
    </row>
    <row r="51" spans="1:22" x14ac:dyDescent="0.35">
      <c r="A51" s="6">
        <v>0.27777777777777779</v>
      </c>
      <c r="B51" s="13" t="s">
        <v>87</v>
      </c>
      <c r="C51">
        <v>45</v>
      </c>
      <c r="D51">
        <v>202530917</v>
      </c>
      <c r="E51" t="s">
        <v>47</v>
      </c>
      <c r="F51">
        <v>0</v>
      </c>
      <c r="G51">
        <v>0</v>
      </c>
      <c r="H51">
        <v>50</v>
      </c>
      <c r="I51">
        <v>100</v>
      </c>
      <c r="J51">
        <v>75</v>
      </c>
      <c r="K51">
        <v>0</v>
      </c>
      <c r="L51">
        <v>100</v>
      </c>
      <c r="M51">
        <v>100</v>
      </c>
      <c r="N51">
        <v>90</v>
      </c>
      <c r="O51">
        <v>95</v>
      </c>
      <c r="P51">
        <v>65</v>
      </c>
      <c r="Q51" s="14">
        <f>IF([1]punteo!L50="",0,[1]punteo!L50)</f>
        <v>100</v>
      </c>
      <c r="R51" s="14">
        <f>IF([1]punteo!M50="",0,[2]punteo!M50)</f>
        <v>0</v>
      </c>
      <c r="T51">
        <f t="shared" si="0"/>
        <v>1</v>
      </c>
      <c r="U51">
        <f t="shared" si="1"/>
        <v>1</v>
      </c>
      <c r="V51">
        <v>1</v>
      </c>
    </row>
    <row r="52" spans="1:22" x14ac:dyDescent="0.35">
      <c r="C52">
        <v>46</v>
      </c>
      <c r="D52">
        <v>202531013</v>
      </c>
      <c r="E52" t="s">
        <v>48</v>
      </c>
      <c r="F52">
        <v>100</v>
      </c>
      <c r="G52">
        <v>0</v>
      </c>
      <c r="H52">
        <v>100</v>
      </c>
      <c r="I52">
        <v>90</v>
      </c>
      <c r="J52">
        <v>100</v>
      </c>
      <c r="K52">
        <v>75</v>
      </c>
      <c r="L52">
        <v>100</v>
      </c>
      <c r="M52">
        <v>100</v>
      </c>
      <c r="N52">
        <v>100</v>
      </c>
      <c r="O52">
        <v>90</v>
      </c>
      <c r="P52">
        <v>70</v>
      </c>
      <c r="Q52" s="14">
        <f>IF([1]punteo!L51="",0,[1]punteo!L51)</f>
        <v>100</v>
      </c>
      <c r="R52" s="14">
        <f>IF([1]punteo!M51="",0,[2]punteo!M51)</f>
        <v>0</v>
      </c>
      <c r="T52">
        <f t="shared" si="0"/>
        <v>1</v>
      </c>
      <c r="U52">
        <f t="shared" si="1"/>
        <v>1</v>
      </c>
      <c r="V52">
        <v>1</v>
      </c>
    </row>
    <row r="53" spans="1:22" x14ac:dyDescent="0.35">
      <c r="C53">
        <v>47</v>
      </c>
      <c r="D53">
        <v>202531019</v>
      </c>
      <c r="E53" t="s">
        <v>49</v>
      </c>
      <c r="F53">
        <v>0</v>
      </c>
      <c r="G53">
        <v>0</v>
      </c>
      <c r="H53">
        <v>100</v>
      </c>
      <c r="I53">
        <v>90</v>
      </c>
      <c r="J53">
        <v>100</v>
      </c>
      <c r="K53">
        <v>55</v>
      </c>
      <c r="L53">
        <v>100</v>
      </c>
      <c r="M53">
        <v>100</v>
      </c>
      <c r="N53">
        <v>95</v>
      </c>
      <c r="P53">
        <v>55</v>
      </c>
      <c r="Q53" s="14">
        <f>IF([1]punteo!L52="",0,[1]punteo!L52)</f>
        <v>100</v>
      </c>
      <c r="R53" s="14">
        <f>IF([1]punteo!M52="",0,[2]punteo!M52)</f>
        <v>0</v>
      </c>
      <c r="T53">
        <f t="shared" si="0"/>
        <v>0</v>
      </c>
      <c r="U53">
        <f t="shared" si="1"/>
        <v>1</v>
      </c>
      <c r="V53">
        <v>0</v>
      </c>
    </row>
    <row r="54" spans="1:22" x14ac:dyDescent="0.35">
      <c r="C54">
        <v>48</v>
      </c>
      <c r="D54">
        <v>202531089</v>
      </c>
      <c r="E54" t="s">
        <v>50</v>
      </c>
      <c r="F54">
        <v>100</v>
      </c>
      <c r="G54">
        <v>0</v>
      </c>
      <c r="H54">
        <v>100</v>
      </c>
      <c r="I54">
        <v>90</v>
      </c>
      <c r="J54">
        <v>70</v>
      </c>
      <c r="K54">
        <v>100</v>
      </c>
      <c r="L54">
        <v>90</v>
      </c>
      <c r="M54">
        <v>100</v>
      </c>
      <c r="N54">
        <v>50</v>
      </c>
      <c r="O54">
        <v>85</v>
      </c>
      <c r="P54">
        <v>55</v>
      </c>
      <c r="Q54" s="14">
        <f>IF([1]punteo!L53="",0,[1]punteo!L53)</f>
        <v>100</v>
      </c>
      <c r="R54" s="14">
        <f>IF([1]punteo!M53="",0,[2]punteo!M53)</f>
        <v>0</v>
      </c>
      <c r="T54">
        <f t="shared" si="0"/>
        <v>1</v>
      </c>
      <c r="U54">
        <f t="shared" si="1"/>
        <v>1</v>
      </c>
      <c r="V54" s="3">
        <v>1</v>
      </c>
    </row>
    <row r="55" spans="1:22" x14ac:dyDescent="0.35">
      <c r="C55">
        <v>49</v>
      </c>
      <c r="D55">
        <v>202531127</v>
      </c>
      <c r="E55" t="s">
        <v>51</v>
      </c>
      <c r="F55">
        <v>0</v>
      </c>
      <c r="G55">
        <v>0</v>
      </c>
      <c r="H55">
        <v>100</v>
      </c>
      <c r="I55">
        <v>0</v>
      </c>
      <c r="J55">
        <v>0</v>
      </c>
      <c r="K55">
        <v>0</v>
      </c>
      <c r="L55">
        <v>0</v>
      </c>
      <c r="M55">
        <v>100</v>
      </c>
      <c r="N55">
        <v>70</v>
      </c>
      <c r="O55">
        <v>85</v>
      </c>
      <c r="P55">
        <v>85</v>
      </c>
      <c r="Q55" s="14">
        <f>IF([1]punteo!L54="",0,[1]punteo!L54)</f>
        <v>80</v>
      </c>
      <c r="R55" s="14">
        <f>IF([1]punteo!M54="",0,[2]punteo!M54)</f>
        <v>0</v>
      </c>
      <c r="T55">
        <f t="shared" si="0"/>
        <v>1</v>
      </c>
      <c r="U55">
        <f t="shared" si="1"/>
        <v>1</v>
      </c>
      <c r="V55">
        <v>1</v>
      </c>
    </row>
    <row r="56" spans="1:22" x14ac:dyDescent="0.35">
      <c r="C56">
        <v>50</v>
      </c>
      <c r="D56">
        <v>202531213</v>
      </c>
      <c r="E56" t="s">
        <v>52</v>
      </c>
      <c r="F56">
        <v>100</v>
      </c>
      <c r="G56">
        <v>100</v>
      </c>
      <c r="H56">
        <v>100</v>
      </c>
      <c r="I56">
        <v>90</v>
      </c>
      <c r="J56">
        <v>100</v>
      </c>
      <c r="K56">
        <v>90</v>
      </c>
      <c r="L56">
        <v>100</v>
      </c>
      <c r="M56">
        <v>100</v>
      </c>
      <c r="N56">
        <v>80</v>
      </c>
      <c r="O56">
        <v>100</v>
      </c>
      <c r="P56">
        <v>100</v>
      </c>
      <c r="Q56" s="14">
        <f>IF([1]punteo!L55="",0,[1]punteo!L55)</f>
        <v>90</v>
      </c>
      <c r="R56" s="14">
        <f>IF([1]punteo!M55="",0,[2]punteo!M55)</f>
        <v>0</v>
      </c>
      <c r="T56">
        <f t="shared" si="0"/>
        <v>1</v>
      </c>
      <c r="U56">
        <f t="shared" si="1"/>
        <v>1</v>
      </c>
      <c r="V56">
        <v>0</v>
      </c>
    </row>
    <row r="57" spans="1:22" x14ac:dyDescent="0.35">
      <c r="C57">
        <v>51</v>
      </c>
      <c r="D57">
        <v>202531219</v>
      </c>
      <c r="E57" t="s">
        <v>53</v>
      </c>
      <c r="F57">
        <v>0</v>
      </c>
      <c r="G57">
        <v>0</v>
      </c>
      <c r="H57">
        <v>100</v>
      </c>
      <c r="I57">
        <v>100</v>
      </c>
      <c r="J57">
        <v>0</v>
      </c>
      <c r="K57">
        <v>0</v>
      </c>
      <c r="L57">
        <v>100</v>
      </c>
      <c r="M57">
        <v>80</v>
      </c>
      <c r="N57">
        <v>70</v>
      </c>
      <c r="O57">
        <v>45</v>
      </c>
      <c r="Q57" s="14">
        <f>IF([1]punteo!L56="",0,[1]punteo!L56)</f>
        <v>80</v>
      </c>
      <c r="R57" s="14">
        <f>IF([1]punteo!M56="",0,[2]punteo!M56)</f>
        <v>0</v>
      </c>
      <c r="T57">
        <f t="shared" si="0"/>
        <v>1</v>
      </c>
      <c r="U57">
        <f t="shared" si="1"/>
        <v>0</v>
      </c>
      <c r="V57">
        <v>1</v>
      </c>
    </row>
    <row r="58" spans="1:22" x14ac:dyDescent="0.35">
      <c r="C58">
        <v>52</v>
      </c>
      <c r="D58">
        <v>202531289</v>
      </c>
      <c r="E58" t="s">
        <v>54</v>
      </c>
      <c r="F58">
        <v>100</v>
      </c>
      <c r="G58">
        <v>0</v>
      </c>
      <c r="H58">
        <v>100</v>
      </c>
      <c r="I58">
        <v>100</v>
      </c>
      <c r="J58">
        <v>85</v>
      </c>
      <c r="K58">
        <v>100</v>
      </c>
      <c r="L58">
        <v>100</v>
      </c>
      <c r="M58">
        <v>100</v>
      </c>
      <c r="N58">
        <v>100</v>
      </c>
      <c r="O58">
        <v>95</v>
      </c>
      <c r="P58">
        <v>85</v>
      </c>
      <c r="Q58" s="14">
        <f>IF([1]punteo!L57="",0,[1]punteo!L57)</f>
        <v>95</v>
      </c>
      <c r="R58" s="14">
        <f>IF([1]punteo!M57="",0,[2]punteo!M57)</f>
        <v>0</v>
      </c>
      <c r="T58">
        <f t="shared" si="0"/>
        <v>1</v>
      </c>
      <c r="U58">
        <f t="shared" si="1"/>
        <v>1</v>
      </c>
      <c r="V58">
        <v>1</v>
      </c>
    </row>
    <row r="59" spans="1:22" x14ac:dyDescent="0.35">
      <c r="A59" s="6">
        <v>0.27777777777777779</v>
      </c>
      <c r="B59" s="13" t="s">
        <v>87</v>
      </c>
      <c r="C59">
        <v>53</v>
      </c>
      <c r="D59">
        <v>202531319</v>
      </c>
      <c r="E59" t="s">
        <v>55</v>
      </c>
      <c r="F59">
        <v>100</v>
      </c>
      <c r="G59">
        <v>0</v>
      </c>
      <c r="H59">
        <v>50</v>
      </c>
      <c r="I59">
        <v>100</v>
      </c>
      <c r="J59">
        <v>75</v>
      </c>
      <c r="K59">
        <v>0</v>
      </c>
      <c r="L59">
        <v>100</v>
      </c>
      <c r="M59">
        <v>0</v>
      </c>
      <c r="N59">
        <v>0</v>
      </c>
      <c r="P59">
        <v>50</v>
      </c>
      <c r="Q59" s="14">
        <f>IF([1]punteo!L58="",0,[1]punteo!L58)</f>
        <v>100</v>
      </c>
      <c r="R59" s="14">
        <f>IF([1]punteo!M58="",0,[2]punteo!M58)</f>
        <v>0</v>
      </c>
      <c r="T59">
        <f t="shared" si="0"/>
        <v>0</v>
      </c>
      <c r="U59">
        <f t="shared" si="1"/>
        <v>1</v>
      </c>
      <c r="V59">
        <v>1</v>
      </c>
    </row>
    <row r="60" spans="1:22" x14ac:dyDescent="0.35">
      <c r="A60" s="6">
        <v>0.27777777777777779</v>
      </c>
      <c r="B60" s="13" t="s">
        <v>87</v>
      </c>
      <c r="C60">
        <v>54</v>
      </c>
      <c r="D60">
        <v>202531351</v>
      </c>
      <c r="E60" t="s">
        <v>56</v>
      </c>
      <c r="F60">
        <v>100</v>
      </c>
      <c r="G60">
        <v>100</v>
      </c>
      <c r="H60">
        <v>100</v>
      </c>
      <c r="I60">
        <v>90</v>
      </c>
      <c r="J60">
        <v>100</v>
      </c>
      <c r="K60">
        <v>100</v>
      </c>
      <c r="L60">
        <v>100</v>
      </c>
      <c r="M60">
        <v>100</v>
      </c>
      <c r="N60">
        <v>80</v>
      </c>
      <c r="O60">
        <v>90</v>
      </c>
      <c r="P60">
        <v>100</v>
      </c>
      <c r="Q60" s="14">
        <f>IF([1]punteo!L59="",0,[1]punteo!L59)</f>
        <v>90</v>
      </c>
      <c r="R60" s="14">
        <f>IF([1]punteo!M59="",0,[2]punteo!M59)</f>
        <v>0</v>
      </c>
      <c r="T60">
        <f t="shared" si="0"/>
        <v>1</v>
      </c>
      <c r="U60">
        <f t="shared" si="1"/>
        <v>1</v>
      </c>
      <c r="V60">
        <v>1</v>
      </c>
    </row>
    <row r="61" spans="1:22" x14ac:dyDescent="0.35">
      <c r="A61" s="6">
        <v>0.27777777777777779</v>
      </c>
      <c r="B61" s="13" t="s">
        <v>87</v>
      </c>
      <c r="C61">
        <v>55</v>
      </c>
      <c r="D61">
        <v>202531352</v>
      </c>
      <c r="E61" t="s">
        <v>57</v>
      </c>
      <c r="F61">
        <v>100</v>
      </c>
      <c r="G61">
        <v>0</v>
      </c>
      <c r="H61">
        <v>100</v>
      </c>
      <c r="I61">
        <v>100</v>
      </c>
      <c r="J61">
        <v>100</v>
      </c>
      <c r="K61">
        <v>100</v>
      </c>
      <c r="L61">
        <v>100</v>
      </c>
      <c r="M61">
        <v>100</v>
      </c>
      <c r="N61">
        <v>70</v>
      </c>
      <c r="P61">
        <v>75</v>
      </c>
      <c r="Q61" s="14">
        <f>IF([1]punteo!L60="",0,[1]punteo!L60)</f>
        <v>80</v>
      </c>
      <c r="R61" s="14">
        <f>IF([1]punteo!M60="",0,[2]punteo!M60)</f>
        <v>0</v>
      </c>
      <c r="T61">
        <f t="shared" si="0"/>
        <v>0</v>
      </c>
      <c r="U61">
        <f t="shared" si="1"/>
        <v>1</v>
      </c>
      <c r="V61">
        <v>1</v>
      </c>
    </row>
    <row r="62" spans="1:22" x14ac:dyDescent="0.35">
      <c r="C62">
        <v>56</v>
      </c>
      <c r="D62">
        <v>202531384</v>
      </c>
      <c r="E62" t="s">
        <v>58</v>
      </c>
      <c r="F62">
        <v>100</v>
      </c>
      <c r="G62">
        <v>100</v>
      </c>
      <c r="H62">
        <v>50</v>
      </c>
      <c r="I62">
        <v>90</v>
      </c>
      <c r="J62">
        <v>100</v>
      </c>
      <c r="K62">
        <v>100</v>
      </c>
      <c r="L62">
        <v>100</v>
      </c>
      <c r="M62">
        <v>100</v>
      </c>
      <c r="N62">
        <v>70</v>
      </c>
      <c r="O62">
        <v>100</v>
      </c>
      <c r="P62">
        <v>90</v>
      </c>
      <c r="Q62" s="14">
        <f>IF([1]punteo!L61="",0,[1]punteo!L61)</f>
        <v>80</v>
      </c>
      <c r="R62" s="14">
        <f>IF([1]punteo!M61="",0,[2]punteo!M61)</f>
        <v>0</v>
      </c>
      <c r="T62">
        <f t="shared" si="0"/>
        <v>1</v>
      </c>
      <c r="U62">
        <f t="shared" si="1"/>
        <v>1</v>
      </c>
      <c r="V62">
        <v>0</v>
      </c>
    </row>
    <row r="63" spans="1:22" x14ac:dyDescent="0.35">
      <c r="C63">
        <v>57</v>
      </c>
      <c r="D63">
        <v>202531399</v>
      </c>
      <c r="E63" t="s">
        <v>59</v>
      </c>
      <c r="F63">
        <v>0</v>
      </c>
      <c r="G63">
        <v>0</v>
      </c>
      <c r="H63">
        <v>50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Q63" s="14">
        <f>IF([1]punteo!L62="",0,[1]punteo!L62)</f>
        <v>0</v>
      </c>
      <c r="R63" s="14">
        <f>IF([1]punteo!M62="",0,[2]punteo!M62)</f>
        <v>0</v>
      </c>
      <c r="T63">
        <f t="shared" si="0"/>
        <v>0</v>
      </c>
      <c r="U63">
        <f t="shared" si="1"/>
        <v>0</v>
      </c>
      <c r="V63">
        <v>0</v>
      </c>
    </row>
    <row r="64" spans="1:22" x14ac:dyDescent="0.35">
      <c r="C64">
        <v>58</v>
      </c>
      <c r="D64">
        <v>202531441</v>
      </c>
      <c r="E64" t="s">
        <v>60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Q64" s="14">
        <f>IF([1]punteo!L63="",0,[1]punteo!L63)</f>
        <v>0</v>
      </c>
      <c r="R64" s="14">
        <f>IF([1]punteo!M63="",0,[2]punteo!M63)</f>
        <v>0</v>
      </c>
      <c r="T64">
        <f t="shared" si="0"/>
        <v>0</v>
      </c>
      <c r="U64">
        <f t="shared" si="1"/>
        <v>0</v>
      </c>
      <c r="V64">
        <v>1</v>
      </c>
    </row>
    <row r="65" spans="1:23" x14ac:dyDescent="0.35">
      <c r="C65">
        <v>59</v>
      </c>
      <c r="D65">
        <v>202531444</v>
      </c>
      <c r="E65" t="s">
        <v>61</v>
      </c>
      <c r="F65">
        <v>100</v>
      </c>
      <c r="G65">
        <v>0</v>
      </c>
      <c r="H65">
        <v>100</v>
      </c>
      <c r="I65">
        <v>90</v>
      </c>
      <c r="J65">
        <v>100</v>
      </c>
      <c r="K65">
        <v>95</v>
      </c>
      <c r="L65">
        <v>100</v>
      </c>
      <c r="M65">
        <v>100</v>
      </c>
      <c r="N65">
        <v>50</v>
      </c>
      <c r="P65">
        <v>65</v>
      </c>
      <c r="Q65" s="14">
        <f>IF([1]punteo!L64="",0,[1]punteo!L64)</f>
        <v>0</v>
      </c>
      <c r="R65" s="14">
        <f>IF([1]punteo!M64="",0,[2]punteo!M64)</f>
        <v>0</v>
      </c>
      <c r="T65">
        <f t="shared" si="0"/>
        <v>0</v>
      </c>
      <c r="U65">
        <f t="shared" si="1"/>
        <v>1</v>
      </c>
      <c r="V65">
        <v>1</v>
      </c>
    </row>
    <row r="66" spans="1:23" x14ac:dyDescent="0.35">
      <c r="C66">
        <v>60</v>
      </c>
      <c r="D66">
        <v>202531566</v>
      </c>
      <c r="E66" t="s">
        <v>62</v>
      </c>
      <c r="F66">
        <v>100</v>
      </c>
      <c r="G66">
        <v>0</v>
      </c>
      <c r="H66">
        <v>100</v>
      </c>
      <c r="I66">
        <v>90</v>
      </c>
      <c r="J66">
        <v>100</v>
      </c>
      <c r="K66">
        <v>85</v>
      </c>
      <c r="L66">
        <v>100</v>
      </c>
      <c r="M66">
        <v>100</v>
      </c>
      <c r="N66">
        <v>70</v>
      </c>
      <c r="O66">
        <v>75</v>
      </c>
      <c r="P66">
        <v>55</v>
      </c>
      <c r="Q66" s="14">
        <f>IF([1]punteo!L65="",0,[1]punteo!L65)</f>
        <v>95</v>
      </c>
      <c r="R66" s="14">
        <f>IF([1]punteo!M65="",0,[2]punteo!M65)</f>
        <v>0</v>
      </c>
      <c r="T66">
        <f t="shared" si="0"/>
        <v>1</v>
      </c>
      <c r="U66">
        <f t="shared" si="1"/>
        <v>1</v>
      </c>
      <c r="V66">
        <v>1</v>
      </c>
    </row>
    <row r="67" spans="1:23" x14ac:dyDescent="0.35">
      <c r="A67" s="6">
        <v>0.27777777777777779</v>
      </c>
      <c r="B67" s="13" t="s">
        <v>87</v>
      </c>
      <c r="C67">
        <v>61</v>
      </c>
      <c r="D67">
        <v>202531611</v>
      </c>
      <c r="E67" t="s">
        <v>63</v>
      </c>
      <c r="F67">
        <v>100</v>
      </c>
      <c r="G67">
        <v>0</v>
      </c>
      <c r="H67">
        <v>100</v>
      </c>
      <c r="I67">
        <v>0</v>
      </c>
      <c r="J67">
        <v>0</v>
      </c>
      <c r="K67">
        <v>0</v>
      </c>
      <c r="L67">
        <v>100</v>
      </c>
      <c r="M67">
        <v>100</v>
      </c>
      <c r="N67">
        <v>70</v>
      </c>
      <c r="O67">
        <v>45</v>
      </c>
      <c r="P67">
        <v>75</v>
      </c>
      <c r="Q67" s="14">
        <f>IF([1]punteo!L66="",0,[1]punteo!L66)</f>
        <v>0</v>
      </c>
      <c r="R67" s="14">
        <f>IF([1]punteo!M66="",0,[2]punteo!M66)</f>
        <v>0</v>
      </c>
      <c r="T67">
        <f t="shared" si="0"/>
        <v>1</v>
      </c>
      <c r="U67">
        <f t="shared" si="1"/>
        <v>1</v>
      </c>
      <c r="V67">
        <v>0</v>
      </c>
    </row>
    <row r="68" spans="1:23" x14ac:dyDescent="0.35">
      <c r="C68">
        <v>62</v>
      </c>
      <c r="D68">
        <v>202531645</v>
      </c>
      <c r="E68" t="s">
        <v>64</v>
      </c>
      <c r="F68">
        <v>100</v>
      </c>
      <c r="G68">
        <v>100</v>
      </c>
      <c r="H68">
        <v>100</v>
      </c>
      <c r="I68">
        <v>90</v>
      </c>
      <c r="J68">
        <v>100</v>
      </c>
      <c r="K68">
        <v>100</v>
      </c>
      <c r="L68">
        <v>100</v>
      </c>
      <c r="M68">
        <v>0</v>
      </c>
      <c r="N68">
        <v>0</v>
      </c>
      <c r="O68">
        <v>90</v>
      </c>
      <c r="P68">
        <v>100</v>
      </c>
      <c r="Q68" s="14">
        <f>IF([1]punteo!L67="",0,[1]punteo!L67)</f>
        <v>90</v>
      </c>
      <c r="R68" s="14">
        <f>IF([1]punteo!M67="",0,[2]punteo!M67)</f>
        <v>0</v>
      </c>
      <c r="T68">
        <f t="shared" si="0"/>
        <v>1</v>
      </c>
      <c r="U68">
        <f t="shared" si="1"/>
        <v>1</v>
      </c>
      <c r="V68">
        <v>0</v>
      </c>
    </row>
    <row r="69" spans="1:23" x14ac:dyDescent="0.35">
      <c r="C69">
        <v>63</v>
      </c>
      <c r="D69">
        <v>202531663</v>
      </c>
      <c r="E69" t="s">
        <v>65</v>
      </c>
      <c r="F69">
        <v>100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Q69" s="14">
        <f>IF([1]punteo!L68="",0,[1]punteo!L68)</f>
        <v>0</v>
      </c>
      <c r="R69" s="14">
        <f>IF([1]punteo!M68="",0,[2]punteo!M68)</f>
        <v>0</v>
      </c>
      <c r="T69">
        <f t="shared" si="0"/>
        <v>0</v>
      </c>
      <c r="U69">
        <f t="shared" si="1"/>
        <v>0</v>
      </c>
      <c r="V69">
        <v>1</v>
      </c>
    </row>
    <row r="70" spans="1:23" x14ac:dyDescent="0.35">
      <c r="C70">
        <v>64</v>
      </c>
      <c r="D70">
        <v>202531724</v>
      </c>
      <c r="E70" t="s">
        <v>66</v>
      </c>
      <c r="F70">
        <v>100</v>
      </c>
      <c r="G70">
        <v>0</v>
      </c>
      <c r="H70">
        <v>50</v>
      </c>
      <c r="I70">
        <v>90</v>
      </c>
      <c r="J70">
        <v>40</v>
      </c>
      <c r="K70">
        <v>85</v>
      </c>
      <c r="L70">
        <v>100</v>
      </c>
      <c r="M70">
        <v>100</v>
      </c>
      <c r="N70">
        <v>70</v>
      </c>
      <c r="O70">
        <v>75</v>
      </c>
      <c r="P70">
        <v>70</v>
      </c>
      <c r="Q70" s="14">
        <f>IF([1]punteo!L69="",0,[1]punteo!L69)</f>
        <v>100</v>
      </c>
      <c r="R70" s="14">
        <f>IF([1]punteo!M69="",0,[2]punteo!M69)</f>
        <v>0</v>
      </c>
      <c r="T70">
        <f t="shared" si="0"/>
        <v>1</v>
      </c>
      <c r="U70">
        <f t="shared" si="1"/>
        <v>1</v>
      </c>
      <c r="V70">
        <v>1</v>
      </c>
    </row>
    <row r="71" spans="1:23" x14ac:dyDescent="0.35">
      <c r="C71">
        <v>65</v>
      </c>
      <c r="D71">
        <v>202531736</v>
      </c>
      <c r="E71" t="s">
        <v>67</v>
      </c>
      <c r="F71">
        <v>100</v>
      </c>
      <c r="G71">
        <v>0</v>
      </c>
      <c r="H71">
        <v>100</v>
      </c>
      <c r="I71">
        <v>0</v>
      </c>
      <c r="J71">
        <v>0</v>
      </c>
      <c r="K71">
        <v>100</v>
      </c>
      <c r="L71">
        <v>100</v>
      </c>
      <c r="M71">
        <v>100</v>
      </c>
      <c r="N71">
        <v>0</v>
      </c>
      <c r="O71">
        <v>60</v>
      </c>
      <c r="P71">
        <v>65</v>
      </c>
      <c r="Q71" s="14">
        <f>IF([1]punteo!L70="",0,[1]punteo!L70)</f>
        <v>80</v>
      </c>
      <c r="R71" s="14">
        <f>IF([1]punteo!M70="",0,[2]punteo!M70)</f>
        <v>0</v>
      </c>
      <c r="T71">
        <f t="shared" si="0"/>
        <v>1</v>
      </c>
      <c r="U71">
        <f t="shared" si="1"/>
        <v>1</v>
      </c>
      <c r="V71">
        <v>1</v>
      </c>
    </row>
    <row r="72" spans="1:23" x14ac:dyDescent="0.35">
      <c r="A72" s="6">
        <v>0.27777777777777779</v>
      </c>
      <c r="B72" s="13" t="s">
        <v>87</v>
      </c>
      <c r="C72">
        <v>66</v>
      </c>
      <c r="D72">
        <v>202531778</v>
      </c>
      <c r="E72" t="s">
        <v>68</v>
      </c>
      <c r="F72">
        <v>100</v>
      </c>
      <c r="G72">
        <v>0</v>
      </c>
      <c r="H72">
        <v>100</v>
      </c>
      <c r="I72">
        <v>90</v>
      </c>
      <c r="J72">
        <v>75</v>
      </c>
      <c r="K72">
        <v>85</v>
      </c>
      <c r="L72">
        <v>100</v>
      </c>
      <c r="M72">
        <v>100</v>
      </c>
      <c r="N72">
        <v>70</v>
      </c>
      <c r="O72">
        <v>90</v>
      </c>
      <c r="P72">
        <v>100</v>
      </c>
      <c r="Q72" s="14">
        <f>IF([1]punteo!L71="",0,[1]punteo!L71)</f>
        <v>100</v>
      </c>
      <c r="R72" s="14">
        <f>IF([1]punteo!M71="",0,[2]punteo!M71)</f>
        <v>0</v>
      </c>
      <c r="T72">
        <f t="shared" ref="T72:T79" si="2">IF(O72&gt;0,1,0)</f>
        <v>1</v>
      </c>
      <c r="U72">
        <f t="shared" ref="U72:U79" si="3">IF(P72&gt;0,1,0)</f>
        <v>1</v>
      </c>
      <c r="V72">
        <v>0</v>
      </c>
    </row>
    <row r="73" spans="1:23" x14ac:dyDescent="0.35">
      <c r="C73">
        <v>67</v>
      </c>
      <c r="D73">
        <v>202531844</v>
      </c>
      <c r="E73" t="s">
        <v>69</v>
      </c>
      <c r="F73">
        <v>100</v>
      </c>
      <c r="G73">
        <v>0</v>
      </c>
      <c r="H73">
        <v>100</v>
      </c>
      <c r="I73">
        <v>100</v>
      </c>
      <c r="J73">
        <v>100</v>
      </c>
      <c r="K73">
        <v>100</v>
      </c>
      <c r="L73">
        <v>100</v>
      </c>
      <c r="M73">
        <v>100</v>
      </c>
      <c r="N73">
        <v>100</v>
      </c>
      <c r="P73">
        <v>100</v>
      </c>
      <c r="Q73" s="14">
        <f>IF([1]punteo!L72="",0,[1]punteo!L72)</f>
        <v>0</v>
      </c>
      <c r="R73" s="14">
        <f>IF([1]punteo!M72="",0,[2]punteo!M72)</f>
        <v>0</v>
      </c>
      <c r="T73">
        <f t="shared" si="2"/>
        <v>0</v>
      </c>
      <c r="U73">
        <f t="shared" si="3"/>
        <v>1</v>
      </c>
      <c r="V73">
        <v>1</v>
      </c>
    </row>
    <row r="74" spans="1:23" x14ac:dyDescent="0.35">
      <c r="C74">
        <v>68</v>
      </c>
      <c r="D74">
        <v>202531883</v>
      </c>
      <c r="E74" t="s">
        <v>70</v>
      </c>
      <c r="F74">
        <v>100</v>
      </c>
      <c r="G74">
        <v>0</v>
      </c>
      <c r="H74">
        <v>100</v>
      </c>
      <c r="I74">
        <v>100</v>
      </c>
      <c r="J74">
        <v>85</v>
      </c>
      <c r="K74">
        <v>100</v>
      </c>
      <c r="L74">
        <v>100</v>
      </c>
      <c r="M74">
        <v>100</v>
      </c>
      <c r="N74">
        <v>90</v>
      </c>
      <c r="O74">
        <v>95</v>
      </c>
      <c r="P74">
        <v>85</v>
      </c>
      <c r="Q74" s="14">
        <f>IF([1]punteo!L73="",0,[1]punteo!L73)</f>
        <v>95</v>
      </c>
      <c r="R74" s="14">
        <f>IF([1]punteo!M73="",0,[2]punteo!M73)</f>
        <v>0</v>
      </c>
      <c r="T74">
        <f t="shared" si="2"/>
        <v>1</v>
      </c>
      <c r="U74">
        <f t="shared" si="3"/>
        <v>1</v>
      </c>
      <c r="V74">
        <v>0</v>
      </c>
    </row>
    <row r="75" spans="1:23" x14ac:dyDescent="0.35">
      <c r="C75">
        <v>69</v>
      </c>
      <c r="D75">
        <v>202531947</v>
      </c>
      <c r="E75" t="s">
        <v>71</v>
      </c>
      <c r="F75">
        <v>100</v>
      </c>
      <c r="G75">
        <v>0</v>
      </c>
      <c r="H75">
        <v>100</v>
      </c>
      <c r="I75">
        <v>0</v>
      </c>
      <c r="J75">
        <v>85</v>
      </c>
      <c r="K75">
        <v>75</v>
      </c>
      <c r="L75">
        <v>100</v>
      </c>
      <c r="M75">
        <v>100</v>
      </c>
      <c r="N75">
        <v>50</v>
      </c>
      <c r="O75">
        <v>90</v>
      </c>
      <c r="P75">
        <v>70</v>
      </c>
      <c r="Q75" s="14">
        <f>IF([1]punteo!L74="",0,[1]punteo!L74)</f>
        <v>0</v>
      </c>
      <c r="R75" s="14">
        <f>IF([1]punteo!M74="",0,[2]punteo!M74)</f>
        <v>0</v>
      </c>
      <c r="T75">
        <f t="shared" si="2"/>
        <v>1</v>
      </c>
      <c r="U75">
        <f t="shared" si="3"/>
        <v>1</v>
      </c>
      <c r="V75">
        <v>1</v>
      </c>
    </row>
    <row r="76" spans="1:23" x14ac:dyDescent="0.35">
      <c r="A76" s="6">
        <v>0.27777777777777779</v>
      </c>
      <c r="B76" s="13" t="s">
        <v>87</v>
      </c>
      <c r="C76">
        <v>70</v>
      </c>
      <c r="D76">
        <v>202532062</v>
      </c>
      <c r="E76" t="s">
        <v>72</v>
      </c>
      <c r="F76">
        <v>0</v>
      </c>
      <c r="G76">
        <v>0</v>
      </c>
      <c r="H76">
        <v>100</v>
      </c>
      <c r="I76">
        <v>0</v>
      </c>
      <c r="J76">
        <v>85</v>
      </c>
      <c r="K76">
        <v>0</v>
      </c>
      <c r="L76">
        <v>100</v>
      </c>
      <c r="M76">
        <v>100</v>
      </c>
      <c r="N76">
        <v>50</v>
      </c>
      <c r="P76">
        <v>20</v>
      </c>
      <c r="Q76" s="14">
        <f>IF([1]punteo!L75="",0,[1]punteo!L75)</f>
        <v>100</v>
      </c>
      <c r="R76" s="14">
        <f>IF([1]punteo!M75="",0,[2]punteo!M75)</f>
        <v>0</v>
      </c>
      <c r="T76">
        <f t="shared" si="2"/>
        <v>0</v>
      </c>
      <c r="U76">
        <f t="shared" si="3"/>
        <v>1</v>
      </c>
      <c r="V76">
        <v>0</v>
      </c>
    </row>
    <row r="77" spans="1:23" x14ac:dyDescent="0.35">
      <c r="C77">
        <v>71</v>
      </c>
      <c r="D77">
        <v>202532079</v>
      </c>
      <c r="E77" t="s">
        <v>73</v>
      </c>
      <c r="F77">
        <v>0</v>
      </c>
      <c r="G77">
        <v>0</v>
      </c>
      <c r="H77">
        <v>100</v>
      </c>
      <c r="I77">
        <v>0</v>
      </c>
      <c r="J77">
        <v>0</v>
      </c>
      <c r="K77">
        <v>50</v>
      </c>
      <c r="L77">
        <v>0</v>
      </c>
      <c r="M77">
        <v>0</v>
      </c>
      <c r="N77">
        <v>0</v>
      </c>
      <c r="Q77" s="14">
        <f>IF([1]punteo!L76="",0,[1]punteo!L76)</f>
        <v>0</v>
      </c>
      <c r="R77" s="14">
        <f>IF([1]punteo!M76="",0,[2]punteo!M76)</f>
        <v>0</v>
      </c>
      <c r="T77">
        <f t="shared" si="2"/>
        <v>0</v>
      </c>
      <c r="U77">
        <f t="shared" si="3"/>
        <v>0</v>
      </c>
      <c r="V77">
        <v>0</v>
      </c>
    </row>
    <row r="78" spans="1:23" x14ac:dyDescent="0.35">
      <c r="B78" s="1" t="s">
        <v>79</v>
      </c>
      <c r="C78">
        <v>72</v>
      </c>
      <c r="D78">
        <v>202530466</v>
      </c>
      <c r="E78" t="s">
        <v>78</v>
      </c>
      <c r="F78">
        <v>100</v>
      </c>
      <c r="G78">
        <v>0</v>
      </c>
      <c r="H78">
        <v>100</v>
      </c>
      <c r="I78">
        <v>100</v>
      </c>
      <c r="J78">
        <v>100</v>
      </c>
      <c r="K78">
        <v>100</v>
      </c>
      <c r="L78">
        <v>100</v>
      </c>
      <c r="M78">
        <v>100</v>
      </c>
      <c r="N78">
        <v>100</v>
      </c>
      <c r="O78">
        <v>100</v>
      </c>
      <c r="P78">
        <v>100</v>
      </c>
      <c r="Q78" s="14">
        <f>IF([1]punteo!L77="",0,[1]punteo!L77)</f>
        <v>100</v>
      </c>
      <c r="R78" s="14">
        <f>IF([1]punteo!M77="",0,[2]punteo!M77)</f>
        <v>0</v>
      </c>
      <c r="T78">
        <f t="shared" si="2"/>
        <v>1</v>
      </c>
      <c r="U78">
        <f t="shared" si="3"/>
        <v>1</v>
      </c>
      <c r="V78">
        <v>0</v>
      </c>
    </row>
    <row r="79" spans="1:23" x14ac:dyDescent="0.35">
      <c r="B79" s="1" t="s">
        <v>79</v>
      </c>
      <c r="C79">
        <v>73</v>
      </c>
      <c r="D79">
        <v>202030192</v>
      </c>
      <c r="E79" t="s">
        <v>80</v>
      </c>
      <c r="F79">
        <v>0</v>
      </c>
      <c r="G79">
        <v>0</v>
      </c>
      <c r="H79">
        <v>50</v>
      </c>
      <c r="I79">
        <v>75</v>
      </c>
      <c r="J79">
        <v>0</v>
      </c>
      <c r="K79">
        <v>100</v>
      </c>
      <c r="L79">
        <v>100</v>
      </c>
      <c r="M79">
        <v>100</v>
      </c>
      <c r="N79">
        <v>100</v>
      </c>
      <c r="O79">
        <v>85</v>
      </c>
      <c r="Q79" s="14">
        <f>IF([1]punteo!L78="",0,[1]punteo!L78)</f>
        <v>0</v>
      </c>
      <c r="R79" s="14">
        <f>IF([1]punteo!M78="",0,[2]punteo!M78)</f>
        <v>0</v>
      </c>
      <c r="T79">
        <f t="shared" si="2"/>
        <v>1</v>
      </c>
      <c r="U79">
        <f t="shared" si="3"/>
        <v>0</v>
      </c>
      <c r="V79">
        <v>0</v>
      </c>
    </row>
    <row r="80" spans="1:23" x14ac:dyDescent="0.35">
      <c r="C80" s="8" t="s">
        <v>74</v>
      </c>
      <c r="D80" s="9"/>
      <c r="E80" s="9"/>
      <c r="F80" s="10">
        <f t="shared" ref="F80:N80" si="4">COUNTIF(F7:F79,"&gt;0")</f>
        <v>49</v>
      </c>
      <c r="G80" s="10">
        <f t="shared" si="4"/>
        <v>11</v>
      </c>
      <c r="H80" s="10">
        <f t="shared" si="4"/>
        <v>59</v>
      </c>
      <c r="I80" s="10">
        <f t="shared" si="4"/>
        <v>46</v>
      </c>
      <c r="J80" s="10">
        <f t="shared" si="4"/>
        <v>50</v>
      </c>
      <c r="K80" s="10">
        <f t="shared" si="4"/>
        <v>50</v>
      </c>
      <c r="L80" s="10">
        <f t="shared" si="4"/>
        <v>58</v>
      </c>
      <c r="M80" s="10">
        <f t="shared" si="4"/>
        <v>60</v>
      </c>
      <c r="N80" s="10">
        <f t="shared" si="4"/>
        <v>54</v>
      </c>
      <c r="O80" s="10">
        <f>COUNTIF(O7:O79,"&gt;0")</f>
        <v>50</v>
      </c>
      <c r="P80" s="11">
        <f>COUNTIF(P7:P79,"&gt;0")</f>
        <v>60</v>
      </c>
      <c r="Q80" s="10"/>
      <c r="R80" s="10"/>
      <c r="S80" s="9"/>
      <c r="T80" s="9"/>
      <c r="U80" s="9"/>
      <c r="V80" s="9"/>
      <c r="W80" s="12"/>
    </row>
  </sheetData>
  <mergeCells count="1">
    <mergeCell ref="V4:W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9EC710-5496-4D31-87BF-A3C1F2A7324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Marlon Ivan Carreto Rivera</dc:creator>
  <cp:lastModifiedBy>Ivan Rivera</cp:lastModifiedBy>
  <dcterms:created xsi:type="dcterms:W3CDTF">2025-09-26T15:31:25Z</dcterms:created>
  <dcterms:modified xsi:type="dcterms:W3CDTF">2025-10-10T20:29:07Z</dcterms:modified>
</cp:coreProperties>
</file>