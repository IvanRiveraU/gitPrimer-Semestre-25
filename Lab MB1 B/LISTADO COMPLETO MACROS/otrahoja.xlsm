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bicacion C a D\Documentos\gitPrimer-Semetre-25\Lab MB1 B\LISTADO CON MACROS\"/>
    </mc:Choice>
  </mc:AlternateContent>
  <xr:revisionPtr revIDLastSave="0" documentId="13_ncr:1_{96937B56-1853-48AE-B931-B8967D7AB0A6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htfxasint" sheetId="1" r:id="rId1"/>
    <sheet name="punteo" sheetId="2" r:id="rId2"/>
  </sheets>
  <calcPr calcId="191029"/>
</workbook>
</file>

<file path=xl/calcChain.xml><?xml version="1.0" encoding="utf-8"?>
<calcChain xmlns="http://schemas.openxmlformats.org/spreadsheetml/2006/main">
  <c r="K78" i="1" l="1"/>
  <c r="G78" i="2" s="1"/>
  <c r="L67" i="2" s="1"/>
  <c r="K24" i="1"/>
  <c r="G24" i="2" s="1"/>
  <c r="L15" i="2" s="1"/>
  <c r="K25" i="1"/>
  <c r="G25" i="2" s="1"/>
  <c r="L66" i="2" s="1"/>
  <c r="K26" i="1"/>
  <c r="K33" i="1"/>
  <c r="G33" i="2" s="1"/>
  <c r="L22" i="2" s="1"/>
  <c r="K43" i="1"/>
  <c r="K44" i="1"/>
  <c r="K45" i="1"/>
  <c r="K52" i="1"/>
  <c r="G52" i="2" s="1"/>
  <c r="L58" i="2" s="1"/>
  <c r="K54" i="1"/>
  <c r="G54" i="2" s="1"/>
  <c r="L51" i="2" s="1"/>
  <c r="K60" i="1"/>
  <c r="G60" i="2" s="1"/>
  <c r="L43" i="2" s="1"/>
  <c r="K62" i="1"/>
  <c r="G62" i="2" s="1"/>
  <c r="L21" i="2" s="1"/>
  <c r="K69" i="1"/>
  <c r="G69" i="2" s="1"/>
  <c r="L26" i="2" s="1"/>
  <c r="K88" i="1"/>
  <c r="G88" i="2" s="1"/>
  <c r="L23" i="2" s="1"/>
  <c r="K90" i="1"/>
  <c r="G90" i="2" s="1"/>
  <c r="L12" i="2" s="1"/>
  <c r="K96" i="1"/>
  <c r="G96" i="2" s="1"/>
  <c r="K105" i="1"/>
  <c r="G105" i="2" s="1"/>
  <c r="L69" i="2" s="1"/>
  <c r="K115" i="1"/>
  <c r="K124" i="1"/>
  <c r="K126" i="1"/>
  <c r="G126" i="2" s="1"/>
  <c r="L57" i="2" s="1"/>
  <c r="K133" i="1"/>
  <c r="G133" i="2" s="1"/>
  <c r="L14" i="2" s="1"/>
  <c r="K141" i="1"/>
  <c r="G141" i="2" s="1"/>
  <c r="K142" i="1"/>
  <c r="G142" i="2" s="1"/>
  <c r="K151" i="1"/>
  <c r="G151" i="2" s="1"/>
  <c r="K152" i="1"/>
  <c r="G152" i="2" s="1"/>
  <c r="K153" i="1"/>
  <c r="G153" i="2" s="1"/>
  <c r="K159" i="1"/>
  <c r="K17" i="1"/>
  <c r="K18" i="1"/>
  <c r="K15" i="1"/>
  <c r="G4" i="2"/>
  <c r="K6" i="1"/>
  <c r="K7" i="1"/>
  <c r="K8" i="1"/>
  <c r="K9" i="1"/>
  <c r="K16" i="1"/>
  <c r="J160" i="1"/>
  <c r="K160" i="1" s="1"/>
  <c r="G160" i="2" s="1"/>
  <c r="J161" i="1"/>
  <c r="K161" i="1" s="1"/>
  <c r="G161" i="2" s="1"/>
  <c r="J162" i="1"/>
  <c r="K162" i="1" s="1"/>
  <c r="G162" i="2" s="1"/>
  <c r="J159" i="1"/>
  <c r="J151" i="1"/>
  <c r="J152" i="1"/>
  <c r="J153" i="1"/>
  <c r="J150" i="1"/>
  <c r="K150" i="1" s="1"/>
  <c r="G150" i="2" s="1"/>
  <c r="J141" i="1"/>
  <c r="J142" i="1" s="1"/>
  <c r="J143" i="1" s="1"/>
  <c r="J133" i="1"/>
  <c r="J134" i="1"/>
  <c r="K134" i="1" s="1"/>
  <c r="G134" i="2" s="1"/>
  <c r="L37" i="2" s="1"/>
  <c r="J135" i="1"/>
  <c r="K135" i="1" s="1"/>
  <c r="G135" i="2" s="1"/>
  <c r="J132" i="1"/>
  <c r="K132" i="1" s="1"/>
  <c r="G132" i="2" s="1"/>
  <c r="J124" i="1"/>
  <c r="J125" i="1"/>
  <c r="K125" i="1" s="1"/>
  <c r="G125" i="2" s="1"/>
  <c r="L73" i="2" s="1"/>
  <c r="J126" i="1"/>
  <c r="J123" i="1"/>
  <c r="K123" i="1" s="1"/>
  <c r="G123" i="2" s="1"/>
  <c r="L65" i="2" s="1"/>
  <c r="J115" i="1"/>
  <c r="J116" i="1"/>
  <c r="K116" i="1" s="1"/>
  <c r="G116" i="2" s="1"/>
  <c r="L77" i="2" s="1"/>
  <c r="J117" i="1"/>
  <c r="K117" i="1" s="1"/>
  <c r="G117" i="2" s="1"/>
  <c r="J114" i="1"/>
  <c r="K114" i="1" s="1"/>
  <c r="G114" i="2" s="1"/>
  <c r="L10" i="2" s="1"/>
  <c r="J106" i="1"/>
  <c r="K106" i="1" s="1"/>
  <c r="G106" i="2" s="1"/>
  <c r="L52" i="2" s="1"/>
  <c r="J107" i="1"/>
  <c r="K107" i="1" s="1"/>
  <c r="G107" i="2" s="1"/>
  <c r="L18" i="2" s="1"/>
  <c r="J108" i="1"/>
  <c r="K108" i="1" s="1"/>
  <c r="G108" i="2" s="1"/>
  <c r="L71" i="2" s="1"/>
  <c r="J105" i="1"/>
  <c r="J97" i="1"/>
  <c r="K97" i="1" s="1"/>
  <c r="G97" i="2" s="1"/>
  <c r="J98" i="1"/>
  <c r="K98" i="1" s="1"/>
  <c r="G98" i="2" s="1"/>
  <c r="J99" i="1"/>
  <c r="K99" i="1" s="1"/>
  <c r="G99" i="2" s="1"/>
  <c r="J96" i="1"/>
  <c r="J88" i="1"/>
  <c r="J89" i="1"/>
  <c r="K89" i="1" s="1"/>
  <c r="G89" i="2" s="1"/>
  <c r="L60" i="2" s="1"/>
  <c r="J90" i="1"/>
  <c r="J87" i="1"/>
  <c r="K87" i="1" s="1"/>
  <c r="G87" i="2" s="1"/>
  <c r="L38" i="2" s="1"/>
  <c r="J79" i="1"/>
  <c r="K79" i="1" s="1"/>
  <c r="G79" i="2" s="1"/>
  <c r="L55" i="2" s="1"/>
  <c r="J80" i="1"/>
  <c r="K80" i="1" s="1"/>
  <c r="G80" i="2" s="1"/>
  <c r="L59" i="2" s="1"/>
  <c r="J81" i="1"/>
  <c r="K81" i="1" s="1"/>
  <c r="G81" i="2" s="1"/>
  <c r="L33" i="2" s="1"/>
  <c r="J78" i="1"/>
  <c r="J70" i="1"/>
  <c r="K70" i="1" s="1"/>
  <c r="G70" i="2" s="1"/>
  <c r="L45" i="2" s="1"/>
  <c r="J71" i="1"/>
  <c r="K71" i="1" s="1"/>
  <c r="G71" i="2" s="1"/>
  <c r="L13" i="2" s="1"/>
  <c r="J72" i="1"/>
  <c r="K72" i="1" s="1"/>
  <c r="G72" i="2" s="1"/>
  <c r="L35" i="2" s="1"/>
  <c r="J69" i="1"/>
  <c r="J61" i="1"/>
  <c r="K61" i="1" s="1"/>
  <c r="G61" i="2" s="1"/>
  <c r="L8" i="2" s="1"/>
  <c r="J62" i="1"/>
  <c r="J63" i="1"/>
  <c r="K63" i="1" s="1"/>
  <c r="G63" i="2" s="1"/>
  <c r="L70" i="2" s="1"/>
  <c r="J60" i="1"/>
  <c r="J52" i="1"/>
  <c r="J53" i="1"/>
  <c r="K53" i="1" s="1"/>
  <c r="G53" i="2" s="1"/>
  <c r="L75" i="2" s="1"/>
  <c r="J54" i="1"/>
  <c r="J51" i="1"/>
  <c r="K51" i="1" s="1"/>
  <c r="G51" i="2" s="1"/>
  <c r="L50" i="2" s="1"/>
  <c r="J43" i="1"/>
  <c r="J44" i="1"/>
  <c r="J45" i="1"/>
  <c r="J42" i="1"/>
  <c r="K42" i="1" s="1"/>
  <c r="G42" i="2" s="1"/>
  <c r="L40" i="2" s="1"/>
  <c r="J34" i="1"/>
  <c r="K34" i="1" s="1"/>
  <c r="G34" i="2" s="1"/>
  <c r="L25" i="2" s="1"/>
  <c r="J35" i="1"/>
  <c r="K35" i="1" s="1"/>
  <c r="G35" i="2" s="1"/>
  <c r="L19" i="2" s="1"/>
  <c r="J36" i="1"/>
  <c r="K36" i="1" s="1"/>
  <c r="G36" i="2" s="1"/>
  <c r="L17" i="2" s="1"/>
  <c r="J33" i="1"/>
  <c r="J25" i="1"/>
  <c r="J26" i="1"/>
  <c r="J27" i="1"/>
  <c r="K27" i="1" s="1"/>
  <c r="G27" i="2" s="1"/>
  <c r="L34" i="2" s="1"/>
  <c r="J24" i="1"/>
  <c r="G3" i="2"/>
  <c r="J16" i="1"/>
  <c r="J17" i="1"/>
  <c r="J18" i="1"/>
  <c r="J15" i="1"/>
  <c r="G5" i="2"/>
  <c r="G10" i="2"/>
  <c r="G11" i="2"/>
  <c r="G12" i="2"/>
  <c r="G13" i="2"/>
  <c r="G14" i="2"/>
  <c r="G19" i="2"/>
  <c r="G20" i="2"/>
  <c r="G21" i="2"/>
  <c r="G22" i="2"/>
  <c r="G23" i="2"/>
  <c r="G26" i="2"/>
  <c r="L56" i="2" s="1"/>
  <c r="G28" i="2"/>
  <c r="G29" i="2"/>
  <c r="G30" i="2"/>
  <c r="G31" i="2"/>
  <c r="G32" i="2"/>
  <c r="G37" i="2"/>
  <c r="G38" i="2"/>
  <c r="G39" i="2"/>
  <c r="G40" i="2"/>
  <c r="G41" i="2"/>
  <c r="G43" i="2"/>
  <c r="L7" i="2" s="1"/>
  <c r="G44" i="2"/>
  <c r="L53" i="2" s="1"/>
  <c r="G45" i="2"/>
  <c r="L49" i="2" s="1"/>
  <c r="G46" i="2"/>
  <c r="G47" i="2"/>
  <c r="G48" i="2"/>
  <c r="G49" i="2"/>
  <c r="G50" i="2"/>
  <c r="G55" i="2"/>
  <c r="G56" i="2"/>
  <c r="G57" i="2"/>
  <c r="G58" i="2"/>
  <c r="G59" i="2"/>
  <c r="G64" i="2"/>
  <c r="G65" i="2"/>
  <c r="G66" i="2"/>
  <c r="G67" i="2"/>
  <c r="G68" i="2"/>
  <c r="G73" i="2"/>
  <c r="G74" i="2"/>
  <c r="G75" i="2"/>
  <c r="G76" i="2"/>
  <c r="G77" i="2"/>
  <c r="G82" i="2"/>
  <c r="G83" i="2"/>
  <c r="G84" i="2"/>
  <c r="G85" i="2"/>
  <c r="G86" i="2"/>
  <c r="G91" i="2"/>
  <c r="G92" i="2"/>
  <c r="G93" i="2"/>
  <c r="G94" i="2"/>
  <c r="G95" i="2"/>
  <c r="G100" i="2"/>
  <c r="G101" i="2"/>
  <c r="G102" i="2"/>
  <c r="G103" i="2"/>
  <c r="G104" i="2"/>
  <c r="G109" i="2"/>
  <c r="G110" i="2"/>
  <c r="G111" i="2"/>
  <c r="G112" i="2"/>
  <c r="G113" i="2"/>
  <c r="G115" i="2"/>
  <c r="L36" i="2" s="1"/>
  <c r="G118" i="2"/>
  <c r="G119" i="2"/>
  <c r="G120" i="2"/>
  <c r="G121" i="2"/>
  <c r="G122" i="2"/>
  <c r="G124" i="2"/>
  <c r="L39" i="2" s="1"/>
  <c r="G127" i="2"/>
  <c r="G128" i="2"/>
  <c r="G129" i="2"/>
  <c r="G130" i="2"/>
  <c r="G131" i="2"/>
  <c r="G136" i="2"/>
  <c r="G137" i="2"/>
  <c r="G138" i="2"/>
  <c r="G139" i="2"/>
  <c r="G140" i="2"/>
  <c r="G145" i="2"/>
  <c r="G146" i="2"/>
  <c r="G147" i="2"/>
  <c r="G148" i="2"/>
  <c r="G149" i="2"/>
  <c r="G154" i="2"/>
  <c r="G155" i="2"/>
  <c r="G156" i="2"/>
  <c r="G157" i="2"/>
  <c r="G158" i="2"/>
  <c r="G159" i="2"/>
  <c r="L9" i="2"/>
  <c r="L11" i="2"/>
  <c r="L16" i="2"/>
  <c r="L20" i="2"/>
  <c r="L24" i="2"/>
  <c r="L28" i="2"/>
  <c r="L29" i="2"/>
  <c r="L31" i="2"/>
  <c r="L41" i="2"/>
  <c r="L42" i="2"/>
  <c r="L46" i="2"/>
  <c r="L48" i="2"/>
  <c r="L62" i="2"/>
  <c r="L63" i="2"/>
  <c r="L64" i="2"/>
  <c r="L68" i="2"/>
  <c r="L72" i="2"/>
  <c r="L74" i="2"/>
  <c r="L76" i="2"/>
  <c r="L78" i="2"/>
  <c r="L6" i="2"/>
  <c r="G16" i="2"/>
  <c r="L47" i="2" s="1"/>
  <c r="G8" i="2"/>
  <c r="L32" i="2" s="1"/>
  <c r="J7" i="1"/>
  <c r="J8" i="1"/>
  <c r="J9" i="1"/>
  <c r="J6" i="1"/>
  <c r="G9" i="2" l="1"/>
  <c r="L61" i="2" s="1"/>
  <c r="K143" i="1"/>
  <c r="G143" i="2" s="1"/>
  <c r="J144" i="1"/>
  <c r="K144" i="1" s="1"/>
  <c r="G144" i="2" s="1"/>
  <c r="G15" i="2"/>
  <c r="L54" i="2" s="1"/>
  <c r="G18" i="2"/>
  <c r="L44" i="2" s="1"/>
  <c r="G17" i="2"/>
  <c r="G7" i="2"/>
  <c r="L30" i="2" s="1"/>
  <c r="G6" i="2"/>
  <c r="L27" i="2" l="1"/>
</calcChain>
</file>

<file path=xl/sharedStrings.xml><?xml version="1.0" encoding="utf-8"?>
<sst xmlns="http://schemas.openxmlformats.org/spreadsheetml/2006/main" count="546" uniqueCount="212">
  <si>
    <t>GRUPO #1</t>
  </si>
  <si>
    <t>GRUPO #11</t>
  </si>
  <si>
    <t xml:space="preserve">Numero </t>
  </si>
  <si>
    <t xml:space="preserve">Apellidos </t>
  </si>
  <si>
    <t>Nombres</t>
  </si>
  <si>
    <t xml:space="preserve">Carne </t>
  </si>
  <si>
    <t>Pérez Guinac</t>
  </si>
  <si>
    <t>Allan Alfonso</t>
  </si>
  <si>
    <t xml:space="preserve">González Agustin </t>
  </si>
  <si>
    <t xml:space="preserve">Brandon Geovany </t>
  </si>
  <si>
    <t>Sut Canil</t>
  </si>
  <si>
    <t>Fátima Guadalupe</t>
  </si>
  <si>
    <t xml:space="preserve">Cac Tzoc </t>
  </si>
  <si>
    <t xml:space="preserve">Obed Absalón </t>
  </si>
  <si>
    <t>GRUPO #2</t>
  </si>
  <si>
    <t>GRUPO #12</t>
  </si>
  <si>
    <t xml:space="preserve">Salanic García </t>
  </si>
  <si>
    <t xml:space="preserve">Bryan Rocael </t>
  </si>
  <si>
    <t xml:space="preserve">Juárez González </t>
  </si>
  <si>
    <t>Wilmer Ronael</t>
  </si>
  <si>
    <t xml:space="preserve">Caxaj Tale </t>
  </si>
  <si>
    <t xml:space="preserve">Jeremy Román </t>
  </si>
  <si>
    <t xml:space="preserve">Chojolan Macario </t>
  </si>
  <si>
    <t xml:space="preserve">Heydi Maritza </t>
  </si>
  <si>
    <t xml:space="preserve">Say Tax </t>
  </si>
  <si>
    <t xml:space="preserve">Mario Francisco David </t>
  </si>
  <si>
    <t xml:space="preserve">Gómez Gómez </t>
  </si>
  <si>
    <t xml:space="preserve">Flor de María </t>
  </si>
  <si>
    <t xml:space="preserve"> Rodriguez Carreto</t>
  </si>
  <si>
    <t>Brenda Mishellle</t>
  </si>
  <si>
    <t>GRUPO #3</t>
  </si>
  <si>
    <t>GRUPO #13</t>
  </si>
  <si>
    <t xml:space="preserve">Lopez Pereira </t>
  </si>
  <si>
    <t>Marcos Gadiel</t>
  </si>
  <si>
    <t xml:space="preserve">Norato Batz </t>
  </si>
  <si>
    <t xml:space="preserve">Gabriel Alexander </t>
  </si>
  <si>
    <t>Lux Xulá</t>
  </si>
  <si>
    <t>Anthony smaylin</t>
  </si>
  <si>
    <t>López Coyoy</t>
  </si>
  <si>
    <t xml:space="preserve">Daniel Alexander </t>
  </si>
  <si>
    <t>Campollo Garcia</t>
  </si>
  <si>
    <t xml:space="preserve">Juan Rodrigo </t>
  </si>
  <si>
    <t xml:space="preserve">López Cantoral </t>
  </si>
  <si>
    <t xml:space="preserve">José Alexander </t>
  </si>
  <si>
    <t>Hilario ixcati</t>
  </si>
  <si>
    <t xml:space="preserve">David Francisco </t>
  </si>
  <si>
    <t>GRUPO #4</t>
  </si>
  <si>
    <t>GRUPO #14</t>
  </si>
  <si>
    <t xml:space="preserve">De León De León </t>
  </si>
  <si>
    <t xml:space="preserve">Wilder José Manuel </t>
  </si>
  <si>
    <t xml:space="preserve">Macario López </t>
  </si>
  <si>
    <t>Débora Marian</t>
  </si>
  <si>
    <t>García Hernández</t>
  </si>
  <si>
    <t>José Miguel</t>
  </si>
  <si>
    <t>Cux Son</t>
  </si>
  <si>
    <t xml:space="preserve">Josseline Paola </t>
  </si>
  <si>
    <t>Sacalxot Fuentes</t>
  </si>
  <si>
    <t>Ricardo Josué</t>
  </si>
  <si>
    <t xml:space="preserve">Pelicó Alvarez </t>
  </si>
  <si>
    <t>Astrid Yohana</t>
  </si>
  <si>
    <t>Ventura Ramón</t>
  </si>
  <si>
    <t>Allan Bacilio Guadalupe</t>
  </si>
  <si>
    <t xml:space="preserve">Pérez Choxóm 
</t>
  </si>
  <si>
    <t>Lidia Alejandra</t>
  </si>
  <si>
    <t>GRUPO #5</t>
  </si>
  <si>
    <t>GRUPO #15</t>
  </si>
  <si>
    <t xml:space="preserve">Us Ochoa </t>
  </si>
  <si>
    <t xml:space="preserve">Emily Paola </t>
  </si>
  <si>
    <t xml:space="preserve">Copp Elías </t>
  </si>
  <si>
    <t>Esteban Fernando</t>
  </si>
  <si>
    <t>Macario Xicará</t>
  </si>
  <si>
    <t>Daniel Enrique</t>
  </si>
  <si>
    <t>Maldonado Ramirez</t>
  </si>
  <si>
    <t>Leandry Analisse</t>
  </si>
  <si>
    <t>Yancor Ocaña</t>
  </si>
  <si>
    <t xml:space="preserve">Maria Fernanda </t>
  </si>
  <si>
    <t xml:space="preserve">Hernández Flores </t>
  </si>
  <si>
    <t xml:space="preserve">Maria de los Angeles </t>
  </si>
  <si>
    <t xml:space="preserve"> Sac Ajxup</t>
  </si>
  <si>
    <t>Joel Isaac</t>
  </si>
  <si>
    <t>GRUPO #6</t>
  </si>
  <si>
    <t>GRUPO #16</t>
  </si>
  <si>
    <t xml:space="preserve">Sacalxot Escobar </t>
  </si>
  <si>
    <t>Manuel</t>
  </si>
  <si>
    <t xml:space="preserve"> Xivir Xivir </t>
  </si>
  <si>
    <t xml:space="preserve">Alex Felipe </t>
  </si>
  <si>
    <t xml:space="preserve">pastor cajchum </t>
  </si>
  <si>
    <t xml:space="preserve">Billy bequer </t>
  </si>
  <si>
    <t>Porón Quiacaín</t>
  </si>
  <si>
    <t xml:space="preserve">Emman Didier Nicolás </t>
  </si>
  <si>
    <t>GRUPO #7</t>
  </si>
  <si>
    <t>GRUPO #17</t>
  </si>
  <si>
    <t xml:space="preserve">Robles Barán </t>
  </si>
  <si>
    <t xml:space="preserve">Christian Fernando </t>
  </si>
  <si>
    <t xml:space="preserve">Gómez Miranda </t>
  </si>
  <si>
    <t>Ronald Eliú</t>
  </si>
  <si>
    <t xml:space="preserve">Colaj Aguilar </t>
  </si>
  <si>
    <t xml:space="preserve">Juan Carlos </t>
  </si>
  <si>
    <t>Recinos Maldonado</t>
  </si>
  <si>
    <t>Jerry Francisco</t>
  </si>
  <si>
    <t>GRUPO #8</t>
  </si>
  <si>
    <t>GRUPO #18</t>
  </si>
  <si>
    <t>Lem Vicente</t>
  </si>
  <si>
    <t>Kabawil José Víctor</t>
  </si>
  <si>
    <t>Matul Figueroa</t>
  </si>
  <si>
    <t>Estefani Abigail</t>
  </si>
  <si>
    <t>Poncio Chávez</t>
  </si>
  <si>
    <t>Kevin José Moisés</t>
  </si>
  <si>
    <t>García Méndez</t>
  </si>
  <si>
    <t>Rúben</t>
  </si>
  <si>
    <t>GRUPO #9</t>
  </si>
  <si>
    <t>Zapeta Pur</t>
  </si>
  <si>
    <t>Angel Herson Jose</t>
  </si>
  <si>
    <t>Vasquez Peneleu</t>
  </si>
  <si>
    <t>Estuardo Rafael</t>
  </si>
  <si>
    <t>Ramos Cholotio</t>
  </si>
  <si>
    <t>Juan Antonio</t>
  </si>
  <si>
    <t>Maldonado Alvarez</t>
  </si>
  <si>
    <t>Willy André</t>
  </si>
  <si>
    <t>GRUPO #10</t>
  </si>
  <si>
    <t>Ramírez Lorenzo</t>
  </si>
  <si>
    <t>Bécket Wenceslao</t>
  </si>
  <si>
    <t xml:space="preserve">Gabriel Tziquín </t>
  </si>
  <si>
    <t xml:space="preserve">Francisco Miguel </t>
  </si>
  <si>
    <t xml:space="preserve">Fuentes Pérez </t>
  </si>
  <si>
    <t>Nelfin Ulises</t>
  </si>
  <si>
    <t xml:space="preserve">Juárez Pinzón </t>
  </si>
  <si>
    <t>Yheshua Hermany</t>
  </si>
  <si>
    <t>Todos Asistieron</t>
  </si>
  <si>
    <t xml:space="preserve">Punteo a Estudiantes </t>
  </si>
  <si>
    <t>Ponderación</t>
  </si>
  <si>
    <t>No.</t>
  </si>
  <si>
    <t>Registro</t>
  </si>
  <si>
    <t>Pérez Aráuz Bily Bilsen Américo</t>
  </si>
  <si>
    <t>Macario Xicara Daniel Enrique</t>
  </si>
  <si>
    <t>Gomez Miranda Ronald Eliu</t>
  </si>
  <si>
    <t>Sum Agustin Cristian Yair</t>
  </si>
  <si>
    <t>Norato Batz Gabriel Alexander</t>
  </si>
  <si>
    <t>Orozco Bautista Cristian Emanuel</t>
  </si>
  <si>
    <t>Juárez Pinzón Yheshua Hermany</t>
  </si>
  <si>
    <t>Poncio Chávez Kevin José Moisés</t>
  </si>
  <si>
    <t>Maldonado Ramírez Leandry Analisse</t>
  </si>
  <si>
    <t>López Pereira Marcos Gadiel</t>
  </si>
  <si>
    <t>Osorio Alvarez Lesther Noel</t>
  </si>
  <si>
    <t>Ventura Ramón Allan Bacilio Guadalupe</t>
  </si>
  <si>
    <t>Gómez Gómez Flor De María</t>
  </si>
  <si>
    <t>Sacalxot Fuentes Ricardo Josué</t>
  </si>
  <si>
    <t>Baquiax Hernández Jackelin Vanessa</t>
  </si>
  <si>
    <t>Colaj Aguilar Juan Carlos</t>
  </si>
  <si>
    <t>De Leon De Leon Wilder Jose Manuel</t>
  </si>
  <si>
    <t>Gabriel Tziquín Francisco Miguel</t>
  </si>
  <si>
    <t>Romero Méndez Hanier Elien</t>
  </si>
  <si>
    <t>García Hernández José Miguel</t>
  </si>
  <si>
    <t>Lem Vicente Kabawil Jose Victor</t>
  </si>
  <si>
    <t>Pérez Güinac Allan Alfonso</t>
  </si>
  <si>
    <t>Caxaj Pérez Monica Silvana</t>
  </si>
  <si>
    <t>Laynez Sanchez Domingo Williams Witt</t>
  </si>
  <si>
    <t>González Agustin Brandon Geovany</t>
  </si>
  <si>
    <t>Estrada Orozco Luis Alessandro</t>
  </si>
  <si>
    <t>Sut Canil Fátima Guadalupe</t>
  </si>
  <si>
    <t>Maldonado Alvarez Willy André</t>
  </si>
  <si>
    <t>Hilario Ixcaticoy David Francisco</t>
  </si>
  <si>
    <t>García Méndez Rubén</t>
  </si>
  <si>
    <t>Lopez Coyoy Daniel Alexander</t>
  </si>
  <si>
    <t>Hernandez Flores Maria De Los Angeles</t>
  </si>
  <si>
    <t>Ramírez Lorenzo Bécket Wenceslao</t>
  </si>
  <si>
    <t>Cux Son Josseline Paola</t>
  </si>
  <si>
    <t>Us Ochoa Emily Paola</t>
  </si>
  <si>
    <t>Montiel Pérez Fulvio Alfredo</t>
  </si>
  <si>
    <t>Aguilar Herrera Kevin Misael</t>
  </si>
  <si>
    <t>Robles Barán Christian Fernando</t>
  </si>
  <si>
    <t>Lopez Rodriguez Marvin Josue</t>
  </si>
  <si>
    <t>Matul Figueroa Estefani Abigail</t>
  </si>
  <si>
    <t>Xiquin Yoxón Fernando David</t>
  </si>
  <si>
    <t>Caxaj Tale Jeremy Roman</t>
  </si>
  <si>
    <t>Say Tax Mario Francisco David</t>
  </si>
  <si>
    <t>Sac Ajxup Joel Isaac</t>
  </si>
  <si>
    <t>Sacalxot Escobar Manuel</t>
  </si>
  <si>
    <t>Poron Quiacain Emman Didier Nicolas</t>
  </si>
  <si>
    <t>Chojolan Macario Heydi Maritza</t>
  </si>
  <si>
    <t>Yancor Ocana Maria Fernanda</t>
  </si>
  <si>
    <t>Salanic Garcia Bryan Rocael</t>
  </si>
  <si>
    <t>Vasquez Peneleu Estuardo Rafael</t>
  </si>
  <si>
    <t>Campollo Garcia Juan Rodrigo</t>
  </si>
  <si>
    <t>Perez Choxom Lidia Alejandra</t>
  </si>
  <si>
    <t>Xivir Xivir Alex Felipe</t>
  </si>
  <si>
    <t>Ramos Cholotio Juan Antonio</t>
  </si>
  <si>
    <t>Fuentes Perez Nelfin Ulises</t>
  </si>
  <si>
    <t>Cac Tzoc Obed Absalon</t>
  </si>
  <si>
    <t>Ramirez García Astrid Alejandra</t>
  </si>
  <si>
    <t>Tistoj Quixtan Daniel Alejandro</t>
  </si>
  <si>
    <t>Copp Elías Esteban Fernando</t>
  </si>
  <si>
    <t>Macario López Débora Marian</t>
  </si>
  <si>
    <t>Lux Xulá Anthony Smaylin</t>
  </si>
  <si>
    <t>Zapeta Pur Angel Herson Jose</t>
  </si>
  <si>
    <t>Garcia Mendez Michael Anderson</t>
  </si>
  <si>
    <t>Juárez González Wilmer Ronaél</t>
  </si>
  <si>
    <t>Recinos Maldonado Jerry Francisco</t>
  </si>
  <si>
    <t>Rodríguez Carreto Brenda Michelle</t>
  </si>
  <si>
    <t>Bach Camaja Ilsi Juanita Magdalena</t>
  </si>
  <si>
    <t>Pelicó Alvarez Astrid Yohana</t>
  </si>
  <si>
    <t>Coyoy Lucas Edgar Inocente Isaac</t>
  </si>
  <si>
    <t>Pastor Cajchum Billy Bequer</t>
  </si>
  <si>
    <t>Jiménez Gómez Angel Daniel Dominique</t>
  </si>
  <si>
    <t xml:space="preserve">José Alexander López Cantoral </t>
  </si>
  <si>
    <t xml:space="preserve">Fredi Horlando Cotom Pérez </t>
  </si>
  <si>
    <t>Lopez Rodriguez</t>
  </si>
  <si>
    <t>Marvin Josue</t>
  </si>
  <si>
    <t>Funciones Racionales, Asintotas</t>
  </si>
  <si>
    <t>HT(9/10/2025)</t>
  </si>
  <si>
    <t xml:space="preserve"> </t>
  </si>
  <si>
    <t>HT2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</si>
</sst>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rgb="FF000000"/>
      <name val="Arial"/>
      <scheme val="minor"/>
    </font>
    <font>
      <b/>
      <sz val="13"/>
      <color theme="1"/>
      <name val="Arial"/>
      <family val="2"/>
      <scheme val="minor"/>
    </font>
    <font>
      <b/>
      <i/>
      <sz val="18"/>
      <color theme="1"/>
      <name val="Arial"/>
      <family val="2"/>
    </font>
    <font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  <scheme val="minor"/>
    </font>
    <font>
      <sz val="10"/>
      <color rgb="FF00000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0" borderId="0" xfId="0" applyFont="1"/>
    <xf numFmtId="0" fontId="4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3" fillId="0" borderId="2" xfId="0" applyFont="1" applyBorder="1"/>
    <xf numFmtId="0" fontId="3" fillId="0" borderId="1" xfId="0" applyFont="1" applyBorder="1"/>
    <xf numFmtId="0" fontId="3" fillId="0" borderId="3" xfId="0" applyFont="1" applyBorder="1"/>
    <xf numFmtId="0" fontId="5" fillId="0" borderId="1" xfId="0" applyFont="1" applyBorder="1" applyAlignment="1">
      <alignment horizontal="right"/>
    </xf>
    <xf numFmtId="0" fontId="1" fillId="0" borderId="0" xfId="0" applyFont="1"/>
    <xf numFmtId="0" fontId="6" fillId="0" borderId="0" xfId="0" applyFont="1"/>
    <xf numFmtId="0" fontId="6" fillId="0" borderId="0" xfId="0" applyFont="1" applyAlignment="1">
      <alignment vertical="center"/>
    </xf>
    <xf numFmtId="0" fontId="5" fillId="0" borderId="2" xfId="0" applyFont="1" applyBorder="1"/>
    <xf numFmtId="0" fontId="5" fillId="0" borderId="3" xfId="0" applyFont="1" applyBorder="1"/>
    <xf numFmtId="0" fontId="3" fillId="0" borderId="5" xfId="0" applyFont="1" applyBorder="1"/>
    <xf numFmtId="0" fontId="7" fillId="0" borderId="0" xfId="0" applyFont="1"/>
    <xf numFmtId="0" fontId="2" fillId="2" borderId="0" xfId="0" applyFont="1" applyFill="1"/>
    <xf numFmtId="0" fontId="2" fillId="2" borderId="4" xfId="0" applyFont="1" applyFill="1" applyBorder="1"/>
    <xf numFmtId="0" fontId="4" fillId="0" borderId="2" xfId="0" applyFont="1" applyBorder="1"/>
    <xf numFmtId="0" fontId="4" fillId="0" borderId="3" xfId="0" applyFont="1" applyBorder="1"/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right"/>
    </xf>
    <xf numFmtId="0" fontId="7" fillId="0" borderId="0" xfId="0" applyFont="1" applyAlignment="1">
      <alignment horizontal="center"/>
    </xf>
    <xf numFmtId="0" fontId="8" fillId="0" borderId="0" xfId="0" applyFont="1"/>
    <xf numFmtId="0" fontId="3" fillId="3" borderId="7" xfId="0" applyFont="1" applyFill="1" applyBorder="1"/>
    <xf numFmtId="0" fontId="6" fillId="3" borderId="7" xfId="0" applyFont="1" applyFill="1" applyBorder="1"/>
    <xf numFmtId="0" fontId="3" fillId="0" borderId="2" xfId="0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3" fillId="0" borderId="2" xfId="0" applyFont="1" applyBorder="1"/>
    <xf numFmtId="0" fontId="3" fillId="0" borderId="3" xfId="0" applyFont="1" applyBorder="1"/>
    <xf numFmtId="0" fontId="2" fillId="2" borderId="0" xfId="0" applyFont="1" applyFill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/>
    <xf numFmtId="0" fontId="3" fillId="0" borderId="8" xfId="0" applyFont="1" applyBorder="1" applyAlignment="1">
      <alignment horizontal="right"/>
    </xf>
    <xf numFmtId="0" fontId="3" fillId="0" borderId="9" xfId="0" applyFont="1" applyBorder="1" applyAlignment="1">
      <alignment horizontal="right"/>
    </xf>
    <xf numFmtId="0" fontId="3" fillId="0" borderId="5" xfId="0" applyFont="1" applyBorder="1"/>
    <xf numFmtId="0" fontId="3" fillId="0" borderId="6" xfId="0" applyFont="1" applyBorder="1"/>
    <xf numFmtId="0" fontId="5" fillId="0" borderId="2" xfId="0" applyFont="1" applyBorder="1"/>
    <xf numFmtId="0" fontId="5" fillId="0" borderId="3" xfId="0" applyFont="1" applyBorder="1"/>
    <xf numFmtId="0" fontId="5" fillId="0" borderId="2" xfId="0" applyFont="1" applyBorder="1" applyAlignment="1">
      <alignment horizontal="right"/>
    </xf>
    <xf numFmtId="0" fontId="5" fillId="0" borderId="3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B1:R163"/>
  <sheetViews>
    <sheetView tabSelected="1" topLeftCell="A79" zoomScale="70" zoomScaleNormal="70" workbookViewId="0">
      <selection activeCell="K7" sqref="K7"/>
    </sheetView>
  </sheetViews>
  <sheetFormatPr baseColWidth="10" defaultColWidth="12.6328125" defaultRowHeight="15.75" customHeight="1" x14ac:dyDescent="0.25"/>
  <cols>
    <col min="9" max="9" width="16.26953125" customWidth="1"/>
    <col min="11" max="11" width="24.7265625" customWidth="1"/>
  </cols>
  <sheetData>
    <row r="1" spans="2:11" ht="15.75" customHeight="1" x14ac:dyDescent="0.35">
      <c r="B1" s="8"/>
    </row>
    <row r="3" spans="2:11" ht="13.25" customHeight="1" x14ac:dyDescent="0.25">
      <c r="B3" s="29" t="s">
        <v>0</v>
      </c>
      <c r="C3" s="29"/>
      <c r="D3" s="29"/>
      <c r="E3" s="29"/>
      <c r="F3" s="29"/>
      <c r="G3" s="29"/>
      <c r="H3" s="29"/>
      <c r="J3" s="9"/>
    </row>
    <row r="4" spans="2:11" ht="12.5" customHeight="1" x14ac:dyDescent="0.25">
      <c r="B4" s="29"/>
      <c r="C4" s="29"/>
      <c r="D4" s="29"/>
      <c r="E4" s="29"/>
      <c r="F4" s="29"/>
      <c r="G4" s="29"/>
      <c r="H4" s="29"/>
      <c r="I4" s="10" t="s">
        <v>128</v>
      </c>
      <c r="J4" s="23" t="s">
        <v>130</v>
      </c>
      <c r="K4" s="22" t="s">
        <v>129</v>
      </c>
    </row>
    <row r="5" spans="2:11" ht="13" x14ac:dyDescent="0.3">
      <c r="B5" s="19" t="s">
        <v>2</v>
      </c>
      <c r="C5" s="33" t="s">
        <v>3</v>
      </c>
      <c r="D5" s="33"/>
      <c r="E5" s="33" t="s">
        <v>4</v>
      </c>
      <c r="F5" s="33"/>
      <c r="G5" s="33" t="s">
        <v>5</v>
      </c>
      <c r="H5" s="33"/>
      <c r="I5" s="1"/>
      <c r="J5" s="23" t="s">
        <v>210</v>
      </c>
    </row>
    <row r="6" spans="2:11" ht="12.5" x14ac:dyDescent="0.25">
      <c r="B6" s="20">
        <v>1</v>
      </c>
      <c r="C6" s="34" t="s">
        <v>6</v>
      </c>
      <c r="D6" s="34"/>
      <c r="E6" s="34" t="s">
        <v>7</v>
      </c>
      <c r="F6" s="34"/>
      <c r="G6" s="35">
        <v>202431863</v>
      </c>
      <c r="H6" s="36"/>
      <c r="I6" s="9"/>
      <c r="J6" s="1" t="str">
        <f>$J$5</f>
        <v xml:space="preserve"> </v>
      </c>
      <c r="K6">
        <f>IF(I6="SI",J6,0)</f>
        <v>0</v>
      </c>
    </row>
    <row r="7" spans="2:11" ht="12.5" x14ac:dyDescent="0.25">
      <c r="B7" s="20">
        <v>2</v>
      </c>
      <c r="C7" s="34" t="s">
        <v>8</v>
      </c>
      <c r="D7" s="34"/>
      <c r="E7" s="34" t="s">
        <v>9</v>
      </c>
      <c r="F7" s="34"/>
      <c r="G7" s="35">
        <v>202432137</v>
      </c>
      <c r="H7" s="36"/>
      <c r="I7" s="1"/>
      <c r="J7" s="1" t="str">
        <f t="shared" ref="J7:J9" si="0">$J$5</f>
        <v xml:space="preserve"> </v>
      </c>
      <c r="K7">
        <f t="shared" ref="K7:K9" si="1">IF(I7="SI",J7,0)</f>
        <v>0</v>
      </c>
    </row>
    <row r="8" spans="2:11" ht="12.5" x14ac:dyDescent="0.25">
      <c r="B8" s="20">
        <v>3</v>
      </c>
      <c r="C8" s="34" t="s">
        <v>10</v>
      </c>
      <c r="D8" s="34"/>
      <c r="E8" s="34" t="s">
        <v>11</v>
      </c>
      <c r="F8" s="34"/>
      <c r="G8" s="35">
        <v>202530235</v>
      </c>
      <c r="H8" s="36"/>
      <c r="I8" s="1"/>
      <c r="J8" s="1" t="str">
        <f t="shared" si="0"/>
        <v xml:space="preserve"> </v>
      </c>
      <c r="K8">
        <f t="shared" si="1"/>
        <v>0</v>
      </c>
    </row>
    <row r="9" spans="2:11" ht="12.5" x14ac:dyDescent="0.25">
      <c r="B9" s="20">
        <v>4</v>
      </c>
      <c r="C9" s="34" t="s">
        <v>12</v>
      </c>
      <c r="D9" s="34"/>
      <c r="E9" s="34" t="s">
        <v>13</v>
      </c>
      <c r="F9" s="34"/>
      <c r="G9" s="35">
        <v>202531384</v>
      </c>
      <c r="H9" s="36"/>
      <c r="I9" s="1"/>
      <c r="J9" s="1" t="str">
        <f t="shared" si="0"/>
        <v xml:space="preserve"> </v>
      </c>
      <c r="K9">
        <f t="shared" si="1"/>
        <v>0</v>
      </c>
    </row>
    <row r="10" spans="2:11" ht="12.5" x14ac:dyDescent="0.25">
      <c r="B10" s="1"/>
      <c r="C10" s="1"/>
      <c r="D10" s="1"/>
      <c r="E10" s="1"/>
      <c r="F10" s="1"/>
      <c r="G10" s="1"/>
      <c r="H10" s="1"/>
      <c r="I10" s="1"/>
      <c r="J10" s="1"/>
    </row>
    <row r="11" spans="2:11" ht="12.5" x14ac:dyDescent="0.25">
      <c r="B11" s="1"/>
      <c r="D11" s="1"/>
      <c r="E11" s="1"/>
      <c r="F11" s="1"/>
      <c r="G11" s="1"/>
      <c r="H11" s="1"/>
      <c r="I11" s="1"/>
      <c r="J11" s="1"/>
    </row>
    <row r="12" spans="2:11" ht="13.25" customHeight="1" x14ac:dyDescent="0.25">
      <c r="B12" s="29" t="s">
        <v>14</v>
      </c>
      <c r="C12" s="29"/>
      <c r="D12" s="29"/>
      <c r="E12" s="29"/>
      <c r="F12" s="29"/>
      <c r="G12" s="29"/>
      <c r="H12" s="29"/>
      <c r="I12" s="1"/>
      <c r="J12" s="1"/>
    </row>
    <row r="13" spans="2:11" ht="12.5" customHeight="1" x14ac:dyDescent="0.25">
      <c r="B13" s="30"/>
      <c r="C13" s="30"/>
      <c r="D13" s="30"/>
      <c r="E13" s="30"/>
      <c r="F13" s="30"/>
      <c r="G13" s="30"/>
      <c r="H13" s="30"/>
      <c r="I13" s="10" t="s">
        <v>128</v>
      </c>
      <c r="J13" s="23" t="s">
        <v>130</v>
      </c>
      <c r="K13" t="s">
        <v>129</v>
      </c>
    </row>
    <row r="14" spans="2:11" ht="13" x14ac:dyDescent="0.3">
      <c r="B14" s="2" t="s">
        <v>2</v>
      </c>
      <c r="C14" s="31" t="s">
        <v>3</v>
      </c>
      <c r="D14" s="32"/>
      <c r="E14" s="31" t="s">
        <v>4</v>
      </c>
      <c r="F14" s="32"/>
      <c r="G14" s="31" t="s">
        <v>5</v>
      </c>
      <c r="H14" s="32"/>
      <c r="I14" s="1"/>
      <c r="J14" s="24" t="s">
        <v>210</v>
      </c>
    </row>
    <row r="15" spans="2:11" ht="12.5" x14ac:dyDescent="0.25">
      <c r="B15" s="3">
        <v>1</v>
      </c>
      <c r="C15" s="27" t="s">
        <v>16</v>
      </c>
      <c r="D15" s="28"/>
      <c r="E15" s="27" t="s">
        <v>17</v>
      </c>
      <c r="F15" s="28"/>
      <c r="G15" s="25">
        <v>202531127</v>
      </c>
      <c r="H15" s="26"/>
      <c r="I15" s="1"/>
      <c r="J15" s="1" t="str">
        <f>$J$14</f>
        <v xml:space="preserve"> </v>
      </c>
      <c r="K15">
        <f>IF(I15="SI",J15,0)</f>
        <v>0</v>
      </c>
    </row>
    <row r="16" spans="2:11" ht="12.5" x14ac:dyDescent="0.25">
      <c r="B16" s="3">
        <v>2</v>
      </c>
      <c r="C16" s="27" t="s">
        <v>20</v>
      </c>
      <c r="D16" s="28"/>
      <c r="E16" s="27" t="s">
        <v>21</v>
      </c>
      <c r="F16" s="28"/>
      <c r="G16" s="25">
        <v>202530728</v>
      </c>
      <c r="H16" s="26"/>
      <c r="I16" s="1"/>
      <c r="J16" s="1" t="str">
        <f t="shared" ref="J16:J18" si="2">$J$14</f>
        <v xml:space="preserve"> </v>
      </c>
      <c r="K16">
        <f t="shared" ref="K16" si="3">IF(I16="SI",J16,0)</f>
        <v>0</v>
      </c>
    </row>
    <row r="17" spans="2:11" ht="12.5" x14ac:dyDescent="0.25">
      <c r="B17" s="3">
        <v>3</v>
      </c>
      <c r="C17" s="27" t="s">
        <v>24</v>
      </c>
      <c r="D17" s="28"/>
      <c r="E17" s="27" t="s">
        <v>25</v>
      </c>
      <c r="F17" s="28"/>
      <c r="G17" s="25">
        <v>202531843</v>
      </c>
      <c r="H17" s="26"/>
      <c r="I17" s="1"/>
      <c r="J17" s="1" t="str">
        <f t="shared" si="2"/>
        <v xml:space="preserve"> </v>
      </c>
      <c r="K17">
        <f>IF(I17="SI",J17,0)</f>
        <v>0</v>
      </c>
    </row>
    <row r="18" spans="2:11" ht="12.5" x14ac:dyDescent="0.25">
      <c r="B18" s="3">
        <v>4</v>
      </c>
      <c r="C18" s="4" t="s">
        <v>206</v>
      </c>
      <c r="D18" s="6"/>
      <c r="E18" s="4" t="s">
        <v>207</v>
      </c>
      <c r="F18" s="6"/>
      <c r="G18" s="25">
        <v>202530673</v>
      </c>
      <c r="H18" s="26"/>
      <c r="I18" s="1"/>
      <c r="J18" s="1" t="str">
        <f t="shared" si="2"/>
        <v xml:space="preserve"> </v>
      </c>
      <c r="K18">
        <f>IF(I18="SI",J18,0)</f>
        <v>0</v>
      </c>
    </row>
    <row r="19" spans="2:11" ht="12.5" x14ac:dyDescent="0.25">
      <c r="B19" s="1"/>
      <c r="C19" s="1"/>
      <c r="D19" s="1"/>
      <c r="E19" s="1"/>
      <c r="F19" s="1"/>
      <c r="G19" s="1"/>
      <c r="H19" s="1"/>
      <c r="J19" s="1"/>
    </row>
    <row r="20" spans="2:11" ht="12.5" x14ac:dyDescent="0.25">
      <c r="B20" s="1"/>
      <c r="C20" s="1"/>
      <c r="D20" s="1"/>
      <c r="E20" s="1"/>
      <c r="F20" s="1"/>
      <c r="G20" s="1"/>
      <c r="H20" s="1"/>
      <c r="J20" s="1"/>
    </row>
    <row r="21" spans="2:11" ht="13.25" customHeight="1" x14ac:dyDescent="0.25">
      <c r="B21" s="29" t="s">
        <v>30</v>
      </c>
      <c r="C21" s="29"/>
      <c r="D21" s="29"/>
      <c r="E21" s="29"/>
      <c r="F21" s="29"/>
      <c r="G21" s="29"/>
      <c r="H21" s="29"/>
      <c r="I21" s="1"/>
    </row>
    <row r="22" spans="2:11" ht="12.5" customHeight="1" x14ac:dyDescent="0.25">
      <c r="B22" s="30"/>
      <c r="C22" s="30"/>
      <c r="D22" s="30"/>
      <c r="E22" s="30"/>
      <c r="F22" s="30"/>
      <c r="G22" s="30"/>
      <c r="H22" s="30"/>
      <c r="I22" s="10" t="s">
        <v>128</v>
      </c>
      <c r="J22" s="23" t="s">
        <v>130</v>
      </c>
    </row>
    <row r="23" spans="2:11" ht="13" x14ac:dyDescent="0.3">
      <c r="B23" s="2" t="s">
        <v>2</v>
      </c>
      <c r="C23" s="31" t="s">
        <v>3</v>
      </c>
      <c r="D23" s="32"/>
      <c r="E23" s="31" t="s">
        <v>4</v>
      </c>
      <c r="F23" s="32"/>
      <c r="G23" s="31" t="s">
        <v>5</v>
      </c>
      <c r="H23" s="32"/>
      <c r="I23" s="1"/>
      <c r="J23" s="24" t="s">
        <v>210</v>
      </c>
    </row>
    <row r="24" spans="2:11" ht="12.5" x14ac:dyDescent="0.25">
      <c r="B24" s="3">
        <v>1</v>
      </c>
      <c r="C24" s="27" t="s">
        <v>32</v>
      </c>
      <c r="D24" s="28"/>
      <c r="E24" s="27" t="s">
        <v>33</v>
      </c>
      <c r="F24" s="28"/>
      <c r="G24" s="25">
        <v>202430589</v>
      </c>
      <c r="H24" s="26"/>
      <c r="I24" s="1"/>
      <c r="J24" s="1" t="str">
        <f>$J$23</f>
        <v xml:space="preserve"> </v>
      </c>
      <c r="K24">
        <f t="shared" ref="K24:K81" si="4">IF(I24="SI",J24,0)</f>
        <v>0</v>
      </c>
    </row>
    <row r="25" spans="2:11" ht="12.5" x14ac:dyDescent="0.25">
      <c r="B25" s="3">
        <v>2</v>
      </c>
      <c r="C25" s="27" t="s">
        <v>36</v>
      </c>
      <c r="D25" s="28"/>
      <c r="E25" s="27" t="s">
        <v>37</v>
      </c>
      <c r="F25" s="28"/>
      <c r="G25" s="25">
        <v>202531611</v>
      </c>
      <c r="H25" s="26"/>
      <c r="I25" s="1"/>
      <c r="J25" s="1" t="str">
        <f t="shared" ref="J25:J27" si="5">$J$23</f>
        <v xml:space="preserve"> </v>
      </c>
      <c r="K25">
        <f t="shared" si="4"/>
        <v>0</v>
      </c>
    </row>
    <row r="26" spans="2:11" ht="12.5" x14ac:dyDescent="0.25">
      <c r="B26" s="3">
        <v>3</v>
      </c>
      <c r="C26" s="27" t="s">
        <v>40</v>
      </c>
      <c r="D26" s="28"/>
      <c r="E26" s="27" t="s">
        <v>41</v>
      </c>
      <c r="F26" s="28"/>
      <c r="G26" s="25">
        <v>202531219</v>
      </c>
      <c r="H26" s="26"/>
      <c r="I26" s="1"/>
      <c r="J26" s="1" t="str">
        <f t="shared" si="5"/>
        <v xml:space="preserve"> </v>
      </c>
      <c r="K26">
        <f t="shared" si="4"/>
        <v>0</v>
      </c>
    </row>
    <row r="27" spans="2:11" ht="12.5" x14ac:dyDescent="0.25">
      <c r="B27" s="3">
        <v>4</v>
      </c>
      <c r="C27" s="27" t="s">
        <v>44</v>
      </c>
      <c r="D27" s="28"/>
      <c r="E27" s="27" t="s">
        <v>45</v>
      </c>
      <c r="F27" s="28"/>
      <c r="G27" s="25">
        <v>202530315</v>
      </c>
      <c r="H27" s="26"/>
      <c r="I27" s="1"/>
      <c r="J27" s="1" t="str">
        <f t="shared" si="5"/>
        <v xml:space="preserve"> </v>
      </c>
      <c r="K27">
        <f t="shared" si="4"/>
        <v>0</v>
      </c>
    </row>
    <row r="28" spans="2:11" ht="12.5" x14ac:dyDescent="0.25">
      <c r="B28" s="1"/>
      <c r="C28" s="1"/>
      <c r="D28" s="1"/>
      <c r="E28" s="1"/>
      <c r="F28" s="1"/>
      <c r="G28" s="1"/>
      <c r="H28" s="1"/>
      <c r="I28" s="1"/>
      <c r="J28" s="1"/>
    </row>
    <row r="29" spans="2:11" ht="12.5" x14ac:dyDescent="0.25">
      <c r="B29" s="1"/>
      <c r="C29" s="1"/>
      <c r="D29" s="1"/>
      <c r="E29" s="1"/>
      <c r="F29" s="1"/>
      <c r="G29" s="1"/>
      <c r="H29" s="1"/>
      <c r="I29" s="1"/>
      <c r="J29" s="1"/>
    </row>
    <row r="30" spans="2:11" ht="13.25" customHeight="1" x14ac:dyDescent="0.25">
      <c r="B30" s="29" t="s">
        <v>46</v>
      </c>
      <c r="C30" s="29"/>
      <c r="D30" s="29"/>
      <c r="E30" s="29"/>
      <c r="F30" s="29"/>
      <c r="G30" s="29"/>
      <c r="H30" s="29"/>
      <c r="I30" s="1"/>
    </row>
    <row r="31" spans="2:11" ht="12.5" customHeight="1" x14ac:dyDescent="0.25">
      <c r="B31" s="30"/>
      <c r="C31" s="30"/>
      <c r="D31" s="30"/>
      <c r="E31" s="30"/>
      <c r="F31" s="30"/>
      <c r="G31" s="30"/>
      <c r="H31" s="30"/>
      <c r="I31" s="10" t="s">
        <v>128</v>
      </c>
      <c r="J31" s="23" t="s">
        <v>130</v>
      </c>
      <c r="K31" t="s">
        <v>129</v>
      </c>
    </row>
    <row r="32" spans="2:11" ht="13" x14ac:dyDescent="0.3">
      <c r="B32" s="2" t="s">
        <v>2</v>
      </c>
      <c r="C32" s="31" t="s">
        <v>3</v>
      </c>
      <c r="D32" s="32"/>
      <c r="E32" s="31" t="s">
        <v>4</v>
      </c>
      <c r="F32" s="32"/>
      <c r="G32" s="31" t="s">
        <v>5</v>
      </c>
      <c r="H32" s="32"/>
      <c r="I32" s="1"/>
      <c r="J32" s="24" t="s">
        <v>210</v>
      </c>
    </row>
    <row r="33" spans="2:11" ht="12.5" x14ac:dyDescent="0.25">
      <c r="B33" s="3">
        <v>1</v>
      </c>
      <c r="C33" s="27" t="s">
        <v>48</v>
      </c>
      <c r="D33" s="28"/>
      <c r="E33" s="27" t="s">
        <v>49</v>
      </c>
      <c r="F33" s="28"/>
      <c r="G33" s="25">
        <v>202431169</v>
      </c>
      <c r="H33" s="26"/>
      <c r="I33" s="1"/>
      <c r="J33" s="1" t="str">
        <f>$J$32</f>
        <v xml:space="preserve"> </v>
      </c>
      <c r="K33">
        <f t="shared" si="4"/>
        <v>0</v>
      </c>
    </row>
    <row r="34" spans="2:11" ht="12.5" x14ac:dyDescent="0.25">
      <c r="B34" s="3">
        <v>2</v>
      </c>
      <c r="C34" s="27" t="s">
        <v>52</v>
      </c>
      <c r="D34" s="28"/>
      <c r="E34" s="27" t="s">
        <v>53</v>
      </c>
      <c r="F34" s="28"/>
      <c r="G34" s="25">
        <v>202431817</v>
      </c>
      <c r="H34" s="26"/>
      <c r="I34" s="1"/>
      <c r="J34" s="1" t="str">
        <f t="shared" ref="J34:J36" si="6">$J$32</f>
        <v xml:space="preserve"> </v>
      </c>
      <c r="K34">
        <f t="shared" si="4"/>
        <v>0</v>
      </c>
    </row>
    <row r="35" spans="2:11" ht="12.5" x14ac:dyDescent="0.25">
      <c r="B35" s="3">
        <v>3</v>
      </c>
      <c r="C35" s="27" t="s">
        <v>56</v>
      </c>
      <c r="D35" s="28"/>
      <c r="E35" s="27" t="s">
        <v>57</v>
      </c>
      <c r="F35" s="28"/>
      <c r="G35" s="25">
        <v>202430733</v>
      </c>
      <c r="H35" s="26"/>
      <c r="I35" s="1"/>
      <c r="J35" s="1" t="str">
        <f t="shared" si="6"/>
        <v xml:space="preserve"> </v>
      </c>
      <c r="K35">
        <f t="shared" si="4"/>
        <v>0</v>
      </c>
    </row>
    <row r="36" spans="2:11" ht="12.5" x14ac:dyDescent="0.25">
      <c r="B36" s="5">
        <v>4</v>
      </c>
      <c r="C36" s="4" t="s">
        <v>60</v>
      </c>
      <c r="D36" s="6"/>
      <c r="E36" s="27" t="s">
        <v>61</v>
      </c>
      <c r="F36" s="28"/>
      <c r="G36" s="37">
        <v>202430633</v>
      </c>
      <c r="H36" s="38"/>
      <c r="I36" s="1"/>
      <c r="J36" s="1" t="str">
        <f t="shared" si="6"/>
        <v xml:space="preserve"> </v>
      </c>
      <c r="K36">
        <f t="shared" si="4"/>
        <v>0</v>
      </c>
    </row>
    <row r="37" spans="2:11" ht="12.5" x14ac:dyDescent="0.25">
      <c r="B37" s="1"/>
      <c r="C37" s="1"/>
      <c r="D37" s="1"/>
      <c r="E37" s="1"/>
      <c r="F37" s="1"/>
      <c r="H37" s="1"/>
      <c r="I37" s="1"/>
      <c r="J37" s="1"/>
    </row>
    <row r="38" spans="2:11" ht="12.5" x14ac:dyDescent="0.25">
      <c r="B38" s="1"/>
      <c r="C38" s="1"/>
      <c r="D38" s="1"/>
      <c r="E38" s="1"/>
      <c r="F38" s="1"/>
      <c r="G38" s="1"/>
      <c r="H38" s="1"/>
      <c r="I38" s="1"/>
      <c r="J38" s="1"/>
    </row>
    <row r="39" spans="2:11" ht="13.25" customHeight="1" x14ac:dyDescent="0.25">
      <c r="B39" s="29" t="s">
        <v>64</v>
      </c>
      <c r="C39" s="29"/>
      <c r="D39" s="29"/>
      <c r="E39" s="29"/>
      <c r="F39" s="29"/>
      <c r="G39" s="29"/>
      <c r="H39" s="29"/>
      <c r="I39" s="1"/>
      <c r="J39" s="1"/>
    </row>
    <row r="40" spans="2:11" ht="12.5" customHeight="1" x14ac:dyDescent="0.25">
      <c r="B40" s="30"/>
      <c r="C40" s="30"/>
      <c r="D40" s="30"/>
      <c r="E40" s="30"/>
      <c r="F40" s="30"/>
      <c r="G40" s="30"/>
      <c r="H40" s="30"/>
      <c r="I40" s="10" t="s">
        <v>128</v>
      </c>
      <c r="J40" s="23" t="s">
        <v>130</v>
      </c>
      <c r="K40" t="s">
        <v>129</v>
      </c>
    </row>
    <row r="41" spans="2:11" ht="13" x14ac:dyDescent="0.3">
      <c r="B41" s="2" t="s">
        <v>2</v>
      </c>
      <c r="C41" s="31" t="s">
        <v>3</v>
      </c>
      <c r="D41" s="32"/>
      <c r="E41" s="31" t="s">
        <v>4</v>
      </c>
      <c r="F41" s="32"/>
      <c r="G41" s="31" t="s">
        <v>5</v>
      </c>
      <c r="H41" s="32"/>
      <c r="I41" s="1"/>
      <c r="J41" s="23" t="s">
        <v>210</v>
      </c>
    </row>
    <row r="42" spans="2:11" ht="12.5" x14ac:dyDescent="0.25">
      <c r="B42" s="3">
        <v>1</v>
      </c>
      <c r="C42" s="27" t="s">
        <v>66</v>
      </c>
      <c r="D42" s="28"/>
      <c r="E42" s="27" t="s">
        <v>67</v>
      </c>
      <c r="F42" s="28"/>
      <c r="G42" s="25">
        <v>202530446</v>
      </c>
      <c r="H42" s="26"/>
      <c r="I42" s="1"/>
      <c r="J42" s="1" t="str">
        <f>$J$41</f>
        <v xml:space="preserve"> </v>
      </c>
      <c r="K42">
        <f t="shared" si="4"/>
        <v>0</v>
      </c>
    </row>
    <row r="43" spans="2:11" ht="12.5" x14ac:dyDescent="0.25">
      <c r="B43" s="3">
        <v>2</v>
      </c>
      <c r="C43" s="27" t="s">
        <v>70</v>
      </c>
      <c r="D43" s="28"/>
      <c r="E43" s="27" t="s">
        <v>71</v>
      </c>
      <c r="F43" s="28"/>
      <c r="G43" s="25">
        <v>202032032</v>
      </c>
      <c r="H43" s="26"/>
      <c r="I43" s="1"/>
      <c r="J43" s="1" t="str">
        <f t="shared" ref="J43:J45" si="7">$J$41</f>
        <v xml:space="preserve"> </v>
      </c>
      <c r="K43">
        <f t="shared" si="4"/>
        <v>0</v>
      </c>
    </row>
    <row r="44" spans="2:11" ht="12.5" x14ac:dyDescent="0.25">
      <c r="B44" s="3">
        <v>3</v>
      </c>
      <c r="C44" s="27" t="s">
        <v>74</v>
      </c>
      <c r="D44" s="28"/>
      <c r="E44" s="27" t="s">
        <v>75</v>
      </c>
      <c r="F44" s="28"/>
      <c r="G44" s="25">
        <v>202531089</v>
      </c>
      <c r="H44" s="26"/>
      <c r="I44" s="1"/>
      <c r="J44" s="1" t="str">
        <f t="shared" si="7"/>
        <v xml:space="preserve"> </v>
      </c>
      <c r="K44">
        <f t="shared" si="4"/>
        <v>0</v>
      </c>
    </row>
    <row r="45" spans="2:11" ht="12.5" x14ac:dyDescent="0.25">
      <c r="B45" s="3">
        <v>4</v>
      </c>
      <c r="C45" s="27" t="s">
        <v>78</v>
      </c>
      <c r="D45" s="28"/>
      <c r="E45" s="27" t="s">
        <v>79</v>
      </c>
      <c r="F45" s="28"/>
      <c r="G45" s="25">
        <v>202530866</v>
      </c>
      <c r="H45" s="26"/>
      <c r="I45" s="1"/>
      <c r="J45" s="1" t="str">
        <f t="shared" si="7"/>
        <v xml:space="preserve"> </v>
      </c>
      <c r="K45">
        <f t="shared" si="4"/>
        <v>0</v>
      </c>
    </row>
    <row r="46" spans="2:11" ht="12.5" x14ac:dyDescent="0.25">
      <c r="B46" s="1"/>
      <c r="C46" s="1"/>
      <c r="D46" s="1"/>
      <c r="E46" s="1"/>
      <c r="F46" s="1"/>
      <c r="G46" s="1"/>
      <c r="H46" s="1"/>
      <c r="I46" s="1"/>
      <c r="J46" s="1"/>
    </row>
    <row r="47" spans="2:11" ht="12.5" x14ac:dyDescent="0.25">
      <c r="B47" s="1"/>
      <c r="C47" s="1"/>
      <c r="D47" s="1"/>
      <c r="E47" s="1"/>
      <c r="F47" s="1"/>
      <c r="G47" s="1"/>
      <c r="H47" s="1"/>
      <c r="I47" s="1"/>
      <c r="J47" s="1"/>
    </row>
    <row r="48" spans="2:11" ht="13.25" customHeight="1" x14ac:dyDescent="0.25">
      <c r="B48" s="29" t="s">
        <v>80</v>
      </c>
      <c r="C48" s="29"/>
      <c r="D48" s="29"/>
      <c r="E48" s="29"/>
      <c r="F48" s="29"/>
      <c r="G48" s="29"/>
      <c r="H48" s="29"/>
      <c r="I48" s="1"/>
      <c r="J48" s="1"/>
    </row>
    <row r="49" spans="2:11" ht="12.5" customHeight="1" x14ac:dyDescent="0.25">
      <c r="B49" s="30"/>
      <c r="C49" s="30"/>
      <c r="D49" s="30"/>
      <c r="E49" s="30"/>
      <c r="F49" s="30"/>
      <c r="G49" s="30"/>
      <c r="H49" s="30"/>
      <c r="I49" s="10" t="s">
        <v>128</v>
      </c>
      <c r="J49" s="23" t="s">
        <v>130</v>
      </c>
      <c r="K49" t="s">
        <v>129</v>
      </c>
    </row>
    <row r="50" spans="2:11" ht="13" x14ac:dyDescent="0.3">
      <c r="B50" s="2" t="s">
        <v>2</v>
      </c>
      <c r="C50" s="31" t="s">
        <v>3</v>
      </c>
      <c r="D50" s="32"/>
      <c r="E50" s="31" t="s">
        <v>4</v>
      </c>
      <c r="F50" s="32"/>
      <c r="G50" s="31" t="s">
        <v>5</v>
      </c>
      <c r="H50" s="32"/>
      <c r="I50" s="1"/>
      <c r="J50" s="23" t="s">
        <v>210</v>
      </c>
    </row>
    <row r="51" spans="2:11" ht="12.5" x14ac:dyDescent="0.25">
      <c r="B51" s="3">
        <v>1</v>
      </c>
      <c r="C51" s="27" t="s">
        <v>82</v>
      </c>
      <c r="D51" s="28"/>
      <c r="E51" s="27" t="s">
        <v>83</v>
      </c>
      <c r="F51" s="28"/>
      <c r="G51" s="25">
        <v>202530917</v>
      </c>
      <c r="H51" s="26"/>
      <c r="I51" s="1"/>
      <c r="J51" s="1" t="str">
        <f>$J$50</f>
        <v xml:space="preserve"> </v>
      </c>
      <c r="K51">
        <f t="shared" si="4"/>
        <v>0</v>
      </c>
    </row>
    <row r="52" spans="2:11" ht="12.5" x14ac:dyDescent="0.25">
      <c r="B52" s="3">
        <v>2</v>
      </c>
      <c r="C52" s="4" t="s">
        <v>84</v>
      </c>
      <c r="D52" s="6"/>
      <c r="E52" s="27" t="s">
        <v>85</v>
      </c>
      <c r="F52" s="28"/>
      <c r="G52" s="25">
        <v>202531319</v>
      </c>
      <c r="H52" s="26"/>
      <c r="I52" s="1"/>
      <c r="J52" s="1" t="str">
        <f t="shared" ref="J52:J54" si="8">$J$50</f>
        <v xml:space="preserve"> </v>
      </c>
      <c r="K52">
        <f t="shared" si="4"/>
        <v>0</v>
      </c>
    </row>
    <row r="53" spans="2:11" ht="12.5" x14ac:dyDescent="0.25">
      <c r="B53" s="3">
        <v>3</v>
      </c>
      <c r="C53" s="27" t="s">
        <v>86</v>
      </c>
      <c r="D53" s="28"/>
      <c r="E53" s="27" t="s">
        <v>87</v>
      </c>
      <c r="F53" s="28"/>
      <c r="G53" s="25">
        <v>202532062</v>
      </c>
      <c r="H53" s="26"/>
      <c r="I53" s="1"/>
      <c r="J53" s="1" t="str">
        <f t="shared" si="8"/>
        <v xml:space="preserve"> </v>
      </c>
      <c r="K53">
        <f t="shared" si="4"/>
        <v>0</v>
      </c>
    </row>
    <row r="54" spans="2:11" ht="12.5" x14ac:dyDescent="0.25">
      <c r="B54" s="5">
        <v>4</v>
      </c>
      <c r="C54" s="27" t="s">
        <v>88</v>
      </c>
      <c r="D54" s="28"/>
      <c r="E54" s="27" t="s">
        <v>89</v>
      </c>
      <c r="F54" s="28"/>
      <c r="G54" s="25">
        <v>202531013</v>
      </c>
      <c r="H54" s="26"/>
      <c r="I54" s="1"/>
      <c r="J54" s="1" t="str">
        <f t="shared" si="8"/>
        <v xml:space="preserve"> </v>
      </c>
      <c r="K54">
        <f t="shared" si="4"/>
        <v>0</v>
      </c>
    </row>
    <row r="55" spans="2:11" ht="12.5" x14ac:dyDescent="0.25">
      <c r="B55" s="1"/>
      <c r="C55" s="1"/>
      <c r="D55" s="1"/>
      <c r="E55" s="1"/>
      <c r="F55" s="1"/>
      <c r="G55" s="1"/>
      <c r="H55" s="1"/>
      <c r="I55" s="1"/>
      <c r="J55" s="1"/>
    </row>
    <row r="56" spans="2:11" ht="12.5" x14ac:dyDescent="0.25">
      <c r="B56" s="1"/>
      <c r="C56" s="1"/>
      <c r="D56" s="1"/>
      <c r="E56" s="1"/>
      <c r="F56" s="1"/>
      <c r="G56" s="1"/>
      <c r="H56" s="1"/>
      <c r="I56" s="1"/>
      <c r="J56" s="1"/>
    </row>
    <row r="57" spans="2:11" ht="13.25" customHeight="1" x14ac:dyDescent="0.25">
      <c r="B57" s="29" t="s">
        <v>90</v>
      </c>
      <c r="C57" s="29"/>
      <c r="D57" s="29"/>
      <c r="E57" s="29"/>
      <c r="F57" s="29"/>
      <c r="G57" s="29"/>
      <c r="H57" s="29"/>
      <c r="I57" s="1"/>
      <c r="J57" s="1"/>
    </row>
    <row r="58" spans="2:11" ht="12.5" customHeight="1" x14ac:dyDescent="0.25">
      <c r="B58" s="30"/>
      <c r="C58" s="30"/>
      <c r="D58" s="30"/>
      <c r="E58" s="30"/>
      <c r="F58" s="30"/>
      <c r="G58" s="30"/>
      <c r="H58" s="30"/>
      <c r="I58" s="10" t="s">
        <v>128</v>
      </c>
      <c r="J58" s="23" t="s">
        <v>130</v>
      </c>
      <c r="K58" t="s">
        <v>129</v>
      </c>
    </row>
    <row r="59" spans="2:11" ht="13" x14ac:dyDescent="0.3">
      <c r="B59" s="2" t="s">
        <v>2</v>
      </c>
      <c r="C59" s="31" t="s">
        <v>3</v>
      </c>
      <c r="D59" s="32"/>
      <c r="E59" s="31" t="s">
        <v>4</v>
      </c>
      <c r="F59" s="32"/>
      <c r="G59" s="31" t="s">
        <v>5</v>
      </c>
      <c r="H59" s="32"/>
      <c r="I59" s="1"/>
      <c r="J59" s="23" t="s">
        <v>210</v>
      </c>
    </row>
    <row r="60" spans="2:11" ht="12.5" x14ac:dyDescent="0.25">
      <c r="B60" s="3">
        <v>1</v>
      </c>
      <c r="C60" s="27" t="s">
        <v>92</v>
      </c>
      <c r="D60" s="28"/>
      <c r="E60" s="27" t="s">
        <v>93</v>
      </c>
      <c r="F60" s="28"/>
      <c r="G60" s="25">
        <v>202530621</v>
      </c>
      <c r="H60" s="26"/>
      <c r="I60" s="1"/>
      <c r="J60" s="1" t="str">
        <f>$J$59</f>
        <v xml:space="preserve"> </v>
      </c>
      <c r="K60">
        <f t="shared" si="4"/>
        <v>0</v>
      </c>
    </row>
    <row r="61" spans="2:11" ht="12.5" x14ac:dyDescent="0.25">
      <c r="B61" s="3">
        <v>2</v>
      </c>
      <c r="C61" s="27" t="s">
        <v>94</v>
      </c>
      <c r="D61" s="28"/>
      <c r="E61" s="27" t="s">
        <v>95</v>
      </c>
      <c r="F61" s="28"/>
      <c r="G61" s="25">
        <v>202231116</v>
      </c>
      <c r="H61" s="26"/>
      <c r="I61" s="1"/>
      <c r="J61" s="1" t="str">
        <f t="shared" ref="J61:J63" si="9">$J$59</f>
        <v xml:space="preserve"> </v>
      </c>
      <c r="K61">
        <f t="shared" si="4"/>
        <v>0</v>
      </c>
    </row>
    <row r="62" spans="2:11" ht="12.5" x14ac:dyDescent="0.25">
      <c r="B62" s="3">
        <v>3</v>
      </c>
      <c r="C62" s="27" t="s">
        <v>96</v>
      </c>
      <c r="D62" s="28"/>
      <c r="E62" s="27" t="s">
        <v>97</v>
      </c>
      <c r="F62" s="28"/>
      <c r="G62" s="25">
        <v>202430829</v>
      </c>
      <c r="H62" s="26"/>
      <c r="I62" s="1"/>
      <c r="J62" s="1" t="str">
        <f t="shared" si="9"/>
        <v xml:space="preserve"> </v>
      </c>
      <c r="K62">
        <f t="shared" si="4"/>
        <v>0</v>
      </c>
    </row>
    <row r="63" spans="2:11" ht="12.5" x14ac:dyDescent="0.25">
      <c r="B63" s="3">
        <v>4</v>
      </c>
      <c r="C63" s="27" t="s">
        <v>98</v>
      </c>
      <c r="D63" s="28"/>
      <c r="E63" s="27" t="s">
        <v>99</v>
      </c>
      <c r="F63" s="28"/>
      <c r="G63" s="25">
        <v>202531736</v>
      </c>
      <c r="H63" s="26"/>
      <c r="I63" s="1"/>
      <c r="J63" s="1" t="str">
        <f t="shared" si="9"/>
        <v xml:space="preserve"> </v>
      </c>
      <c r="K63">
        <f t="shared" si="4"/>
        <v>0</v>
      </c>
    </row>
    <row r="64" spans="2:11" ht="12.5" x14ac:dyDescent="0.25">
      <c r="B64" s="1"/>
      <c r="C64" s="1"/>
      <c r="D64" s="1"/>
      <c r="E64" s="1"/>
      <c r="F64" s="1"/>
      <c r="G64" s="1"/>
      <c r="H64" s="1"/>
      <c r="I64" s="1"/>
      <c r="J64" s="1"/>
    </row>
    <row r="65" spans="2:11" ht="12.5" x14ac:dyDescent="0.25">
      <c r="B65" s="1"/>
      <c r="C65" s="1"/>
      <c r="D65" s="1"/>
      <c r="E65" s="1"/>
      <c r="F65" s="1"/>
      <c r="G65" s="1"/>
      <c r="H65" s="1"/>
      <c r="I65" s="1"/>
      <c r="J65" s="1"/>
    </row>
    <row r="66" spans="2:11" ht="13.25" customHeight="1" x14ac:dyDescent="0.25">
      <c r="B66" s="29" t="s">
        <v>100</v>
      </c>
      <c r="C66" s="29"/>
      <c r="D66" s="29"/>
      <c r="E66" s="29"/>
      <c r="F66" s="29"/>
      <c r="G66" s="29"/>
      <c r="H66" s="29"/>
      <c r="I66" s="1"/>
      <c r="J66" s="1"/>
    </row>
    <row r="67" spans="2:11" ht="12.5" customHeight="1" x14ac:dyDescent="0.25">
      <c r="B67" s="30"/>
      <c r="C67" s="30"/>
      <c r="D67" s="30"/>
      <c r="E67" s="30"/>
      <c r="F67" s="30"/>
      <c r="G67" s="30"/>
      <c r="H67" s="30"/>
      <c r="I67" s="10" t="s">
        <v>128</v>
      </c>
      <c r="J67" s="23" t="s">
        <v>130</v>
      </c>
      <c r="K67" t="s">
        <v>129</v>
      </c>
    </row>
    <row r="68" spans="2:11" ht="13" x14ac:dyDescent="0.3">
      <c r="B68" s="2" t="s">
        <v>2</v>
      </c>
      <c r="C68" s="31" t="s">
        <v>3</v>
      </c>
      <c r="D68" s="32"/>
      <c r="E68" s="31" t="s">
        <v>4</v>
      </c>
      <c r="F68" s="32"/>
      <c r="G68" s="31" t="s">
        <v>5</v>
      </c>
      <c r="H68" s="32"/>
      <c r="I68" s="1"/>
      <c r="J68" s="23" t="s">
        <v>210</v>
      </c>
    </row>
    <row r="69" spans="2:11" ht="12.5" x14ac:dyDescent="0.25">
      <c r="B69" s="3">
        <v>1</v>
      </c>
      <c r="C69" s="27" t="s">
        <v>102</v>
      </c>
      <c r="D69" s="28"/>
      <c r="E69" s="27" t="s">
        <v>103</v>
      </c>
      <c r="F69" s="28"/>
      <c r="G69" s="25">
        <v>202431819</v>
      </c>
      <c r="H69" s="26"/>
      <c r="I69" s="1"/>
      <c r="J69" s="1" t="str">
        <f>$J$68</f>
        <v xml:space="preserve"> </v>
      </c>
      <c r="K69">
        <f t="shared" si="4"/>
        <v>0</v>
      </c>
    </row>
    <row r="70" spans="2:11" ht="12.5" x14ac:dyDescent="0.25">
      <c r="B70" s="3">
        <v>2</v>
      </c>
      <c r="C70" s="27" t="s">
        <v>104</v>
      </c>
      <c r="D70" s="28"/>
      <c r="E70" s="27" t="s">
        <v>105</v>
      </c>
      <c r="F70" s="28"/>
      <c r="G70" s="25">
        <v>202530674</v>
      </c>
      <c r="H70" s="26"/>
      <c r="I70" s="1"/>
      <c r="J70" s="1" t="str">
        <f t="shared" ref="J70:J72" si="10">$J$68</f>
        <v xml:space="preserve"> </v>
      </c>
      <c r="K70">
        <f t="shared" si="4"/>
        <v>0</v>
      </c>
    </row>
    <row r="71" spans="2:11" ht="12.5" x14ac:dyDescent="0.25">
      <c r="B71" s="3">
        <v>3</v>
      </c>
      <c r="C71" s="27" t="s">
        <v>106</v>
      </c>
      <c r="D71" s="28"/>
      <c r="E71" s="27" t="s">
        <v>107</v>
      </c>
      <c r="F71" s="28"/>
      <c r="G71" s="25">
        <v>202430271</v>
      </c>
      <c r="H71" s="26"/>
      <c r="I71" s="1"/>
      <c r="J71" s="1" t="str">
        <f t="shared" si="10"/>
        <v xml:space="preserve"> </v>
      </c>
      <c r="K71">
        <f t="shared" si="4"/>
        <v>0</v>
      </c>
    </row>
    <row r="72" spans="2:11" ht="12.5" x14ac:dyDescent="0.25">
      <c r="B72" s="3">
        <v>4</v>
      </c>
      <c r="C72" s="27" t="s">
        <v>108</v>
      </c>
      <c r="D72" s="28"/>
      <c r="E72" s="27" t="s">
        <v>109</v>
      </c>
      <c r="F72" s="28"/>
      <c r="G72" s="25">
        <v>202530329</v>
      </c>
      <c r="H72" s="26"/>
      <c r="I72" s="1"/>
      <c r="J72" s="1" t="str">
        <f t="shared" si="10"/>
        <v xml:space="preserve"> </v>
      </c>
      <c r="K72">
        <f t="shared" si="4"/>
        <v>0</v>
      </c>
    </row>
    <row r="73" spans="2:11" ht="12.5" x14ac:dyDescent="0.25">
      <c r="B73" s="1"/>
      <c r="C73" s="1"/>
      <c r="D73" s="1"/>
      <c r="E73" s="1"/>
      <c r="F73" s="1"/>
      <c r="G73" s="1"/>
      <c r="H73" s="1"/>
      <c r="I73" s="1"/>
      <c r="J73" s="1"/>
    </row>
    <row r="74" spans="2:11" ht="12.5" x14ac:dyDescent="0.25">
      <c r="B74" s="1"/>
      <c r="C74" s="1"/>
      <c r="D74" s="1"/>
      <c r="E74" s="1"/>
      <c r="F74" s="1"/>
      <c r="G74" s="1"/>
      <c r="H74" s="1"/>
      <c r="I74" s="1"/>
      <c r="J74" s="1"/>
    </row>
    <row r="75" spans="2:11" ht="13.25" customHeight="1" x14ac:dyDescent="0.25">
      <c r="B75" s="29" t="s">
        <v>110</v>
      </c>
      <c r="C75" s="29"/>
      <c r="D75" s="29"/>
      <c r="E75" s="29"/>
      <c r="F75" s="29"/>
      <c r="G75" s="29"/>
      <c r="H75" s="29"/>
      <c r="I75" s="1"/>
      <c r="J75" s="1"/>
    </row>
    <row r="76" spans="2:11" ht="12.5" customHeight="1" x14ac:dyDescent="0.25">
      <c r="B76" s="30"/>
      <c r="C76" s="30"/>
      <c r="D76" s="30"/>
      <c r="E76" s="30"/>
      <c r="F76" s="30"/>
      <c r="G76" s="30"/>
      <c r="H76" s="30"/>
      <c r="I76" s="10" t="s">
        <v>128</v>
      </c>
      <c r="J76" s="23" t="s">
        <v>130</v>
      </c>
      <c r="K76" t="s">
        <v>129</v>
      </c>
    </row>
    <row r="77" spans="2:11" ht="13" x14ac:dyDescent="0.3">
      <c r="B77" s="2" t="s">
        <v>2</v>
      </c>
      <c r="C77" s="31" t="s">
        <v>3</v>
      </c>
      <c r="D77" s="32"/>
      <c r="E77" s="31" t="s">
        <v>4</v>
      </c>
      <c r="F77" s="32"/>
      <c r="G77" s="31" t="s">
        <v>5</v>
      </c>
      <c r="H77" s="32"/>
      <c r="I77" s="1"/>
      <c r="J77" s="23" t="s">
        <v>210</v>
      </c>
    </row>
    <row r="78" spans="2:11" ht="12.5" x14ac:dyDescent="0.25">
      <c r="B78" s="3">
        <v>1</v>
      </c>
      <c r="C78" s="27" t="s">
        <v>111</v>
      </c>
      <c r="D78" s="28"/>
      <c r="E78" s="27" t="s">
        <v>112</v>
      </c>
      <c r="F78" s="28"/>
      <c r="G78" s="27">
        <v>202531645</v>
      </c>
      <c r="H78" s="28"/>
      <c r="I78" s="1"/>
      <c r="J78" s="1" t="str">
        <f>$J$77</f>
        <v xml:space="preserve"> </v>
      </c>
      <c r="K78">
        <f t="shared" si="4"/>
        <v>0</v>
      </c>
    </row>
    <row r="79" spans="2:11" ht="12.5" x14ac:dyDescent="0.25">
      <c r="B79" s="3">
        <v>2</v>
      </c>
      <c r="C79" s="27" t="s">
        <v>113</v>
      </c>
      <c r="D79" s="28"/>
      <c r="E79" s="27" t="s">
        <v>114</v>
      </c>
      <c r="F79" s="28"/>
      <c r="G79" s="27">
        <v>202531213</v>
      </c>
      <c r="H79" s="28"/>
      <c r="I79" s="1"/>
      <c r="J79" s="1" t="str">
        <f t="shared" ref="J79:J81" si="11">$J$77</f>
        <v xml:space="preserve"> </v>
      </c>
      <c r="K79">
        <f t="shared" si="4"/>
        <v>0</v>
      </c>
    </row>
    <row r="80" spans="2:11" ht="12.5" x14ac:dyDescent="0.25">
      <c r="B80" s="3">
        <v>3</v>
      </c>
      <c r="C80" s="27" t="s">
        <v>115</v>
      </c>
      <c r="D80" s="28"/>
      <c r="E80" s="27" t="s">
        <v>116</v>
      </c>
      <c r="F80" s="28"/>
      <c r="G80" s="27">
        <v>202531351</v>
      </c>
      <c r="H80" s="28"/>
      <c r="I80" s="1"/>
      <c r="J80" s="1" t="str">
        <f t="shared" si="11"/>
        <v xml:space="preserve"> </v>
      </c>
      <c r="K80">
        <f t="shared" si="4"/>
        <v>0</v>
      </c>
    </row>
    <row r="81" spans="2:18" ht="12.5" x14ac:dyDescent="0.25">
      <c r="B81" s="3">
        <v>4</v>
      </c>
      <c r="C81" s="27" t="s">
        <v>117</v>
      </c>
      <c r="D81" s="28"/>
      <c r="E81" s="27" t="s">
        <v>118</v>
      </c>
      <c r="F81" s="28"/>
      <c r="G81" s="25">
        <v>202530265</v>
      </c>
      <c r="H81" s="26"/>
      <c r="I81" s="1"/>
      <c r="J81" s="1" t="str">
        <f t="shared" si="11"/>
        <v xml:space="preserve"> </v>
      </c>
      <c r="K81">
        <f t="shared" si="4"/>
        <v>0</v>
      </c>
    </row>
    <row r="82" spans="2:18" ht="12.5" x14ac:dyDescent="0.25">
      <c r="B82" s="1"/>
      <c r="C82" s="1"/>
      <c r="D82" s="1"/>
      <c r="E82" s="1"/>
      <c r="F82" s="1"/>
      <c r="G82" s="1"/>
      <c r="H82" s="1"/>
      <c r="I82" s="1"/>
      <c r="J82" s="1"/>
    </row>
    <row r="83" spans="2:18" ht="12.5" x14ac:dyDescent="0.25">
      <c r="B83" s="1"/>
      <c r="C83" s="1"/>
      <c r="D83" s="1"/>
      <c r="E83" s="1"/>
      <c r="F83" s="1"/>
      <c r="G83" s="1"/>
      <c r="H83" s="1"/>
      <c r="I83" s="1"/>
      <c r="J83" s="1"/>
    </row>
    <row r="84" spans="2:18" ht="13.25" customHeight="1" x14ac:dyDescent="0.25">
      <c r="B84" s="29" t="s">
        <v>119</v>
      </c>
      <c r="C84" s="29"/>
      <c r="D84" s="29"/>
      <c r="E84" s="29"/>
      <c r="F84" s="29"/>
      <c r="G84" s="29"/>
      <c r="H84" s="29"/>
      <c r="I84" s="1"/>
      <c r="J84" s="1"/>
    </row>
    <row r="85" spans="2:18" ht="12.5" customHeight="1" x14ac:dyDescent="0.25">
      <c r="B85" s="30"/>
      <c r="C85" s="30"/>
      <c r="D85" s="30"/>
      <c r="E85" s="30"/>
      <c r="F85" s="30"/>
      <c r="G85" s="30"/>
      <c r="H85" s="30"/>
      <c r="I85" s="10" t="s">
        <v>128</v>
      </c>
      <c r="J85" s="23" t="s">
        <v>130</v>
      </c>
      <c r="K85" t="s">
        <v>129</v>
      </c>
    </row>
    <row r="86" spans="2:18" ht="13" x14ac:dyDescent="0.3">
      <c r="B86" s="2" t="s">
        <v>2</v>
      </c>
      <c r="C86" s="31" t="s">
        <v>3</v>
      </c>
      <c r="D86" s="32"/>
      <c r="E86" s="31" t="s">
        <v>4</v>
      </c>
      <c r="F86" s="32"/>
      <c r="G86" s="31" t="s">
        <v>5</v>
      </c>
      <c r="H86" s="32"/>
      <c r="I86" s="1"/>
      <c r="J86" s="23" t="s">
        <v>210</v>
      </c>
    </row>
    <row r="87" spans="2:18" ht="12.5" x14ac:dyDescent="0.25">
      <c r="B87" s="3">
        <v>1</v>
      </c>
      <c r="C87" s="1" t="s">
        <v>120</v>
      </c>
      <c r="D87" s="1"/>
      <c r="E87" s="27" t="s">
        <v>121</v>
      </c>
      <c r="F87" s="28"/>
      <c r="G87" s="25">
        <v>202530381</v>
      </c>
      <c r="H87" s="26"/>
      <c r="I87" s="1"/>
      <c r="J87" s="1" t="str">
        <f>$J$86</f>
        <v xml:space="preserve"> </v>
      </c>
      <c r="K87">
        <f t="shared" ref="K87:K144" si="12">IF(I87="SI",J87,0)</f>
        <v>0</v>
      </c>
    </row>
    <row r="88" spans="2:18" ht="12.5" x14ac:dyDescent="0.25">
      <c r="B88" s="3">
        <v>2</v>
      </c>
      <c r="C88" s="27" t="s">
        <v>122</v>
      </c>
      <c r="D88" s="28"/>
      <c r="E88" s="27" t="s">
        <v>123</v>
      </c>
      <c r="F88" s="28"/>
      <c r="G88" s="25">
        <v>202431502</v>
      </c>
      <c r="H88" s="26"/>
      <c r="I88" s="1"/>
      <c r="J88" s="1" t="str">
        <f t="shared" ref="J88:J90" si="13">$J$86</f>
        <v xml:space="preserve"> </v>
      </c>
      <c r="K88">
        <f t="shared" si="12"/>
        <v>0</v>
      </c>
    </row>
    <row r="89" spans="2:18" ht="12.5" x14ac:dyDescent="0.25">
      <c r="B89" s="3">
        <v>3</v>
      </c>
      <c r="C89" s="27" t="s">
        <v>124</v>
      </c>
      <c r="D89" s="28"/>
      <c r="E89" s="27" t="s">
        <v>125</v>
      </c>
      <c r="F89" s="28"/>
      <c r="G89" s="25">
        <v>202531352</v>
      </c>
      <c r="H89" s="26"/>
      <c r="I89" s="1"/>
      <c r="J89" s="1" t="str">
        <f t="shared" si="13"/>
        <v xml:space="preserve"> </v>
      </c>
      <c r="K89">
        <f t="shared" si="12"/>
        <v>0</v>
      </c>
    </row>
    <row r="90" spans="2:18" ht="12.5" x14ac:dyDescent="0.25">
      <c r="B90" s="3">
        <v>4</v>
      </c>
      <c r="C90" s="27" t="s">
        <v>126</v>
      </c>
      <c r="D90" s="28"/>
      <c r="E90" s="27" t="s">
        <v>127</v>
      </c>
      <c r="F90" s="28"/>
      <c r="G90" s="25">
        <v>202402553</v>
      </c>
      <c r="H90" s="26"/>
      <c r="I90" s="1"/>
      <c r="J90" s="1" t="str">
        <f t="shared" si="13"/>
        <v xml:space="preserve"> </v>
      </c>
      <c r="K90">
        <f t="shared" si="12"/>
        <v>0</v>
      </c>
    </row>
    <row r="91" spans="2:18" ht="12.5" x14ac:dyDescent="0.25">
      <c r="B91" s="1"/>
      <c r="C91" s="1"/>
      <c r="D91" s="1"/>
      <c r="E91" s="1"/>
      <c r="F91" s="1"/>
      <c r="G91" s="1"/>
      <c r="H91" s="1"/>
      <c r="I91" s="1"/>
      <c r="J91" s="1"/>
    </row>
    <row r="92" spans="2:18" ht="12.5" x14ac:dyDescent="0.25">
      <c r="B92" s="1"/>
      <c r="C92" s="1"/>
      <c r="D92" s="1"/>
      <c r="E92" s="1"/>
      <c r="F92" s="1"/>
      <c r="G92" s="1"/>
      <c r="H92" s="1"/>
      <c r="I92" s="1"/>
      <c r="J92" s="1"/>
      <c r="M92" s="1"/>
      <c r="N92" s="1"/>
      <c r="O92" s="1"/>
      <c r="P92" s="1"/>
      <c r="Q92" s="1"/>
      <c r="R92" s="1"/>
    </row>
    <row r="93" spans="2:18" ht="15.75" customHeight="1" x14ac:dyDescent="0.25">
      <c r="B93" s="29" t="s">
        <v>1</v>
      </c>
      <c r="C93" s="29"/>
      <c r="D93" s="29"/>
      <c r="E93" s="29"/>
      <c r="F93" s="29"/>
      <c r="G93" s="29"/>
      <c r="H93" s="29"/>
    </row>
    <row r="94" spans="2:18" ht="15.75" customHeight="1" x14ac:dyDescent="0.25">
      <c r="B94" s="30"/>
      <c r="C94" s="30"/>
      <c r="D94" s="30"/>
      <c r="E94" s="30"/>
      <c r="F94" s="30"/>
      <c r="G94" s="30"/>
      <c r="H94" s="30"/>
      <c r="I94" s="10" t="s">
        <v>128</v>
      </c>
      <c r="J94" s="23" t="s">
        <v>130</v>
      </c>
      <c r="K94" t="s">
        <v>129</v>
      </c>
    </row>
    <row r="95" spans="2:18" ht="15.75" customHeight="1" x14ac:dyDescent="0.3">
      <c r="B95" s="2" t="s">
        <v>2</v>
      </c>
      <c r="C95" s="31" t="s">
        <v>3</v>
      </c>
      <c r="D95" s="32"/>
      <c r="E95" s="31" t="s">
        <v>4</v>
      </c>
      <c r="F95" s="32"/>
      <c r="G95" s="31" t="s">
        <v>5</v>
      </c>
      <c r="H95" s="32"/>
      <c r="J95" s="23" t="s">
        <v>210</v>
      </c>
    </row>
    <row r="96" spans="2:18" ht="15.75" customHeight="1" x14ac:dyDescent="0.25">
      <c r="B96" s="3">
        <v>1</v>
      </c>
      <c r="C96" s="27"/>
      <c r="D96" s="28"/>
      <c r="E96" s="27"/>
      <c r="F96" s="28"/>
      <c r="G96" s="25"/>
      <c r="H96" s="26"/>
      <c r="J96" t="str">
        <f>$J$95</f>
        <v xml:space="preserve"> </v>
      </c>
      <c r="K96">
        <f t="shared" si="12"/>
        <v>0</v>
      </c>
    </row>
    <row r="97" spans="2:11" ht="15.75" customHeight="1" x14ac:dyDescent="0.25">
      <c r="B97" s="3">
        <v>2</v>
      </c>
      <c r="C97" s="27"/>
      <c r="D97" s="28"/>
      <c r="E97" s="27"/>
      <c r="F97" s="28"/>
      <c r="G97" s="25"/>
      <c r="H97" s="26"/>
      <c r="J97" t="str">
        <f t="shared" ref="J97:J99" si="14">$J$95</f>
        <v xml:space="preserve"> </v>
      </c>
      <c r="K97">
        <f t="shared" si="12"/>
        <v>0</v>
      </c>
    </row>
    <row r="98" spans="2:11" ht="15.75" customHeight="1" x14ac:dyDescent="0.25">
      <c r="B98" s="3">
        <v>3</v>
      </c>
      <c r="C98" s="27"/>
      <c r="D98" s="28"/>
      <c r="E98" s="27"/>
      <c r="F98" s="28"/>
      <c r="G98" s="25"/>
      <c r="H98" s="26"/>
      <c r="J98" t="str">
        <f t="shared" si="14"/>
        <v xml:space="preserve"> </v>
      </c>
      <c r="K98">
        <f t="shared" si="12"/>
        <v>0</v>
      </c>
    </row>
    <row r="99" spans="2:11" ht="15.75" customHeight="1" x14ac:dyDescent="0.25">
      <c r="B99" s="3">
        <v>4</v>
      </c>
      <c r="C99" s="27"/>
      <c r="D99" s="28"/>
      <c r="E99" s="27"/>
      <c r="F99" s="28"/>
      <c r="G99" s="25"/>
      <c r="H99" s="26"/>
      <c r="J99" t="str">
        <f t="shared" si="14"/>
        <v xml:space="preserve"> </v>
      </c>
      <c r="K99">
        <f t="shared" si="12"/>
        <v>0</v>
      </c>
    </row>
    <row r="100" spans="2:11" ht="15.75" customHeight="1" x14ac:dyDescent="0.25">
      <c r="B100" s="1"/>
      <c r="C100" s="1"/>
      <c r="D100" s="1"/>
      <c r="E100" s="1"/>
      <c r="F100" s="1"/>
      <c r="G100" s="1"/>
      <c r="H100" s="1"/>
    </row>
    <row r="101" spans="2:11" ht="15.75" customHeight="1" x14ac:dyDescent="0.25">
      <c r="B101" s="1"/>
      <c r="C101" s="1"/>
      <c r="D101" s="1"/>
      <c r="E101" s="1"/>
      <c r="F101" s="1"/>
      <c r="G101" s="1"/>
      <c r="H101" s="1"/>
    </row>
    <row r="102" spans="2:11" ht="15.75" customHeight="1" x14ac:dyDescent="0.25">
      <c r="B102" s="29" t="s">
        <v>15</v>
      </c>
      <c r="C102" s="29"/>
      <c r="D102" s="29"/>
      <c r="E102" s="29"/>
      <c r="F102" s="29"/>
      <c r="G102" s="29"/>
      <c r="H102" s="29"/>
    </row>
    <row r="103" spans="2:11" ht="15.75" customHeight="1" x14ac:dyDescent="0.25">
      <c r="B103" s="30"/>
      <c r="C103" s="30"/>
      <c r="D103" s="30"/>
      <c r="E103" s="30"/>
      <c r="F103" s="30"/>
      <c r="G103" s="30"/>
      <c r="H103" s="30"/>
      <c r="I103" s="10" t="s">
        <v>128</v>
      </c>
      <c r="J103" s="23" t="s">
        <v>130</v>
      </c>
      <c r="K103" t="s">
        <v>129</v>
      </c>
    </row>
    <row r="104" spans="2:11" ht="15.75" customHeight="1" x14ac:dyDescent="0.3">
      <c r="B104" s="2" t="s">
        <v>2</v>
      </c>
      <c r="C104" s="31" t="s">
        <v>3</v>
      </c>
      <c r="D104" s="32"/>
      <c r="E104" s="31" t="s">
        <v>4</v>
      </c>
      <c r="F104" s="32"/>
      <c r="G104" s="31" t="s">
        <v>5</v>
      </c>
      <c r="H104" s="32"/>
      <c r="J104" s="23" t="s">
        <v>210</v>
      </c>
    </row>
    <row r="105" spans="2:11" ht="15.75" customHeight="1" x14ac:dyDescent="0.25">
      <c r="B105" s="3">
        <v>1</v>
      </c>
      <c r="C105" s="27" t="s">
        <v>18</v>
      </c>
      <c r="D105" s="28"/>
      <c r="E105" s="27" t="s">
        <v>19</v>
      </c>
      <c r="F105" s="28"/>
      <c r="G105" s="25">
        <v>202531724</v>
      </c>
      <c r="H105" s="26"/>
      <c r="J105" t="str">
        <f>$J$104</f>
        <v xml:space="preserve"> </v>
      </c>
      <c r="K105">
        <f t="shared" si="12"/>
        <v>0</v>
      </c>
    </row>
    <row r="106" spans="2:11" ht="15.75" customHeight="1" x14ac:dyDescent="0.25">
      <c r="B106" s="3">
        <v>2</v>
      </c>
      <c r="C106" s="27" t="s">
        <v>22</v>
      </c>
      <c r="D106" s="28"/>
      <c r="E106" s="27" t="s">
        <v>23</v>
      </c>
      <c r="F106" s="28"/>
      <c r="G106" s="25">
        <v>202531019</v>
      </c>
      <c r="H106" s="26"/>
      <c r="J106" t="str">
        <f t="shared" ref="J106:J108" si="15">$J$104</f>
        <v xml:space="preserve"> </v>
      </c>
      <c r="K106">
        <f t="shared" si="12"/>
        <v>0</v>
      </c>
    </row>
    <row r="107" spans="2:11" ht="15.75" customHeight="1" x14ac:dyDescent="0.25">
      <c r="B107" s="3">
        <v>3</v>
      </c>
      <c r="C107" s="27" t="s">
        <v>26</v>
      </c>
      <c r="D107" s="28"/>
      <c r="E107" s="27" t="s">
        <v>27</v>
      </c>
      <c r="F107" s="28"/>
      <c r="G107" s="25">
        <v>202430645</v>
      </c>
      <c r="H107" s="26"/>
      <c r="J107" t="str">
        <f t="shared" si="15"/>
        <v xml:space="preserve"> </v>
      </c>
      <c r="K107">
        <f t="shared" si="12"/>
        <v>0</v>
      </c>
    </row>
    <row r="108" spans="2:11" ht="15.75" customHeight="1" x14ac:dyDescent="0.25">
      <c r="B108" s="3">
        <v>4</v>
      </c>
      <c r="C108" s="27" t="s">
        <v>28</v>
      </c>
      <c r="D108" s="28"/>
      <c r="E108" s="27" t="s">
        <v>29</v>
      </c>
      <c r="F108" s="28"/>
      <c r="G108" s="25">
        <v>202531778</v>
      </c>
      <c r="H108" s="26"/>
      <c r="J108" t="str">
        <f t="shared" si="15"/>
        <v xml:space="preserve"> </v>
      </c>
      <c r="K108">
        <f t="shared" si="12"/>
        <v>0</v>
      </c>
    </row>
    <row r="109" spans="2:11" ht="15.75" customHeight="1" x14ac:dyDescent="0.25">
      <c r="B109" s="1"/>
      <c r="C109" s="1"/>
      <c r="D109" s="1"/>
      <c r="E109" s="1"/>
      <c r="F109" s="1"/>
      <c r="G109" s="1"/>
      <c r="H109" s="1"/>
    </row>
    <row r="110" spans="2:11" ht="15.75" customHeight="1" x14ac:dyDescent="0.25">
      <c r="B110" s="1"/>
      <c r="C110" s="1"/>
      <c r="D110" s="1"/>
      <c r="E110" s="1"/>
      <c r="F110" s="1"/>
      <c r="G110" s="1"/>
      <c r="H110" s="1"/>
    </row>
    <row r="111" spans="2:11" ht="15.75" customHeight="1" x14ac:dyDescent="0.25">
      <c r="B111" s="29" t="s">
        <v>31</v>
      </c>
      <c r="C111" s="29"/>
      <c r="D111" s="29"/>
      <c r="E111" s="29"/>
      <c r="F111" s="29"/>
      <c r="G111" s="29"/>
      <c r="H111" s="29"/>
    </row>
    <row r="112" spans="2:11" ht="15.75" customHeight="1" x14ac:dyDescent="0.25">
      <c r="B112" s="30"/>
      <c r="C112" s="30"/>
      <c r="D112" s="30"/>
      <c r="E112" s="30"/>
      <c r="F112" s="30"/>
      <c r="G112" s="30"/>
      <c r="H112" s="30"/>
      <c r="I112" s="10" t="s">
        <v>128</v>
      </c>
      <c r="J112" s="23" t="s">
        <v>130</v>
      </c>
      <c r="K112" t="s">
        <v>129</v>
      </c>
    </row>
    <row r="113" spans="2:11" ht="15.75" customHeight="1" x14ac:dyDescent="0.3">
      <c r="B113" s="2" t="s">
        <v>2</v>
      </c>
      <c r="C113" s="31" t="s">
        <v>3</v>
      </c>
      <c r="D113" s="32"/>
      <c r="E113" s="31" t="s">
        <v>4</v>
      </c>
      <c r="F113" s="32"/>
      <c r="G113" s="31" t="s">
        <v>5</v>
      </c>
      <c r="H113" s="32"/>
      <c r="J113" s="23" t="s">
        <v>210</v>
      </c>
    </row>
    <row r="114" spans="2:11" ht="15.75" customHeight="1" x14ac:dyDescent="0.25">
      <c r="B114" s="3">
        <v>1</v>
      </c>
      <c r="C114" s="27" t="s">
        <v>34</v>
      </c>
      <c r="D114" s="28"/>
      <c r="E114" s="27" t="s">
        <v>35</v>
      </c>
      <c r="F114" s="28"/>
      <c r="G114" s="25">
        <v>202331587</v>
      </c>
      <c r="H114" s="26"/>
      <c r="J114" t="str">
        <f>$J$113</f>
        <v xml:space="preserve"> </v>
      </c>
      <c r="K114">
        <f t="shared" si="12"/>
        <v>0</v>
      </c>
    </row>
    <row r="115" spans="2:11" ht="15.75" customHeight="1" x14ac:dyDescent="0.25">
      <c r="B115" s="3">
        <v>2</v>
      </c>
      <c r="C115" s="27" t="s">
        <v>38</v>
      </c>
      <c r="D115" s="28"/>
      <c r="E115" s="27" t="s">
        <v>39</v>
      </c>
      <c r="F115" s="28"/>
      <c r="G115" s="25">
        <v>202530349</v>
      </c>
      <c r="H115" s="26"/>
      <c r="J115" t="str">
        <f t="shared" ref="J115:J117" si="16">$J$113</f>
        <v xml:space="preserve"> </v>
      </c>
      <c r="K115">
        <f t="shared" si="12"/>
        <v>0</v>
      </c>
    </row>
    <row r="116" spans="2:11" ht="15.75" customHeight="1" x14ac:dyDescent="0.25">
      <c r="B116" s="3">
        <v>3</v>
      </c>
      <c r="C116" s="27" t="s">
        <v>42</v>
      </c>
      <c r="D116" s="28"/>
      <c r="E116" s="27" t="s">
        <v>43</v>
      </c>
      <c r="F116" s="28"/>
      <c r="G116" s="25">
        <v>202530466</v>
      </c>
      <c r="H116" s="26"/>
      <c r="J116" t="str">
        <f t="shared" si="16"/>
        <v xml:space="preserve"> </v>
      </c>
      <c r="K116">
        <f t="shared" si="12"/>
        <v>0</v>
      </c>
    </row>
    <row r="117" spans="2:11" ht="15.75" customHeight="1" x14ac:dyDescent="0.25">
      <c r="B117" s="3">
        <v>4</v>
      </c>
      <c r="C117" s="27"/>
      <c r="D117" s="28"/>
      <c r="E117" s="27"/>
      <c r="F117" s="28"/>
      <c r="G117" s="25"/>
      <c r="H117" s="26"/>
      <c r="J117" t="str">
        <f t="shared" si="16"/>
        <v xml:space="preserve"> </v>
      </c>
      <c r="K117">
        <f t="shared" si="12"/>
        <v>0</v>
      </c>
    </row>
    <row r="118" spans="2:11" ht="15.75" customHeight="1" x14ac:dyDescent="0.25">
      <c r="B118" s="1"/>
      <c r="C118" s="1"/>
      <c r="D118" s="1"/>
      <c r="E118" s="1"/>
      <c r="F118" s="1"/>
      <c r="G118" s="1"/>
      <c r="H118" s="1"/>
    </row>
    <row r="119" spans="2:11" ht="15.75" customHeight="1" x14ac:dyDescent="0.25">
      <c r="B119" s="1"/>
      <c r="C119" s="1"/>
      <c r="D119" s="1"/>
      <c r="E119" s="1"/>
      <c r="F119" s="1"/>
      <c r="G119" s="1"/>
      <c r="H119" s="1"/>
    </row>
    <row r="120" spans="2:11" ht="15.75" customHeight="1" x14ac:dyDescent="0.25">
      <c r="B120" s="29" t="s">
        <v>47</v>
      </c>
      <c r="C120" s="29"/>
      <c r="D120" s="29"/>
      <c r="E120" s="29"/>
      <c r="F120" s="29"/>
      <c r="G120" s="29"/>
      <c r="H120" s="29"/>
    </row>
    <row r="121" spans="2:11" ht="15.75" customHeight="1" x14ac:dyDescent="0.25">
      <c r="B121" s="30"/>
      <c r="C121" s="30"/>
      <c r="D121" s="30"/>
      <c r="E121" s="30"/>
      <c r="F121" s="30"/>
      <c r="G121" s="30"/>
      <c r="H121" s="30"/>
      <c r="I121" s="10" t="s">
        <v>128</v>
      </c>
      <c r="J121" s="23" t="s">
        <v>130</v>
      </c>
      <c r="K121" t="s">
        <v>129</v>
      </c>
    </row>
    <row r="122" spans="2:11" ht="15.75" customHeight="1" x14ac:dyDescent="0.3">
      <c r="B122" s="2" t="s">
        <v>2</v>
      </c>
      <c r="C122" s="31" t="s">
        <v>3</v>
      </c>
      <c r="D122" s="32"/>
      <c r="E122" s="31" t="s">
        <v>4</v>
      </c>
      <c r="F122" s="32"/>
      <c r="G122" s="31" t="s">
        <v>5</v>
      </c>
      <c r="H122" s="32"/>
      <c r="J122" s="23" t="s">
        <v>210</v>
      </c>
    </row>
    <row r="123" spans="2:11" ht="15.75" customHeight="1" x14ac:dyDescent="0.25">
      <c r="B123" s="3">
        <v>1</v>
      </c>
      <c r="C123" s="27" t="s">
        <v>50</v>
      </c>
      <c r="D123" s="28"/>
      <c r="E123" s="27" t="s">
        <v>51</v>
      </c>
      <c r="F123" s="28"/>
      <c r="G123" s="25">
        <v>202531566</v>
      </c>
      <c r="H123" s="26"/>
      <c r="J123" t="str">
        <f>$J$122</f>
        <v xml:space="preserve"> </v>
      </c>
      <c r="K123">
        <f t="shared" si="12"/>
        <v>0</v>
      </c>
    </row>
    <row r="124" spans="2:11" ht="15.75" customHeight="1" x14ac:dyDescent="0.25">
      <c r="B124" s="3">
        <v>2</v>
      </c>
      <c r="C124" s="27" t="s">
        <v>54</v>
      </c>
      <c r="D124" s="28"/>
      <c r="E124" s="27" t="s">
        <v>55</v>
      </c>
      <c r="F124" s="28"/>
      <c r="G124" s="25">
        <v>202530434</v>
      </c>
      <c r="H124" s="26"/>
      <c r="J124" t="str">
        <f t="shared" ref="J124:J126" si="17">$J$122</f>
        <v xml:space="preserve"> </v>
      </c>
      <c r="K124">
        <f t="shared" si="12"/>
        <v>0</v>
      </c>
    </row>
    <row r="125" spans="2:11" ht="15.75" customHeight="1" x14ac:dyDescent="0.25">
      <c r="B125" s="3">
        <v>3</v>
      </c>
      <c r="C125" s="27" t="s">
        <v>58</v>
      </c>
      <c r="D125" s="28"/>
      <c r="E125" s="27" t="s">
        <v>59</v>
      </c>
      <c r="F125" s="28"/>
      <c r="G125" s="25">
        <v>202531883</v>
      </c>
      <c r="H125" s="26"/>
      <c r="J125" t="str">
        <f t="shared" si="17"/>
        <v xml:space="preserve"> </v>
      </c>
      <c r="K125">
        <f t="shared" si="12"/>
        <v>0</v>
      </c>
    </row>
    <row r="126" spans="2:11" ht="15.75" customHeight="1" x14ac:dyDescent="0.25">
      <c r="B126" s="3">
        <v>4</v>
      </c>
      <c r="C126" s="27" t="s">
        <v>62</v>
      </c>
      <c r="D126" s="28"/>
      <c r="E126" s="27" t="s">
        <v>63</v>
      </c>
      <c r="F126" s="28"/>
      <c r="G126" s="25">
        <v>202531289</v>
      </c>
      <c r="H126" s="26"/>
      <c r="J126" t="str">
        <f t="shared" si="17"/>
        <v xml:space="preserve"> </v>
      </c>
      <c r="K126">
        <f t="shared" si="12"/>
        <v>0</v>
      </c>
    </row>
    <row r="127" spans="2:11" ht="15.75" customHeight="1" x14ac:dyDescent="0.25">
      <c r="B127" s="1"/>
      <c r="C127" s="1"/>
      <c r="D127" s="1"/>
      <c r="E127" s="1"/>
      <c r="F127" s="1"/>
      <c r="G127" s="1"/>
      <c r="H127" s="1"/>
    </row>
    <row r="128" spans="2:11" ht="15.75" customHeight="1" x14ac:dyDescent="0.25">
      <c r="B128" s="1"/>
      <c r="C128" s="1"/>
      <c r="D128" s="1"/>
      <c r="E128" s="1"/>
      <c r="F128" s="1"/>
      <c r="G128" s="1"/>
      <c r="H128" s="1"/>
    </row>
    <row r="129" spans="2:11" ht="15.75" customHeight="1" x14ac:dyDescent="0.25">
      <c r="B129" s="29" t="s">
        <v>65</v>
      </c>
      <c r="C129" s="29"/>
      <c r="D129" s="29"/>
      <c r="E129" s="29"/>
      <c r="F129" s="29"/>
      <c r="G129" s="29"/>
      <c r="H129" s="29"/>
    </row>
    <row r="130" spans="2:11" ht="15.75" customHeight="1" x14ac:dyDescent="0.25">
      <c r="B130" s="30"/>
      <c r="C130" s="30"/>
      <c r="D130" s="30"/>
      <c r="E130" s="30"/>
      <c r="F130" s="30"/>
      <c r="G130" s="30"/>
      <c r="H130" s="30"/>
      <c r="I130" s="10" t="s">
        <v>128</v>
      </c>
      <c r="J130" s="23" t="s">
        <v>130</v>
      </c>
      <c r="K130" t="s">
        <v>129</v>
      </c>
    </row>
    <row r="131" spans="2:11" ht="15.75" customHeight="1" x14ac:dyDescent="0.3">
      <c r="B131" s="2" t="s">
        <v>2</v>
      </c>
      <c r="C131" s="31" t="s">
        <v>3</v>
      </c>
      <c r="D131" s="32"/>
      <c r="E131" s="31" t="s">
        <v>4</v>
      </c>
      <c r="F131" s="32"/>
      <c r="G131" s="31" t="s">
        <v>5</v>
      </c>
      <c r="H131" s="32"/>
      <c r="J131" s="23" t="s">
        <v>210</v>
      </c>
    </row>
    <row r="132" spans="2:11" ht="15.75" customHeight="1" x14ac:dyDescent="0.3">
      <c r="B132" s="3">
        <v>1</v>
      </c>
      <c r="C132" s="39" t="s">
        <v>68</v>
      </c>
      <c r="D132" s="40"/>
      <c r="E132" s="39" t="s">
        <v>69</v>
      </c>
      <c r="F132" s="40"/>
      <c r="G132" s="41">
        <v>202513444</v>
      </c>
      <c r="H132" s="42"/>
      <c r="J132" t="str">
        <f>$J$131</f>
        <v xml:space="preserve"> </v>
      </c>
      <c r="K132">
        <f t="shared" si="12"/>
        <v>0</v>
      </c>
    </row>
    <row r="133" spans="2:11" ht="15.75" customHeight="1" x14ac:dyDescent="0.3">
      <c r="B133" s="3">
        <v>2</v>
      </c>
      <c r="C133" s="39" t="s">
        <v>72</v>
      </c>
      <c r="D133" s="40"/>
      <c r="E133" s="39" t="s">
        <v>73</v>
      </c>
      <c r="F133" s="40"/>
      <c r="G133" s="41">
        <v>202430532</v>
      </c>
      <c r="H133" s="42"/>
      <c r="J133" t="str">
        <f t="shared" ref="J133:J135" si="18">$J$131</f>
        <v xml:space="preserve"> </v>
      </c>
      <c r="K133">
        <f t="shared" si="12"/>
        <v>0</v>
      </c>
    </row>
    <row r="134" spans="2:11" ht="15.75" customHeight="1" x14ac:dyDescent="0.3">
      <c r="B134" s="3">
        <v>3</v>
      </c>
      <c r="C134" s="39" t="s">
        <v>76</v>
      </c>
      <c r="D134" s="40"/>
      <c r="E134" s="39" t="s">
        <v>77</v>
      </c>
      <c r="F134" s="40"/>
      <c r="G134" s="41">
        <v>202530357</v>
      </c>
      <c r="H134" s="42"/>
      <c r="J134" t="str">
        <f t="shared" si="18"/>
        <v xml:space="preserve"> </v>
      </c>
      <c r="K134">
        <f t="shared" si="12"/>
        <v>0</v>
      </c>
    </row>
    <row r="135" spans="2:11" ht="15.75" customHeight="1" x14ac:dyDescent="0.3">
      <c r="B135" s="3">
        <v>4</v>
      </c>
      <c r="C135" s="39"/>
      <c r="D135" s="40"/>
      <c r="E135" s="39"/>
      <c r="F135" s="40"/>
      <c r="G135" s="41"/>
      <c r="H135" s="42"/>
      <c r="J135" t="str">
        <f t="shared" si="18"/>
        <v xml:space="preserve"> </v>
      </c>
      <c r="K135">
        <f t="shared" si="12"/>
        <v>0</v>
      </c>
    </row>
    <row r="136" spans="2:11" ht="15.75" customHeight="1" x14ac:dyDescent="0.25">
      <c r="B136" s="1"/>
      <c r="C136" s="1"/>
      <c r="D136" s="1"/>
      <c r="E136" s="1"/>
      <c r="F136" s="1"/>
      <c r="G136" s="1"/>
      <c r="H136" s="1"/>
    </row>
    <row r="137" spans="2:11" ht="15.75" customHeight="1" x14ac:dyDescent="0.25">
      <c r="B137" s="1"/>
      <c r="C137" s="1"/>
      <c r="D137" s="1"/>
      <c r="E137" s="1"/>
      <c r="F137" s="1"/>
      <c r="G137" s="1"/>
      <c r="H137" s="1"/>
    </row>
    <row r="138" spans="2:11" ht="15.75" customHeight="1" x14ac:dyDescent="0.25">
      <c r="B138" s="29" t="s">
        <v>81</v>
      </c>
      <c r="C138" s="29"/>
      <c r="D138" s="29"/>
      <c r="E138" s="29"/>
      <c r="F138" s="29"/>
      <c r="G138" s="29"/>
      <c r="H138" s="29"/>
    </row>
    <row r="139" spans="2:11" ht="15.75" customHeight="1" x14ac:dyDescent="0.25">
      <c r="B139" s="30"/>
      <c r="C139" s="30"/>
      <c r="D139" s="30"/>
      <c r="E139" s="30"/>
      <c r="F139" s="30"/>
      <c r="G139" s="30"/>
      <c r="H139" s="30"/>
      <c r="I139" s="10" t="s">
        <v>128</v>
      </c>
      <c r="J139" s="23" t="s">
        <v>130</v>
      </c>
      <c r="K139" t="s">
        <v>129</v>
      </c>
    </row>
    <row r="140" spans="2:11" ht="15.75" customHeight="1" x14ac:dyDescent="0.3">
      <c r="B140" s="2" t="s">
        <v>2</v>
      </c>
      <c r="C140" s="31" t="s">
        <v>3</v>
      </c>
      <c r="D140" s="32"/>
      <c r="E140" s="31" t="s">
        <v>4</v>
      </c>
      <c r="F140" s="32"/>
      <c r="G140" s="31" t="s">
        <v>5</v>
      </c>
      <c r="H140" s="32"/>
      <c r="J140" s="23" t="s">
        <v>210</v>
      </c>
    </row>
    <row r="141" spans="2:11" ht="15.75" customHeight="1" x14ac:dyDescent="0.3">
      <c r="B141" s="7">
        <v>1</v>
      </c>
      <c r="C141" s="39"/>
      <c r="D141" s="40"/>
      <c r="E141" s="39"/>
      <c r="F141" s="40"/>
      <c r="G141" s="41"/>
      <c r="H141" s="42"/>
      <c r="J141" t="str">
        <f>J140</f>
        <v xml:space="preserve"> </v>
      </c>
      <c r="K141">
        <f t="shared" si="12"/>
        <v>0</v>
      </c>
    </row>
    <row r="142" spans="2:11" ht="15.75" customHeight="1" x14ac:dyDescent="0.25">
      <c r="B142" s="3">
        <v>2</v>
      </c>
      <c r="C142" s="27"/>
      <c r="D142" s="28"/>
      <c r="E142" s="27"/>
      <c r="F142" s="28"/>
      <c r="G142" s="25"/>
      <c r="H142" s="26"/>
      <c r="J142" t="str">
        <f t="shared" ref="J142:J144" si="19">J141</f>
        <v xml:space="preserve"> </v>
      </c>
      <c r="K142">
        <f t="shared" si="12"/>
        <v>0</v>
      </c>
    </row>
    <row r="143" spans="2:11" ht="15.75" customHeight="1" x14ac:dyDescent="0.25">
      <c r="B143" s="3">
        <v>3</v>
      </c>
      <c r="C143" s="27"/>
      <c r="D143" s="28"/>
      <c r="E143" s="27"/>
      <c r="F143" s="28"/>
      <c r="G143" s="25"/>
      <c r="H143" s="26"/>
      <c r="J143" t="str">
        <f t="shared" si="19"/>
        <v xml:space="preserve"> </v>
      </c>
      <c r="K143">
        <f t="shared" si="12"/>
        <v>0</v>
      </c>
    </row>
    <row r="144" spans="2:11" ht="15.75" customHeight="1" x14ac:dyDescent="0.25">
      <c r="B144" s="3">
        <v>4</v>
      </c>
      <c r="C144" s="27"/>
      <c r="D144" s="28"/>
      <c r="E144" s="27"/>
      <c r="F144" s="28"/>
      <c r="G144" s="25"/>
      <c r="H144" s="26"/>
      <c r="J144" t="str">
        <f t="shared" si="19"/>
        <v xml:space="preserve"> </v>
      </c>
      <c r="K144">
        <f t="shared" si="12"/>
        <v>0</v>
      </c>
    </row>
    <row r="145" spans="2:11" ht="15.75" customHeight="1" x14ac:dyDescent="0.25">
      <c r="B145" s="1"/>
      <c r="C145" s="1"/>
      <c r="D145" s="1"/>
      <c r="E145" s="1"/>
      <c r="F145" s="1"/>
      <c r="G145" s="1"/>
      <c r="H145" s="1"/>
    </row>
    <row r="146" spans="2:11" ht="15.75" customHeight="1" x14ac:dyDescent="0.25">
      <c r="B146" s="1"/>
      <c r="C146" s="1"/>
      <c r="D146" s="1"/>
      <c r="E146" s="1"/>
      <c r="F146" s="1"/>
      <c r="G146" s="1"/>
      <c r="H146" s="1"/>
    </row>
    <row r="147" spans="2:11" ht="15.75" customHeight="1" x14ac:dyDescent="0.25">
      <c r="B147" s="29" t="s">
        <v>91</v>
      </c>
      <c r="C147" s="29"/>
      <c r="D147" s="29"/>
      <c r="E147" s="29"/>
      <c r="F147" s="29"/>
      <c r="G147" s="29"/>
      <c r="H147" s="29"/>
    </row>
    <row r="148" spans="2:11" ht="15.75" customHeight="1" x14ac:dyDescent="0.25">
      <c r="B148" s="30"/>
      <c r="C148" s="30"/>
      <c r="D148" s="30"/>
      <c r="E148" s="30"/>
      <c r="F148" s="30"/>
      <c r="G148" s="30"/>
      <c r="H148" s="30"/>
      <c r="I148" s="10" t="s">
        <v>128</v>
      </c>
      <c r="J148" s="23" t="s">
        <v>130</v>
      </c>
      <c r="K148" t="s">
        <v>129</v>
      </c>
    </row>
    <row r="149" spans="2:11" ht="15.75" customHeight="1" x14ac:dyDescent="0.3">
      <c r="B149" s="2" t="s">
        <v>2</v>
      </c>
      <c r="C149" s="31" t="s">
        <v>3</v>
      </c>
      <c r="D149" s="32"/>
      <c r="E149" s="31" t="s">
        <v>4</v>
      </c>
      <c r="F149" s="32"/>
      <c r="G149" s="31" t="s">
        <v>5</v>
      </c>
      <c r="H149" s="32"/>
      <c r="J149" s="23" t="s">
        <v>210</v>
      </c>
    </row>
    <row r="150" spans="2:11" ht="15.75" customHeight="1" x14ac:dyDescent="0.25">
      <c r="B150" s="3">
        <v>1</v>
      </c>
      <c r="C150" s="27"/>
      <c r="D150" s="28"/>
      <c r="E150" s="27"/>
      <c r="F150" s="28"/>
      <c r="G150" s="25"/>
      <c r="H150" s="26"/>
      <c r="J150" t="str">
        <f>$J$149</f>
        <v xml:space="preserve"> </v>
      </c>
      <c r="K150">
        <f t="shared" ref="K150:K162" si="20">IF(I150="SI",J150,0)</f>
        <v>0</v>
      </c>
    </row>
    <row r="151" spans="2:11" ht="15.75" customHeight="1" x14ac:dyDescent="0.25">
      <c r="B151" s="3">
        <v>2</v>
      </c>
      <c r="C151" s="27"/>
      <c r="D151" s="28"/>
      <c r="E151" s="27"/>
      <c r="F151" s="28"/>
      <c r="G151" s="25"/>
      <c r="H151" s="26"/>
      <c r="J151" t="str">
        <f t="shared" ref="J151:J153" si="21">$J$149</f>
        <v xml:space="preserve"> </v>
      </c>
      <c r="K151">
        <f t="shared" si="20"/>
        <v>0</v>
      </c>
    </row>
    <row r="152" spans="2:11" ht="15.75" customHeight="1" x14ac:dyDescent="0.25">
      <c r="B152" s="3">
        <v>3</v>
      </c>
      <c r="C152" s="27"/>
      <c r="D152" s="28"/>
      <c r="E152" s="27"/>
      <c r="F152" s="28"/>
      <c r="G152" s="25"/>
      <c r="H152" s="26"/>
      <c r="J152" t="str">
        <f t="shared" si="21"/>
        <v xml:space="preserve"> </v>
      </c>
      <c r="K152">
        <f t="shared" si="20"/>
        <v>0</v>
      </c>
    </row>
    <row r="153" spans="2:11" ht="15.75" customHeight="1" x14ac:dyDescent="0.25">
      <c r="B153" s="3">
        <v>4</v>
      </c>
      <c r="C153" s="27"/>
      <c r="D153" s="28"/>
      <c r="E153" s="27"/>
      <c r="F153" s="28"/>
      <c r="G153" s="25"/>
      <c r="H153" s="26"/>
      <c r="J153" t="str">
        <f t="shared" si="21"/>
        <v xml:space="preserve"> </v>
      </c>
      <c r="K153">
        <f t="shared" si="20"/>
        <v>0</v>
      </c>
    </row>
    <row r="154" spans="2:11" ht="15.75" customHeight="1" x14ac:dyDescent="0.25">
      <c r="B154" s="1"/>
      <c r="C154" s="1"/>
      <c r="D154" s="1"/>
      <c r="E154" s="1"/>
      <c r="F154" s="1"/>
      <c r="G154" s="1"/>
      <c r="H154" s="1"/>
    </row>
    <row r="155" spans="2:11" ht="15.75" customHeight="1" x14ac:dyDescent="0.25">
      <c r="B155" s="1"/>
      <c r="C155" s="1"/>
      <c r="D155" s="1"/>
      <c r="E155" s="1"/>
      <c r="F155" s="1"/>
      <c r="G155" s="1"/>
      <c r="H155" s="1"/>
    </row>
    <row r="156" spans="2:11" ht="15.75" customHeight="1" x14ac:dyDescent="0.25">
      <c r="B156" s="29" t="s">
        <v>101</v>
      </c>
      <c r="C156" s="29"/>
      <c r="D156" s="29"/>
      <c r="E156" s="29"/>
      <c r="F156" s="29"/>
      <c r="G156" s="29"/>
      <c r="H156" s="29"/>
    </row>
    <row r="157" spans="2:11" ht="15.75" customHeight="1" x14ac:dyDescent="0.25">
      <c r="B157" s="30"/>
      <c r="C157" s="30"/>
      <c r="D157" s="30"/>
      <c r="E157" s="30"/>
      <c r="F157" s="30"/>
      <c r="G157" s="30"/>
      <c r="H157" s="30"/>
      <c r="I157" s="10" t="s">
        <v>128</v>
      </c>
      <c r="J157" s="23" t="s">
        <v>130</v>
      </c>
      <c r="K157" t="s">
        <v>129</v>
      </c>
    </row>
    <row r="158" spans="2:11" ht="15.75" customHeight="1" x14ac:dyDescent="0.3">
      <c r="B158" s="2" t="s">
        <v>2</v>
      </c>
      <c r="C158" s="31" t="s">
        <v>3</v>
      </c>
      <c r="D158" s="32"/>
      <c r="E158" s="31" t="s">
        <v>4</v>
      </c>
      <c r="F158" s="32"/>
      <c r="G158" s="31" t="s">
        <v>5</v>
      </c>
      <c r="H158" s="32"/>
      <c r="J158" s="23" t="s">
        <v>210</v>
      </c>
    </row>
    <row r="159" spans="2:11" ht="15.75" customHeight="1" x14ac:dyDescent="0.25">
      <c r="B159" s="3">
        <v>1</v>
      </c>
      <c r="C159" s="27"/>
      <c r="D159" s="28"/>
      <c r="E159" s="27"/>
      <c r="F159" s="28"/>
      <c r="G159" s="25"/>
      <c r="H159" s="26"/>
      <c r="J159" t="str">
        <f>$J$158</f>
        <v xml:space="preserve"> </v>
      </c>
      <c r="K159">
        <f t="shared" si="20"/>
        <v>0</v>
      </c>
    </row>
    <row r="160" spans="2:11" ht="15.75" customHeight="1" x14ac:dyDescent="0.25">
      <c r="B160" s="3">
        <v>2</v>
      </c>
      <c r="C160" s="27"/>
      <c r="D160" s="28"/>
      <c r="E160" s="27"/>
      <c r="F160" s="28"/>
      <c r="G160" s="25"/>
      <c r="H160" s="26"/>
      <c r="J160" t="str">
        <f t="shared" ref="J160:J162" si="22">$J$158</f>
        <v xml:space="preserve"> </v>
      </c>
      <c r="K160">
        <f t="shared" si="20"/>
        <v>0</v>
      </c>
    </row>
    <row r="161" spans="2:11" ht="15.75" customHeight="1" x14ac:dyDescent="0.25">
      <c r="B161" s="3">
        <v>3</v>
      </c>
      <c r="C161" s="27"/>
      <c r="D161" s="28"/>
      <c r="E161" s="27"/>
      <c r="F161" s="28"/>
      <c r="G161" s="25"/>
      <c r="H161" s="26"/>
      <c r="J161" t="str">
        <f t="shared" si="22"/>
        <v xml:space="preserve"> </v>
      </c>
      <c r="K161">
        <f t="shared" si="20"/>
        <v>0</v>
      </c>
    </row>
    <row r="162" spans="2:11" ht="15.75" customHeight="1" x14ac:dyDescent="0.25">
      <c r="B162" s="3">
        <v>4</v>
      </c>
      <c r="C162" s="27"/>
      <c r="D162" s="28"/>
      <c r="E162" s="27"/>
      <c r="F162" s="28"/>
      <c r="G162" s="27"/>
      <c r="H162" s="28"/>
      <c r="J162" t="str">
        <f t="shared" si="22"/>
        <v xml:space="preserve"> </v>
      </c>
      <c r="K162">
        <f t="shared" si="20"/>
        <v>0</v>
      </c>
    </row>
    <row r="163" spans="2:11" ht="15.75" customHeight="1" x14ac:dyDescent="0.25">
      <c r="B163" s="1"/>
      <c r="C163" s="1"/>
      <c r="D163" s="1"/>
      <c r="E163" s="1"/>
      <c r="F163" s="1"/>
      <c r="G163" s="1"/>
      <c r="H163" s="1"/>
    </row>
  </sheetData>
  <mergeCells count="283">
    <mergeCell ref="C151:D151"/>
    <mergeCell ref="E151:F151"/>
    <mergeCell ref="G151:H151"/>
    <mergeCell ref="C152:D152"/>
    <mergeCell ref="E152:F152"/>
    <mergeCell ref="G152:H152"/>
    <mergeCell ref="C153:D153"/>
    <mergeCell ref="E162:F162"/>
    <mergeCell ref="G162:H162"/>
    <mergeCell ref="C160:D160"/>
    <mergeCell ref="E160:F160"/>
    <mergeCell ref="G160:H160"/>
    <mergeCell ref="C161:D161"/>
    <mergeCell ref="E161:F161"/>
    <mergeCell ref="G161:H161"/>
    <mergeCell ref="C162:D162"/>
    <mergeCell ref="C141:D141"/>
    <mergeCell ref="C142:D142"/>
    <mergeCell ref="E142:F142"/>
    <mergeCell ref="G142:H142"/>
    <mergeCell ref="C143:D143"/>
    <mergeCell ref="E143:F143"/>
    <mergeCell ref="G143:H143"/>
    <mergeCell ref="C144:D144"/>
    <mergeCell ref="E150:F150"/>
    <mergeCell ref="G150:H150"/>
    <mergeCell ref="E144:F144"/>
    <mergeCell ref="G144:H144"/>
    <mergeCell ref="B147:H148"/>
    <mergeCell ref="C149:D149"/>
    <mergeCell ref="E149:F149"/>
    <mergeCell ref="G149:H149"/>
    <mergeCell ref="C150:D150"/>
    <mergeCell ref="C133:D133"/>
    <mergeCell ref="E133:F133"/>
    <mergeCell ref="G133:H133"/>
    <mergeCell ref="C134:D134"/>
    <mergeCell ref="E134:F134"/>
    <mergeCell ref="G134:H134"/>
    <mergeCell ref="C135:D135"/>
    <mergeCell ref="E159:F159"/>
    <mergeCell ref="G159:H159"/>
    <mergeCell ref="E153:F153"/>
    <mergeCell ref="G153:H153"/>
    <mergeCell ref="B156:H157"/>
    <mergeCell ref="C158:D158"/>
    <mergeCell ref="E158:F158"/>
    <mergeCell ref="G158:H158"/>
    <mergeCell ref="C159:D159"/>
    <mergeCell ref="E141:F141"/>
    <mergeCell ref="G141:H141"/>
    <mergeCell ref="E135:F135"/>
    <mergeCell ref="G135:H135"/>
    <mergeCell ref="B138:H139"/>
    <mergeCell ref="C140:D140"/>
    <mergeCell ref="E140:F140"/>
    <mergeCell ref="G140:H140"/>
    <mergeCell ref="G125:H125"/>
    <mergeCell ref="C126:D126"/>
    <mergeCell ref="E132:F132"/>
    <mergeCell ref="G132:H132"/>
    <mergeCell ref="E126:F126"/>
    <mergeCell ref="G126:H126"/>
    <mergeCell ref="B129:H130"/>
    <mergeCell ref="C131:D131"/>
    <mergeCell ref="E131:F131"/>
    <mergeCell ref="G131:H131"/>
    <mergeCell ref="C132:D132"/>
    <mergeCell ref="C116:D116"/>
    <mergeCell ref="E116:F116"/>
    <mergeCell ref="G116:H116"/>
    <mergeCell ref="G105:H105"/>
    <mergeCell ref="C97:D97"/>
    <mergeCell ref="E97:F97"/>
    <mergeCell ref="C98:D98"/>
    <mergeCell ref="E98:F98"/>
    <mergeCell ref="G98:H98"/>
    <mergeCell ref="C99:D99"/>
    <mergeCell ref="E99:F99"/>
    <mergeCell ref="G99:H99"/>
    <mergeCell ref="B102:H103"/>
    <mergeCell ref="C125:D125"/>
    <mergeCell ref="E125:F125"/>
    <mergeCell ref="C41:D41"/>
    <mergeCell ref="E41:F41"/>
    <mergeCell ref="G41:H41"/>
    <mergeCell ref="E42:F42"/>
    <mergeCell ref="G42:H42"/>
    <mergeCell ref="C42:D42"/>
    <mergeCell ref="C43:D43"/>
    <mergeCell ref="E43:F43"/>
    <mergeCell ref="G43:H43"/>
    <mergeCell ref="B111:H112"/>
    <mergeCell ref="C113:D113"/>
    <mergeCell ref="E113:F113"/>
    <mergeCell ref="G113:H113"/>
    <mergeCell ref="C114:D114"/>
    <mergeCell ref="E114:F114"/>
    <mergeCell ref="G114:H114"/>
    <mergeCell ref="E104:F104"/>
    <mergeCell ref="G104:H104"/>
    <mergeCell ref="E105:F105"/>
    <mergeCell ref="C117:D117"/>
    <mergeCell ref="E123:F123"/>
    <mergeCell ref="G123:H123"/>
    <mergeCell ref="E34:F34"/>
    <mergeCell ref="G34:H34"/>
    <mergeCell ref="C35:D35"/>
    <mergeCell ref="E35:F35"/>
    <mergeCell ref="G35:H35"/>
    <mergeCell ref="E36:F36"/>
    <mergeCell ref="G36:H36"/>
    <mergeCell ref="B39:H40"/>
    <mergeCell ref="C124:D124"/>
    <mergeCell ref="E124:F124"/>
    <mergeCell ref="G124:H124"/>
    <mergeCell ref="E117:F117"/>
    <mergeCell ref="G117:H117"/>
    <mergeCell ref="B120:H121"/>
    <mergeCell ref="C122:D122"/>
    <mergeCell ref="E122:F122"/>
    <mergeCell ref="G122:H122"/>
    <mergeCell ref="C123:D123"/>
    <mergeCell ref="C44:D44"/>
    <mergeCell ref="E44:F44"/>
    <mergeCell ref="G44:H44"/>
    <mergeCell ref="C115:D115"/>
    <mergeCell ref="E115:F115"/>
    <mergeCell ref="G115:H115"/>
    <mergeCell ref="E95:F95"/>
    <mergeCell ref="G95:H95"/>
    <mergeCell ref="C96:D96"/>
    <mergeCell ref="E96:F96"/>
    <mergeCell ref="G96:H96"/>
    <mergeCell ref="G97:H97"/>
    <mergeCell ref="C104:D104"/>
    <mergeCell ref="C25:D25"/>
    <mergeCell ref="E25:F25"/>
    <mergeCell ref="G25:H25"/>
    <mergeCell ref="C26:D26"/>
    <mergeCell ref="E26:F26"/>
    <mergeCell ref="G26:H26"/>
    <mergeCell ref="C27:D27"/>
    <mergeCell ref="E33:F33"/>
    <mergeCell ref="G33:H33"/>
    <mergeCell ref="E27:F27"/>
    <mergeCell ref="G27:H27"/>
    <mergeCell ref="B30:H31"/>
    <mergeCell ref="C32:D32"/>
    <mergeCell ref="E32:F32"/>
    <mergeCell ref="G32:H32"/>
    <mergeCell ref="C33:D33"/>
    <mergeCell ref="C34:D34"/>
    <mergeCell ref="C108:D108"/>
    <mergeCell ref="E108:F108"/>
    <mergeCell ref="G108:H108"/>
    <mergeCell ref="C105:D105"/>
    <mergeCell ref="C106:D106"/>
    <mergeCell ref="E106:F106"/>
    <mergeCell ref="G106:H106"/>
    <mergeCell ref="C107:D107"/>
    <mergeCell ref="E107:F107"/>
    <mergeCell ref="G107:H107"/>
    <mergeCell ref="C17:D17"/>
    <mergeCell ref="E17:F17"/>
    <mergeCell ref="G17:H17"/>
    <mergeCell ref="B21:H22"/>
    <mergeCell ref="C23:D23"/>
    <mergeCell ref="E23:F23"/>
    <mergeCell ref="G23:H23"/>
    <mergeCell ref="C24:D24"/>
    <mergeCell ref="E24:F24"/>
    <mergeCell ref="G24:H24"/>
    <mergeCell ref="G7:H7"/>
    <mergeCell ref="C8:D8"/>
    <mergeCell ref="E8:F8"/>
    <mergeCell ref="G8:H8"/>
    <mergeCell ref="C9:D9"/>
    <mergeCell ref="E9:F9"/>
    <mergeCell ref="C16:D16"/>
    <mergeCell ref="E16:F16"/>
    <mergeCell ref="G16:H16"/>
    <mergeCell ref="B3:H4"/>
    <mergeCell ref="B93:H94"/>
    <mergeCell ref="C5:D5"/>
    <mergeCell ref="E5:F5"/>
    <mergeCell ref="G5:H5"/>
    <mergeCell ref="C95:D95"/>
    <mergeCell ref="C6:D6"/>
    <mergeCell ref="E6:F6"/>
    <mergeCell ref="G6:H6"/>
    <mergeCell ref="C7:D7"/>
    <mergeCell ref="E7:F7"/>
    <mergeCell ref="G9:H9"/>
    <mergeCell ref="B12:H13"/>
    <mergeCell ref="C14:D14"/>
    <mergeCell ref="E14:F14"/>
    <mergeCell ref="G14:H14"/>
    <mergeCell ref="E15:F15"/>
    <mergeCell ref="G15:H15"/>
    <mergeCell ref="C15:D15"/>
    <mergeCell ref="C62:D62"/>
    <mergeCell ref="E62:F62"/>
    <mergeCell ref="G62:H62"/>
    <mergeCell ref="C63:D63"/>
    <mergeCell ref="E63:F63"/>
    <mergeCell ref="B57:H58"/>
    <mergeCell ref="E68:F68"/>
    <mergeCell ref="G68:H68"/>
    <mergeCell ref="C69:D69"/>
    <mergeCell ref="E69:F69"/>
    <mergeCell ref="G69:H69"/>
    <mergeCell ref="C70:D70"/>
    <mergeCell ref="E59:F59"/>
    <mergeCell ref="G59:H59"/>
    <mergeCell ref="C59:D59"/>
    <mergeCell ref="C60:D60"/>
    <mergeCell ref="E60:F60"/>
    <mergeCell ref="G60:H60"/>
    <mergeCell ref="C61:D61"/>
    <mergeCell ref="E61:F61"/>
    <mergeCell ref="G61:H61"/>
    <mergeCell ref="G63:H63"/>
    <mergeCell ref="B66:H67"/>
    <mergeCell ref="E70:F70"/>
    <mergeCell ref="G70:H70"/>
    <mergeCell ref="C68:D68"/>
    <mergeCell ref="C51:D51"/>
    <mergeCell ref="E51:F51"/>
    <mergeCell ref="G51:H51"/>
    <mergeCell ref="E52:F52"/>
    <mergeCell ref="G52:H52"/>
    <mergeCell ref="E53:F53"/>
    <mergeCell ref="G53:H53"/>
    <mergeCell ref="C53:D53"/>
    <mergeCell ref="C54:D54"/>
    <mergeCell ref="E54:F54"/>
    <mergeCell ref="G54:H54"/>
    <mergeCell ref="C90:D90"/>
    <mergeCell ref="E90:F90"/>
    <mergeCell ref="G90:H90"/>
    <mergeCell ref="C86:D86"/>
    <mergeCell ref="E86:F86"/>
    <mergeCell ref="G86:H86"/>
    <mergeCell ref="E87:F87"/>
    <mergeCell ref="G87:H87"/>
    <mergeCell ref="E88:F88"/>
    <mergeCell ref="G88:H88"/>
    <mergeCell ref="C80:D80"/>
    <mergeCell ref="E80:F80"/>
    <mergeCell ref="G80:H80"/>
    <mergeCell ref="C81:D81"/>
    <mergeCell ref="E81:F81"/>
    <mergeCell ref="G81:H81"/>
    <mergeCell ref="B84:H85"/>
    <mergeCell ref="C88:D88"/>
    <mergeCell ref="C89:D89"/>
    <mergeCell ref="E89:F89"/>
    <mergeCell ref="G89:H89"/>
    <mergeCell ref="G18:H18"/>
    <mergeCell ref="C71:D71"/>
    <mergeCell ref="E71:F71"/>
    <mergeCell ref="G71:H71"/>
    <mergeCell ref="C72:D72"/>
    <mergeCell ref="E72:F72"/>
    <mergeCell ref="G72:H72"/>
    <mergeCell ref="B75:H76"/>
    <mergeCell ref="E79:F79"/>
    <mergeCell ref="G79:H79"/>
    <mergeCell ref="C77:D77"/>
    <mergeCell ref="E77:F77"/>
    <mergeCell ref="G77:H77"/>
    <mergeCell ref="C78:D78"/>
    <mergeCell ref="E78:F78"/>
    <mergeCell ref="G78:H78"/>
    <mergeCell ref="C79:D79"/>
    <mergeCell ref="C45:D45"/>
    <mergeCell ref="E45:F45"/>
    <mergeCell ref="G45:H45"/>
    <mergeCell ref="B48:H49"/>
    <mergeCell ref="C50:D50"/>
    <mergeCell ref="E50:F50"/>
    <mergeCell ref="G50:H50"/>
  </mergeCells>
  <dataValidations count="2">
    <dataValidation type="list" allowBlank="1" showInputMessage="1" showErrorMessage="1" sqref="I21 I14:I18 I10:I12 I50:I57 I23:I30 I32:I39 I41:I48 I59:I66 I99 I77:I84 I86:I93 I158:I168 I8 I113:I120 I122:I129 I131:I138 I140:I147 I149:I156 I95 I100:I102 I97 I96 I98 I68 I71 I69 I70 I73:I75 I72 I108 I6 I7 I104 I105 I106 I107 I109:I111 I9" xr:uid="{FEA956D6-F42C-4A00-9734-233211388D92}">
      <formula1>"SI"</formula1>
    </dataValidation>
    <dataValidation type="list" allowBlank="1" showInputMessage="1" showErrorMessage="1" sqref="I157 I4 I13 I22 I31 I40 I49 I58 I67 I76 I85 I94 I103 I121 I130 I139 I148 I112" xr:uid="{B782E771-0CA3-4FD3-86FF-84E2BF7CFE28}">
      <formula1>"Todos Asistieron,Definir asistencia"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681D4-CE3B-49B5-BF30-5735A843AD7C}">
  <sheetPr codeName="Hoja2"/>
  <dimension ref="A1:M163"/>
  <sheetViews>
    <sheetView topLeftCell="B94" zoomScale="70" zoomScaleNormal="70" workbookViewId="0">
      <selection activeCell="G15" sqref="G15"/>
    </sheetView>
  </sheetViews>
  <sheetFormatPr baseColWidth="10" defaultRowHeight="12.5" x14ac:dyDescent="0.25"/>
  <cols>
    <col min="6" max="6" width="19.54296875" customWidth="1"/>
    <col min="7" max="7" width="34.453125" customWidth="1"/>
    <col min="10" max="10" width="14.08984375" customWidth="1"/>
    <col min="11" max="11" width="34.7265625" customWidth="1"/>
    <col min="12" max="12" width="29.90625" customWidth="1"/>
    <col min="13" max="13" width="19.453125" customWidth="1"/>
  </cols>
  <sheetData>
    <row r="1" spans="1:13" ht="16.5" x14ac:dyDescent="0.35">
      <c r="A1" s="8"/>
    </row>
    <row r="2" spans="1:13" ht="14" x14ac:dyDescent="0.3">
      <c r="I2" s="14"/>
      <c r="J2" s="14"/>
      <c r="K2" s="14"/>
    </row>
    <row r="3" spans="1:13" ht="12.5" customHeight="1" x14ac:dyDescent="0.45">
      <c r="A3" s="29" t="s">
        <v>0</v>
      </c>
      <c r="B3" s="29"/>
      <c r="C3" s="29"/>
      <c r="D3" s="29"/>
      <c r="E3" s="29"/>
      <c r="F3" s="15"/>
      <c r="G3" t="str">
        <f>IF(htfxasint!K3="","",htfxasint!K3)</f>
        <v/>
      </c>
      <c r="J3" s="1"/>
    </row>
    <row r="4" spans="1:13" ht="12.5" customHeight="1" x14ac:dyDescent="0.45">
      <c r="A4" s="30"/>
      <c r="B4" s="30"/>
      <c r="C4" s="30"/>
      <c r="D4" s="30"/>
      <c r="E4" s="30"/>
      <c r="F4" s="16"/>
      <c r="G4" t="str">
        <f>IF(htfxasint!K4="","",htfxasint!K4)</f>
        <v xml:space="preserve">Punteo a Estudiantes </v>
      </c>
      <c r="L4" t="s">
        <v>208</v>
      </c>
    </row>
    <row r="5" spans="1:13" ht="14" x14ac:dyDescent="0.3">
      <c r="A5" s="2" t="s">
        <v>2</v>
      </c>
      <c r="B5" s="17" t="s">
        <v>3</v>
      </c>
      <c r="C5" s="18"/>
      <c r="D5" s="17" t="s">
        <v>4</v>
      </c>
      <c r="E5" s="18"/>
      <c r="F5" s="17" t="s">
        <v>5</v>
      </c>
      <c r="G5" t="str">
        <f>IF(htfxasint!K5="","",htfxasint!K5)</f>
        <v/>
      </c>
      <c r="I5" s="14" t="s">
        <v>131</v>
      </c>
      <c r="J5" s="14" t="s">
        <v>132</v>
      </c>
      <c r="K5" s="14" t="s">
        <v>4</v>
      </c>
      <c r="L5" s="21" t="s">
        <v>209</v>
      </c>
      <c r="M5" s="14" t="s">
        <v>211</v>
      </c>
    </row>
    <row r="6" spans="1:13" ht="12.5" customHeight="1" x14ac:dyDescent="0.25">
      <c r="A6" s="3">
        <v>1</v>
      </c>
      <c r="B6" s="4" t="s">
        <v>6</v>
      </c>
      <c r="C6" s="6"/>
      <c r="D6" s="4" t="s">
        <v>7</v>
      </c>
      <c r="E6" s="6"/>
      <c r="F6" s="4">
        <v>202431863</v>
      </c>
      <c r="G6">
        <f>IF(htfxasint!K6="","",htfxasint!K6)</f>
        <v>0</v>
      </c>
      <c r="I6">
        <v>1</v>
      </c>
      <c r="J6">
        <v>202030174</v>
      </c>
      <c r="K6" t="s">
        <v>133</v>
      </c>
      <c r="L6">
        <f>IFERROR(VLOOKUP(J6,$F$6:$G$1000,2,FALSE),0)</f>
        <v>0</v>
      </c>
    </row>
    <row r="7" spans="1:13" ht="12.5" customHeight="1" x14ac:dyDescent="0.25">
      <c r="A7" s="3">
        <v>2</v>
      </c>
      <c r="B7" s="4" t="s">
        <v>8</v>
      </c>
      <c r="C7" s="6"/>
      <c r="D7" s="4" t="s">
        <v>9</v>
      </c>
      <c r="E7" s="6"/>
      <c r="F7" s="4">
        <v>202432137</v>
      </c>
      <c r="G7">
        <f>IF(htfxasint!K7="","",htfxasint!K7)</f>
        <v>0</v>
      </c>
      <c r="I7">
        <v>2</v>
      </c>
      <c r="J7">
        <v>202032032</v>
      </c>
      <c r="K7" t="s">
        <v>134</v>
      </c>
      <c r="L7">
        <f t="shared" ref="L7:L70" si="0">IFERROR(VLOOKUP(J7,$F$6:$G$1000,2,FALSE),0)</f>
        <v>0</v>
      </c>
    </row>
    <row r="8" spans="1:13" ht="12.5" customHeight="1" x14ac:dyDescent="0.25">
      <c r="A8" s="3">
        <v>3</v>
      </c>
      <c r="B8" s="4" t="s">
        <v>10</v>
      </c>
      <c r="C8" s="6"/>
      <c r="D8" s="4" t="s">
        <v>11</v>
      </c>
      <c r="E8" s="6"/>
      <c r="F8" s="4">
        <v>202530235</v>
      </c>
      <c r="G8">
        <f>IF(htfxasint!K8="","",htfxasint!K8)</f>
        <v>0</v>
      </c>
      <c r="I8">
        <v>3</v>
      </c>
      <c r="J8">
        <v>202231116</v>
      </c>
      <c r="K8" t="s">
        <v>135</v>
      </c>
      <c r="L8">
        <f t="shared" si="0"/>
        <v>0</v>
      </c>
    </row>
    <row r="9" spans="1:13" ht="12.5" customHeight="1" x14ac:dyDescent="0.25">
      <c r="A9" s="3">
        <v>4</v>
      </c>
      <c r="B9" s="4" t="s">
        <v>12</v>
      </c>
      <c r="C9" s="6"/>
      <c r="D9" s="4" t="s">
        <v>13</v>
      </c>
      <c r="E9" s="6"/>
      <c r="F9" s="4">
        <v>202531384</v>
      </c>
      <c r="G9">
        <f>IF(htfxasint!K9="","",htfxasint!K9)</f>
        <v>0</v>
      </c>
      <c r="I9">
        <v>4</v>
      </c>
      <c r="J9">
        <v>202330276</v>
      </c>
      <c r="K9" t="s">
        <v>136</v>
      </c>
      <c r="L9">
        <f t="shared" si="0"/>
        <v>0</v>
      </c>
    </row>
    <row r="10" spans="1:13" ht="12.5" customHeight="1" x14ac:dyDescent="0.25">
      <c r="A10" s="1"/>
      <c r="B10" s="1"/>
      <c r="C10" s="1"/>
      <c r="D10" s="1"/>
      <c r="E10" s="1"/>
      <c r="F10" s="1"/>
      <c r="G10" t="str">
        <f>IF(htfxasint!K10="","",htfxasint!K10)</f>
        <v/>
      </c>
      <c r="I10">
        <v>5</v>
      </c>
      <c r="J10">
        <v>202331587</v>
      </c>
      <c r="K10" t="s">
        <v>137</v>
      </c>
      <c r="L10">
        <f t="shared" si="0"/>
        <v>0</v>
      </c>
    </row>
    <row r="11" spans="1:13" ht="12.5" customHeight="1" x14ac:dyDescent="0.25">
      <c r="A11" s="1"/>
      <c r="C11" s="1"/>
      <c r="D11" s="1"/>
      <c r="E11" s="1"/>
      <c r="F11" s="1"/>
      <c r="G11" t="str">
        <f>IF(htfxasint!K11="","",htfxasint!K11)</f>
        <v/>
      </c>
      <c r="I11">
        <v>6</v>
      </c>
      <c r="J11">
        <v>202332049</v>
      </c>
      <c r="K11" t="s">
        <v>138</v>
      </c>
      <c r="L11">
        <f t="shared" si="0"/>
        <v>0</v>
      </c>
    </row>
    <row r="12" spans="1:13" ht="12.5" customHeight="1" x14ac:dyDescent="0.45">
      <c r="A12" s="29" t="s">
        <v>14</v>
      </c>
      <c r="B12" s="29"/>
      <c r="C12" s="29"/>
      <c r="D12" s="29"/>
      <c r="E12" s="29"/>
      <c r="F12" s="15"/>
      <c r="G12" t="str">
        <f>IF(htfxasint!K12="","",htfxasint!K12)</f>
        <v/>
      </c>
      <c r="I12">
        <v>7</v>
      </c>
      <c r="J12">
        <v>202402553</v>
      </c>
      <c r="K12" t="s">
        <v>139</v>
      </c>
      <c r="L12">
        <f t="shared" si="0"/>
        <v>0</v>
      </c>
    </row>
    <row r="13" spans="1:13" ht="12.5" customHeight="1" x14ac:dyDescent="0.45">
      <c r="A13" s="30"/>
      <c r="B13" s="30"/>
      <c r="C13" s="30"/>
      <c r="D13" s="30"/>
      <c r="E13" s="30"/>
      <c r="F13" s="16"/>
      <c r="G13" t="str">
        <f>IF(htfxasint!K13="","",htfxasint!K13)</f>
        <v xml:space="preserve">Punteo a Estudiantes </v>
      </c>
      <c r="I13">
        <v>8</v>
      </c>
      <c r="J13">
        <v>202430271</v>
      </c>
      <c r="K13" t="s">
        <v>140</v>
      </c>
      <c r="L13">
        <f t="shared" si="0"/>
        <v>0</v>
      </c>
    </row>
    <row r="14" spans="1:13" ht="13" x14ac:dyDescent="0.3">
      <c r="A14" s="2" t="s">
        <v>2</v>
      </c>
      <c r="B14" s="17" t="s">
        <v>3</v>
      </c>
      <c r="C14" s="18"/>
      <c r="D14" s="17" t="s">
        <v>4</v>
      </c>
      <c r="E14" s="18"/>
      <c r="F14" s="17" t="s">
        <v>5</v>
      </c>
      <c r="G14" t="str">
        <f>IF(htfxasint!K14="","",htfxasint!K14)</f>
        <v/>
      </c>
      <c r="I14">
        <v>9</v>
      </c>
      <c r="J14">
        <v>202430532</v>
      </c>
      <c r="K14" t="s">
        <v>141</v>
      </c>
      <c r="L14">
        <f t="shared" si="0"/>
        <v>0</v>
      </c>
    </row>
    <row r="15" spans="1:13" ht="12.5" customHeight="1" x14ac:dyDescent="0.25">
      <c r="A15" s="3">
        <v>1</v>
      </c>
      <c r="B15" s="4" t="s">
        <v>16</v>
      </c>
      <c r="C15" s="6"/>
      <c r="D15" s="4" t="s">
        <v>17</v>
      </c>
      <c r="E15" s="6"/>
      <c r="F15" s="4">
        <v>202531127</v>
      </c>
      <c r="G15">
        <f>IF(htfxasint!K15="","",htfxasint!K15)</f>
        <v>0</v>
      </c>
      <c r="I15">
        <v>10</v>
      </c>
      <c r="J15">
        <v>202430589</v>
      </c>
      <c r="K15" t="s">
        <v>142</v>
      </c>
      <c r="L15">
        <f t="shared" si="0"/>
        <v>0</v>
      </c>
    </row>
    <row r="16" spans="1:13" ht="12.5" customHeight="1" x14ac:dyDescent="0.25">
      <c r="A16" s="3">
        <v>2</v>
      </c>
      <c r="B16" s="4" t="s">
        <v>20</v>
      </c>
      <c r="C16" s="6"/>
      <c r="D16" s="4" t="s">
        <v>21</v>
      </c>
      <c r="E16" s="6"/>
      <c r="F16" s="4">
        <v>202530728</v>
      </c>
      <c r="G16">
        <f>IF(htfxasint!K16="","",htfxasint!K16)</f>
        <v>0</v>
      </c>
      <c r="I16">
        <v>11</v>
      </c>
      <c r="J16">
        <v>202430602</v>
      </c>
      <c r="K16" t="s">
        <v>143</v>
      </c>
      <c r="L16">
        <f t="shared" si="0"/>
        <v>0</v>
      </c>
    </row>
    <row r="17" spans="1:12" ht="12.5" customHeight="1" x14ac:dyDescent="0.25">
      <c r="A17" s="3">
        <v>3</v>
      </c>
      <c r="B17" s="4" t="s">
        <v>24</v>
      </c>
      <c r="C17" s="6"/>
      <c r="D17" s="4" t="s">
        <v>25</v>
      </c>
      <c r="E17" s="6"/>
      <c r="F17" s="4">
        <v>202531843</v>
      </c>
      <c r="G17">
        <f>IF(htfxasint!K17="","",htfxasint!K17)</f>
        <v>0</v>
      </c>
      <c r="I17">
        <v>12</v>
      </c>
      <c r="J17">
        <v>202430633</v>
      </c>
      <c r="K17" t="s">
        <v>144</v>
      </c>
      <c r="L17">
        <f t="shared" si="0"/>
        <v>0</v>
      </c>
    </row>
    <row r="18" spans="1:12" ht="12.5" customHeight="1" x14ac:dyDescent="0.25">
      <c r="A18" s="3">
        <v>4</v>
      </c>
      <c r="B18" s="4" t="s">
        <v>206</v>
      </c>
      <c r="C18" s="6"/>
      <c r="D18" s="4" t="s">
        <v>207</v>
      </c>
      <c r="E18" s="6"/>
      <c r="F18" s="4">
        <v>202530673</v>
      </c>
      <c r="G18">
        <f>IF(htfxasint!K18="","",htfxasint!K18)</f>
        <v>0</v>
      </c>
      <c r="I18">
        <v>13</v>
      </c>
      <c r="J18">
        <v>202430645</v>
      </c>
      <c r="K18" t="s">
        <v>145</v>
      </c>
      <c r="L18">
        <f t="shared" si="0"/>
        <v>0</v>
      </c>
    </row>
    <row r="19" spans="1:12" ht="12.5" customHeight="1" x14ac:dyDescent="0.25">
      <c r="A19" s="1"/>
      <c r="B19" s="1"/>
      <c r="C19" s="1"/>
      <c r="D19" s="1"/>
      <c r="E19" s="1"/>
      <c r="F19" s="1"/>
      <c r="G19" t="str">
        <f>IF(htfxasint!K19="","",htfxasint!K19)</f>
        <v/>
      </c>
      <c r="I19">
        <v>14</v>
      </c>
      <c r="J19">
        <v>202430733</v>
      </c>
      <c r="K19" t="s">
        <v>146</v>
      </c>
      <c r="L19">
        <f t="shared" si="0"/>
        <v>0</v>
      </c>
    </row>
    <row r="20" spans="1:12" ht="12.5" customHeight="1" x14ac:dyDescent="0.25">
      <c r="A20" s="1"/>
      <c r="B20" s="1"/>
      <c r="C20" s="1"/>
      <c r="D20" s="1"/>
      <c r="E20" s="1"/>
      <c r="F20" s="1"/>
      <c r="G20" t="str">
        <f>IF(htfxasint!K20="","",htfxasint!K20)</f>
        <v/>
      </c>
      <c r="I20">
        <v>15</v>
      </c>
      <c r="J20">
        <v>202430804</v>
      </c>
      <c r="K20" t="s">
        <v>147</v>
      </c>
      <c r="L20">
        <f t="shared" si="0"/>
        <v>0</v>
      </c>
    </row>
    <row r="21" spans="1:12" ht="12.5" customHeight="1" x14ac:dyDescent="0.45">
      <c r="A21" s="29" t="s">
        <v>30</v>
      </c>
      <c r="B21" s="29"/>
      <c r="C21" s="29"/>
      <c r="D21" s="29"/>
      <c r="E21" s="29"/>
      <c r="F21" s="15"/>
      <c r="G21" t="str">
        <f>IF(htfxasint!K21="","",htfxasint!K21)</f>
        <v/>
      </c>
      <c r="I21">
        <v>16</v>
      </c>
      <c r="J21">
        <v>202430829</v>
      </c>
      <c r="K21" t="s">
        <v>148</v>
      </c>
      <c r="L21">
        <f t="shared" si="0"/>
        <v>0</v>
      </c>
    </row>
    <row r="22" spans="1:12" ht="12.5" customHeight="1" x14ac:dyDescent="0.45">
      <c r="A22" s="30"/>
      <c r="B22" s="30"/>
      <c r="C22" s="30"/>
      <c r="D22" s="30"/>
      <c r="E22" s="30"/>
      <c r="F22" s="16"/>
      <c r="G22" t="str">
        <f>IF(htfxasint!K22="","",htfxasint!K22)</f>
        <v/>
      </c>
      <c r="I22">
        <v>17</v>
      </c>
      <c r="J22">
        <v>202431169</v>
      </c>
      <c r="K22" t="s">
        <v>149</v>
      </c>
      <c r="L22">
        <f t="shared" si="0"/>
        <v>0</v>
      </c>
    </row>
    <row r="23" spans="1:12" ht="13" x14ac:dyDescent="0.3">
      <c r="A23" s="2" t="s">
        <v>2</v>
      </c>
      <c r="B23" s="17" t="s">
        <v>3</v>
      </c>
      <c r="C23" s="18"/>
      <c r="D23" s="17" t="s">
        <v>4</v>
      </c>
      <c r="E23" s="18"/>
      <c r="F23" s="17" t="s">
        <v>5</v>
      </c>
      <c r="G23" t="str">
        <f>IF(htfxasint!K23="","",htfxasint!K23)</f>
        <v/>
      </c>
      <c r="I23">
        <v>18</v>
      </c>
      <c r="J23">
        <v>202431502</v>
      </c>
      <c r="K23" t="s">
        <v>150</v>
      </c>
      <c r="L23">
        <f t="shared" si="0"/>
        <v>0</v>
      </c>
    </row>
    <row r="24" spans="1:12" ht="12.5" customHeight="1" x14ac:dyDescent="0.25">
      <c r="A24" s="3">
        <v>1</v>
      </c>
      <c r="B24" s="4" t="s">
        <v>32</v>
      </c>
      <c r="C24" s="6"/>
      <c r="D24" s="4" t="s">
        <v>33</v>
      </c>
      <c r="E24" s="6"/>
      <c r="F24" s="4">
        <v>202430589</v>
      </c>
      <c r="G24">
        <f>IF(htfxasint!K24="","",htfxasint!K24)</f>
        <v>0</v>
      </c>
      <c r="I24">
        <v>19</v>
      </c>
      <c r="J24">
        <v>202431726</v>
      </c>
      <c r="K24" t="s">
        <v>151</v>
      </c>
      <c r="L24">
        <f t="shared" si="0"/>
        <v>0</v>
      </c>
    </row>
    <row r="25" spans="1:12" ht="12.5" customHeight="1" x14ac:dyDescent="0.25">
      <c r="A25" s="3">
        <v>2</v>
      </c>
      <c r="B25" s="4" t="s">
        <v>36</v>
      </c>
      <c r="C25" s="6"/>
      <c r="D25" s="4" t="s">
        <v>37</v>
      </c>
      <c r="E25" s="6"/>
      <c r="F25" s="4">
        <v>202531611</v>
      </c>
      <c r="G25">
        <f>IF(htfxasint!K25="","",htfxasint!K25)</f>
        <v>0</v>
      </c>
      <c r="I25">
        <v>20</v>
      </c>
      <c r="J25">
        <v>202431817</v>
      </c>
      <c r="K25" t="s">
        <v>152</v>
      </c>
      <c r="L25">
        <f t="shared" si="0"/>
        <v>0</v>
      </c>
    </row>
    <row r="26" spans="1:12" ht="12.5" customHeight="1" x14ac:dyDescent="0.25">
      <c r="A26" s="3">
        <v>3</v>
      </c>
      <c r="B26" s="4" t="s">
        <v>40</v>
      </c>
      <c r="C26" s="6"/>
      <c r="D26" s="4" t="s">
        <v>41</v>
      </c>
      <c r="E26" s="6"/>
      <c r="F26" s="4">
        <v>202531219</v>
      </c>
      <c r="G26">
        <f>IF(htfxasint!K26="","",htfxasint!K26)</f>
        <v>0</v>
      </c>
      <c r="I26">
        <v>21</v>
      </c>
      <c r="J26">
        <v>202431819</v>
      </c>
      <c r="K26" t="s">
        <v>153</v>
      </c>
      <c r="L26">
        <f t="shared" si="0"/>
        <v>0</v>
      </c>
    </row>
    <row r="27" spans="1:12" ht="12.5" customHeight="1" x14ac:dyDescent="0.25">
      <c r="A27" s="3">
        <v>4</v>
      </c>
      <c r="B27" s="4" t="s">
        <v>44</v>
      </c>
      <c r="C27" s="6"/>
      <c r="D27" s="4" t="s">
        <v>45</v>
      </c>
      <c r="E27" s="6"/>
      <c r="F27" s="4">
        <v>202530315</v>
      </c>
      <c r="G27">
        <f>IF(htfxasint!K27="","",htfxasint!K27)</f>
        <v>0</v>
      </c>
      <c r="I27">
        <v>22</v>
      </c>
      <c r="J27">
        <v>202431863</v>
      </c>
      <c r="K27" t="s">
        <v>154</v>
      </c>
      <c r="L27">
        <f t="shared" si="0"/>
        <v>0</v>
      </c>
    </row>
    <row r="28" spans="1:12" ht="12.5" customHeight="1" x14ac:dyDescent="0.25">
      <c r="A28" s="1"/>
      <c r="B28" s="1"/>
      <c r="C28" s="1"/>
      <c r="D28" s="1"/>
      <c r="E28" s="1"/>
      <c r="F28" s="1"/>
      <c r="G28" t="str">
        <f>IF(htfxasint!K28="","",htfxasint!K28)</f>
        <v/>
      </c>
      <c r="I28">
        <v>23</v>
      </c>
      <c r="J28">
        <v>202432080</v>
      </c>
      <c r="K28" t="s">
        <v>155</v>
      </c>
      <c r="L28">
        <f t="shared" si="0"/>
        <v>0</v>
      </c>
    </row>
    <row r="29" spans="1:12" ht="12.5" customHeight="1" x14ac:dyDescent="0.25">
      <c r="A29" s="1"/>
      <c r="B29" s="1"/>
      <c r="C29" s="1"/>
      <c r="D29" s="1"/>
      <c r="E29" s="1"/>
      <c r="F29" s="1"/>
      <c r="G29" t="str">
        <f>IF(htfxasint!K29="","",htfxasint!K29)</f>
        <v/>
      </c>
      <c r="I29">
        <v>24</v>
      </c>
      <c r="J29">
        <v>202432085</v>
      </c>
      <c r="K29" t="s">
        <v>156</v>
      </c>
      <c r="L29">
        <f t="shared" si="0"/>
        <v>0</v>
      </c>
    </row>
    <row r="30" spans="1:12" ht="12.5" customHeight="1" x14ac:dyDescent="0.45">
      <c r="A30" s="29" t="s">
        <v>46</v>
      </c>
      <c r="B30" s="29"/>
      <c r="C30" s="29"/>
      <c r="D30" s="29"/>
      <c r="E30" s="29"/>
      <c r="F30" s="15"/>
      <c r="G30" t="str">
        <f>IF(htfxasint!K30="","",htfxasint!K30)</f>
        <v/>
      </c>
      <c r="I30">
        <v>25</v>
      </c>
      <c r="J30">
        <v>202432137</v>
      </c>
      <c r="K30" t="s">
        <v>157</v>
      </c>
      <c r="L30">
        <f t="shared" si="0"/>
        <v>0</v>
      </c>
    </row>
    <row r="31" spans="1:12" ht="12.5" customHeight="1" x14ac:dyDescent="0.45">
      <c r="A31" s="30"/>
      <c r="B31" s="30"/>
      <c r="C31" s="30"/>
      <c r="D31" s="30"/>
      <c r="E31" s="30"/>
      <c r="F31" s="16"/>
      <c r="G31" t="str">
        <f>IF(htfxasint!K31="","",htfxasint!K31)</f>
        <v xml:space="preserve">Punteo a Estudiantes </v>
      </c>
      <c r="I31">
        <v>26</v>
      </c>
      <c r="J31">
        <v>202530125</v>
      </c>
      <c r="K31" t="s">
        <v>158</v>
      </c>
      <c r="L31">
        <f t="shared" si="0"/>
        <v>0</v>
      </c>
    </row>
    <row r="32" spans="1:12" ht="13" x14ac:dyDescent="0.3">
      <c r="A32" s="2" t="s">
        <v>2</v>
      </c>
      <c r="B32" s="17" t="s">
        <v>3</v>
      </c>
      <c r="C32" s="18"/>
      <c r="D32" s="17" t="s">
        <v>4</v>
      </c>
      <c r="E32" s="18"/>
      <c r="F32" s="17" t="s">
        <v>5</v>
      </c>
      <c r="G32" t="str">
        <f>IF(htfxasint!K32="","",htfxasint!K32)</f>
        <v/>
      </c>
      <c r="I32">
        <v>27</v>
      </c>
      <c r="J32">
        <v>202530235</v>
      </c>
      <c r="K32" t="s">
        <v>159</v>
      </c>
      <c r="L32">
        <f t="shared" si="0"/>
        <v>0</v>
      </c>
    </row>
    <row r="33" spans="1:12" ht="12.5" customHeight="1" x14ac:dyDescent="0.25">
      <c r="A33" s="3">
        <v>1</v>
      </c>
      <c r="B33" s="4" t="s">
        <v>48</v>
      </c>
      <c r="C33" s="6"/>
      <c r="D33" s="4" t="s">
        <v>49</v>
      </c>
      <c r="E33" s="6"/>
      <c r="F33" s="4">
        <v>202431169</v>
      </c>
      <c r="G33">
        <f>IF(htfxasint!K33="","",htfxasint!K33)</f>
        <v>0</v>
      </c>
      <c r="I33">
        <v>28</v>
      </c>
      <c r="J33">
        <v>202530265</v>
      </c>
      <c r="K33" t="s">
        <v>160</v>
      </c>
      <c r="L33">
        <f t="shared" si="0"/>
        <v>0</v>
      </c>
    </row>
    <row r="34" spans="1:12" ht="12.5" customHeight="1" x14ac:dyDescent="0.25">
      <c r="A34" s="3">
        <v>2</v>
      </c>
      <c r="B34" s="4" t="s">
        <v>52</v>
      </c>
      <c r="C34" s="6"/>
      <c r="D34" s="4" t="s">
        <v>53</v>
      </c>
      <c r="E34" s="6"/>
      <c r="F34" s="4">
        <v>202431817</v>
      </c>
      <c r="G34">
        <f>IF(htfxasint!K34="","",htfxasint!K34)</f>
        <v>0</v>
      </c>
      <c r="I34">
        <v>29</v>
      </c>
      <c r="J34">
        <v>202530315</v>
      </c>
      <c r="K34" t="s">
        <v>161</v>
      </c>
      <c r="L34">
        <f t="shared" si="0"/>
        <v>0</v>
      </c>
    </row>
    <row r="35" spans="1:12" ht="12.5" customHeight="1" x14ac:dyDescent="0.25">
      <c r="A35" s="3">
        <v>3</v>
      </c>
      <c r="B35" s="4" t="s">
        <v>56</v>
      </c>
      <c r="C35" s="6"/>
      <c r="D35" s="4" t="s">
        <v>57</v>
      </c>
      <c r="E35" s="6"/>
      <c r="F35" s="4">
        <v>202430733</v>
      </c>
      <c r="G35">
        <f>IF(htfxasint!K35="","",htfxasint!K35)</f>
        <v>0</v>
      </c>
      <c r="I35">
        <v>30</v>
      </c>
      <c r="J35">
        <v>202530329</v>
      </c>
      <c r="K35" t="s">
        <v>162</v>
      </c>
      <c r="L35">
        <f t="shared" si="0"/>
        <v>0</v>
      </c>
    </row>
    <row r="36" spans="1:12" ht="12.5" customHeight="1" x14ac:dyDescent="0.25">
      <c r="A36" s="5">
        <v>4</v>
      </c>
      <c r="B36" s="4" t="s">
        <v>60</v>
      </c>
      <c r="C36" s="6"/>
      <c r="D36" s="4" t="s">
        <v>61</v>
      </c>
      <c r="E36" s="6"/>
      <c r="F36" s="13">
        <v>202430633</v>
      </c>
      <c r="G36">
        <f>IF(htfxasint!K36="","",htfxasint!K36)</f>
        <v>0</v>
      </c>
      <c r="I36">
        <v>31</v>
      </c>
      <c r="J36">
        <v>202530349</v>
      </c>
      <c r="K36" t="s">
        <v>163</v>
      </c>
      <c r="L36">
        <f t="shared" si="0"/>
        <v>0</v>
      </c>
    </row>
    <row r="37" spans="1:12" ht="12.5" customHeight="1" x14ac:dyDescent="0.25">
      <c r="A37" s="1"/>
      <c r="B37" s="1"/>
      <c r="C37" s="1"/>
      <c r="D37" s="1"/>
      <c r="E37" s="1"/>
      <c r="G37" t="str">
        <f>IF(htfxasint!K37="","",htfxasint!K37)</f>
        <v/>
      </c>
      <c r="I37">
        <v>32</v>
      </c>
      <c r="J37">
        <v>202530357</v>
      </c>
      <c r="K37" t="s">
        <v>164</v>
      </c>
      <c r="L37">
        <f t="shared" si="0"/>
        <v>0</v>
      </c>
    </row>
    <row r="38" spans="1:12" ht="12.5" customHeight="1" x14ac:dyDescent="0.25">
      <c r="A38" s="1"/>
      <c r="B38" s="1"/>
      <c r="C38" s="1"/>
      <c r="D38" s="1"/>
      <c r="E38" s="1"/>
      <c r="F38" s="1"/>
      <c r="G38" t="str">
        <f>IF(htfxasint!K38="","",htfxasint!K38)</f>
        <v/>
      </c>
      <c r="I38">
        <v>33</v>
      </c>
      <c r="J38">
        <v>202530381</v>
      </c>
      <c r="K38" t="s">
        <v>165</v>
      </c>
      <c r="L38">
        <f t="shared" si="0"/>
        <v>0</v>
      </c>
    </row>
    <row r="39" spans="1:12" ht="12.5" customHeight="1" x14ac:dyDescent="0.45">
      <c r="A39" s="29" t="s">
        <v>64</v>
      </c>
      <c r="B39" s="29"/>
      <c r="C39" s="29"/>
      <c r="D39" s="29"/>
      <c r="E39" s="29"/>
      <c r="F39" s="15"/>
      <c r="G39" t="str">
        <f>IF(htfxasint!K39="","",htfxasint!K39)</f>
        <v/>
      </c>
      <c r="I39">
        <v>34</v>
      </c>
      <c r="J39">
        <v>202530434</v>
      </c>
      <c r="K39" t="s">
        <v>166</v>
      </c>
      <c r="L39">
        <f t="shared" si="0"/>
        <v>0</v>
      </c>
    </row>
    <row r="40" spans="1:12" ht="12.5" customHeight="1" x14ac:dyDescent="0.45">
      <c r="A40" s="30"/>
      <c r="B40" s="30"/>
      <c r="C40" s="30"/>
      <c r="D40" s="30"/>
      <c r="E40" s="30"/>
      <c r="F40" s="16"/>
      <c r="G40" t="str">
        <f>IF(htfxasint!K40="","",htfxasint!K40)</f>
        <v xml:space="preserve">Punteo a Estudiantes </v>
      </c>
      <c r="I40">
        <v>35</v>
      </c>
      <c r="J40">
        <v>202530446</v>
      </c>
      <c r="K40" t="s">
        <v>167</v>
      </c>
      <c r="L40">
        <f t="shared" si="0"/>
        <v>0</v>
      </c>
    </row>
    <row r="41" spans="1:12" ht="13" x14ac:dyDescent="0.3">
      <c r="A41" s="2" t="s">
        <v>2</v>
      </c>
      <c r="B41" s="17" t="s">
        <v>3</v>
      </c>
      <c r="C41" s="18"/>
      <c r="D41" s="17" t="s">
        <v>4</v>
      </c>
      <c r="E41" s="18"/>
      <c r="F41" s="17" t="s">
        <v>5</v>
      </c>
      <c r="G41" t="str">
        <f>IF(htfxasint!K41="","",htfxasint!K41)</f>
        <v/>
      </c>
      <c r="I41">
        <v>36</v>
      </c>
      <c r="J41">
        <v>202530522</v>
      </c>
      <c r="K41" t="s">
        <v>168</v>
      </c>
      <c r="L41">
        <f t="shared" si="0"/>
        <v>0</v>
      </c>
    </row>
    <row r="42" spans="1:12" ht="12.5" customHeight="1" x14ac:dyDescent="0.25">
      <c r="A42" s="3">
        <v>1</v>
      </c>
      <c r="B42" s="4" t="s">
        <v>66</v>
      </c>
      <c r="C42" s="6"/>
      <c r="D42" s="4" t="s">
        <v>67</v>
      </c>
      <c r="E42" s="6"/>
      <c r="F42" s="4">
        <v>202530446</v>
      </c>
      <c r="G42">
        <f>IF(htfxasint!K42="","",htfxasint!K42)</f>
        <v>0</v>
      </c>
      <c r="I42">
        <v>37</v>
      </c>
      <c r="J42">
        <v>202530613</v>
      </c>
      <c r="K42" t="s">
        <v>169</v>
      </c>
      <c r="L42">
        <f t="shared" si="0"/>
        <v>0</v>
      </c>
    </row>
    <row r="43" spans="1:12" ht="12.5" customHeight="1" x14ac:dyDescent="0.25">
      <c r="A43" s="3">
        <v>2</v>
      </c>
      <c r="B43" s="4" t="s">
        <v>70</v>
      </c>
      <c r="C43" s="6"/>
      <c r="D43" s="4" t="s">
        <v>71</v>
      </c>
      <c r="E43" s="6"/>
      <c r="F43" s="4">
        <v>202032032</v>
      </c>
      <c r="G43">
        <f>IF(htfxasint!K43="","",htfxasint!K43)</f>
        <v>0</v>
      </c>
      <c r="I43">
        <v>38</v>
      </c>
      <c r="J43">
        <v>202530621</v>
      </c>
      <c r="K43" t="s">
        <v>170</v>
      </c>
      <c r="L43">
        <f t="shared" si="0"/>
        <v>0</v>
      </c>
    </row>
    <row r="44" spans="1:12" ht="12.5" customHeight="1" x14ac:dyDescent="0.25">
      <c r="A44" s="3">
        <v>3</v>
      </c>
      <c r="B44" s="4" t="s">
        <v>74</v>
      </c>
      <c r="C44" s="6"/>
      <c r="D44" s="4" t="s">
        <v>75</v>
      </c>
      <c r="E44" s="6"/>
      <c r="F44" s="4">
        <v>202531089</v>
      </c>
      <c r="G44">
        <f>IF(htfxasint!K44="","",htfxasint!K44)</f>
        <v>0</v>
      </c>
      <c r="I44">
        <v>39</v>
      </c>
      <c r="J44">
        <v>202530673</v>
      </c>
      <c r="K44" t="s">
        <v>171</v>
      </c>
      <c r="L44">
        <f t="shared" si="0"/>
        <v>0</v>
      </c>
    </row>
    <row r="45" spans="1:12" ht="12.5" customHeight="1" x14ac:dyDescent="0.25">
      <c r="A45" s="3">
        <v>4</v>
      </c>
      <c r="B45" s="4" t="s">
        <v>78</v>
      </c>
      <c r="C45" s="6"/>
      <c r="D45" s="4" t="s">
        <v>79</v>
      </c>
      <c r="E45" s="6"/>
      <c r="F45" s="4">
        <v>202530866</v>
      </c>
      <c r="G45">
        <f>IF(htfxasint!K45="","",htfxasint!K45)</f>
        <v>0</v>
      </c>
      <c r="I45">
        <v>40</v>
      </c>
      <c r="J45">
        <v>202530674</v>
      </c>
      <c r="K45" t="s">
        <v>172</v>
      </c>
      <c r="L45">
        <f t="shared" si="0"/>
        <v>0</v>
      </c>
    </row>
    <row r="46" spans="1:12" ht="12.5" customHeight="1" x14ac:dyDescent="0.25">
      <c r="A46" s="1"/>
      <c r="B46" s="1"/>
      <c r="C46" s="1"/>
      <c r="D46" s="1"/>
      <c r="E46" s="1"/>
      <c r="F46" s="1"/>
      <c r="G46" t="str">
        <f>IF(htfxasint!K46="","",htfxasint!K46)</f>
        <v/>
      </c>
      <c r="I46">
        <v>41</v>
      </c>
      <c r="J46">
        <v>202530677</v>
      </c>
      <c r="K46" t="s">
        <v>173</v>
      </c>
      <c r="L46">
        <f t="shared" si="0"/>
        <v>0</v>
      </c>
    </row>
    <row r="47" spans="1:12" ht="12.5" customHeight="1" x14ac:dyDescent="0.25">
      <c r="A47" s="1"/>
      <c r="B47" s="1"/>
      <c r="C47" s="1"/>
      <c r="D47" s="1"/>
      <c r="E47" s="1"/>
      <c r="F47" s="1"/>
      <c r="G47" t="str">
        <f>IF(htfxasint!K47="","",htfxasint!K47)</f>
        <v/>
      </c>
      <c r="I47">
        <v>42</v>
      </c>
      <c r="J47">
        <v>202530728</v>
      </c>
      <c r="K47" t="s">
        <v>174</v>
      </c>
      <c r="L47">
        <f t="shared" si="0"/>
        <v>0</v>
      </c>
    </row>
    <row r="48" spans="1:12" ht="12.5" customHeight="1" x14ac:dyDescent="0.45">
      <c r="A48" s="29" t="s">
        <v>80</v>
      </c>
      <c r="B48" s="29"/>
      <c r="C48" s="29"/>
      <c r="D48" s="29"/>
      <c r="E48" s="29"/>
      <c r="F48" s="15"/>
      <c r="G48" t="str">
        <f>IF(htfxasint!K48="","",htfxasint!K48)</f>
        <v/>
      </c>
      <c r="I48">
        <v>43</v>
      </c>
      <c r="J48">
        <v>202530843</v>
      </c>
      <c r="K48" t="s">
        <v>175</v>
      </c>
      <c r="L48">
        <f t="shared" si="0"/>
        <v>0</v>
      </c>
    </row>
    <row r="49" spans="1:12" ht="12.5" customHeight="1" x14ac:dyDescent="0.45">
      <c r="A49" s="30"/>
      <c r="B49" s="30"/>
      <c r="C49" s="30"/>
      <c r="D49" s="30"/>
      <c r="E49" s="30"/>
      <c r="F49" s="16"/>
      <c r="G49" t="str">
        <f>IF(htfxasint!K49="","",htfxasint!K49)</f>
        <v xml:space="preserve">Punteo a Estudiantes </v>
      </c>
      <c r="I49">
        <v>44</v>
      </c>
      <c r="J49">
        <v>202530866</v>
      </c>
      <c r="K49" t="s">
        <v>176</v>
      </c>
      <c r="L49">
        <f t="shared" si="0"/>
        <v>0</v>
      </c>
    </row>
    <row r="50" spans="1:12" ht="13" x14ac:dyDescent="0.3">
      <c r="A50" s="2" t="s">
        <v>2</v>
      </c>
      <c r="B50" s="17" t="s">
        <v>3</v>
      </c>
      <c r="C50" s="18"/>
      <c r="D50" s="17" t="s">
        <v>4</v>
      </c>
      <c r="E50" s="18"/>
      <c r="F50" s="17" t="s">
        <v>5</v>
      </c>
      <c r="G50" t="str">
        <f>IF(htfxasint!K50="","",htfxasint!K50)</f>
        <v/>
      </c>
      <c r="I50">
        <v>45</v>
      </c>
      <c r="J50">
        <v>202530917</v>
      </c>
      <c r="K50" t="s">
        <v>177</v>
      </c>
      <c r="L50">
        <f t="shared" si="0"/>
        <v>0</v>
      </c>
    </row>
    <row r="51" spans="1:12" ht="12.5" customHeight="1" x14ac:dyDescent="0.25">
      <c r="A51" s="3">
        <v>1</v>
      </c>
      <c r="B51" s="4" t="s">
        <v>82</v>
      </c>
      <c r="C51" s="6"/>
      <c r="D51" s="4" t="s">
        <v>83</v>
      </c>
      <c r="E51" s="6"/>
      <c r="F51" s="4">
        <v>202530917</v>
      </c>
      <c r="G51">
        <f>IF(htfxasint!K51="","",htfxasint!K51)</f>
        <v>0</v>
      </c>
      <c r="I51">
        <v>46</v>
      </c>
      <c r="J51">
        <v>202531013</v>
      </c>
      <c r="K51" t="s">
        <v>178</v>
      </c>
      <c r="L51">
        <f t="shared" si="0"/>
        <v>0</v>
      </c>
    </row>
    <row r="52" spans="1:12" ht="12.5" customHeight="1" x14ac:dyDescent="0.25">
      <c r="A52" s="3">
        <v>2</v>
      </c>
      <c r="B52" s="4" t="s">
        <v>84</v>
      </c>
      <c r="C52" s="6"/>
      <c r="D52" s="4" t="s">
        <v>85</v>
      </c>
      <c r="E52" s="6"/>
      <c r="F52" s="4">
        <v>202531319</v>
      </c>
      <c r="G52">
        <f>IF(htfxasint!K52="","",htfxasint!K52)</f>
        <v>0</v>
      </c>
      <c r="I52">
        <v>47</v>
      </c>
      <c r="J52">
        <v>202531019</v>
      </c>
      <c r="K52" t="s">
        <v>179</v>
      </c>
      <c r="L52">
        <f t="shared" si="0"/>
        <v>0</v>
      </c>
    </row>
    <row r="53" spans="1:12" ht="12.5" customHeight="1" x14ac:dyDescent="0.25">
      <c r="A53" s="3">
        <v>3</v>
      </c>
      <c r="B53" s="4" t="s">
        <v>86</v>
      </c>
      <c r="C53" s="6"/>
      <c r="D53" s="4" t="s">
        <v>87</v>
      </c>
      <c r="E53" s="6"/>
      <c r="F53" s="4">
        <v>202532062</v>
      </c>
      <c r="G53">
        <f>IF(htfxasint!K53="","",htfxasint!K53)</f>
        <v>0</v>
      </c>
      <c r="I53">
        <v>48</v>
      </c>
      <c r="J53">
        <v>202531089</v>
      </c>
      <c r="K53" t="s">
        <v>180</v>
      </c>
      <c r="L53">
        <f t="shared" si="0"/>
        <v>0</v>
      </c>
    </row>
    <row r="54" spans="1:12" ht="12.5" customHeight="1" x14ac:dyDescent="0.25">
      <c r="A54" s="5">
        <v>4</v>
      </c>
      <c r="B54" s="4" t="s">
        <v>88</v>
      </c>
      <c r="C54" s="6"/>
      <c r="D54" s="4" t="s">
        <v>89</v>
      </c>
      <c r="E54" s="6"/>
      <c r="F54" s="4">
        <v>202531013</v>
      </c>
      <c r="G54">
        <f>IF(htfxasint!K54="","",htfxasint!K54)</f>
        <v>0</v>
      </c>
      <c r="I54">
        <v>49</v>
      </c>
      <c r="J54">
        <v>202531127</v>
      </c>
      <c r="K54" t="s">
        <v>181</v>
      </c>
      <c r="L54">
        <f t="shared" si="0"/>
        <v>0</v>
      </c>
    </row>
    <row r="55" spans="1:12" ht="12.5" customHeight="1" x14ac:dyDescent="0.25">
      <c r="A55" s="1"/>
      <c r="B55" s="1"/>
      <c r="C55" s="1"/>
      <c r="D55" s="1"/>
      <c r="E55" s="1"/>
      <c r="F55" s="1"/>
      <c r="G55" t="str">
        <f>IF(htfxasint!K55="","",htfxasint!K55)</f>
        <v/>
      </c>
      <c r="I55">
        <v>50</v>
      </c>
      <c r="J55">
        <v>202531213</v>
      </c>
      <c r="K55" t="s">
        <v>182</v>
      </c>
      <c r="L55">
        <f t="shared" si="0"/>
        <v>0</v>
      </c>
    </row>
    <row r="56" spans="1:12" ht="12.5" customHeight="1" x14ac:dyDescent="0.25">
      <c r="A56" s="1"/>
      <c r="B56" s="1"/>
      <c r="C56" s="1"/>
      <c r="D56" s="1"/>
      <c r="E56" s="1"/>
      <c r="F56" s="1"/>
      <c r="G56" t="str">
        <f>IF(htfxasint!K56="","",htfxasint!K56)</f>
        <v/>
      </c>
      <c r="I56">
        <v>51</v>
      </c>
      <c r="J56">
        <v>202531219</v>
      </c>
      <c r="K56" t="s">
        <v>183</v>
      </c>
      <c r="L56">
        <f t="shared" si="0"/>
        <v>0</v>
      </c>
    </row>
    <row r="57" spans="1:12" ht="12.5" customHeight="1" x14ac:dyDescent="0.45">
      <c r="A57" s="29" t="s">
        <v>90</v>
      </c>
      <c r="B57" s="29"/>
      <c r="C57" s="29"/>
      <c r="D57" s="29"/>
      <c r="E57" s="29"/>
      <c r="F57" s="15"/>
      <c r="G57" t="str">
        <f>IF(htfxasint!K57="","",htfxasint!K57)</f>
        <v/>
      </c>
      <c r="I57">
        <v>52</v>
      </c>
      <c r="J57">
        <v>202531289</v>
      </c>
      <c r="K57" t="s">
        <v>184</v>
      </c>
      <c r="L57">
        <f t="shared" si="0"/>
        <v>0</v>
      </c>
    </row>
    <row r="58" spans="1:12" ht="12.5" customHeight="1" x14ac:dyDescent="0.45">
      <c r="A58" s="30"/>
      <c r="B58" s="30"/>
      <c r="C58" s="30"/>
      <c r="D58" s="30"/>
      <c r="E58" s="30"/>
      <c r="F58" s="16"/>
      <c r="G58" t="str">
        <f>IF(htfxasint!K58="","",htfxasint!K58)</f>
        <v xml:space="preserve">Punteo a Estudiantes </v>
      </c>
      <c r="I58">
        <v>53</v>
      </c>
      <c r="J58">
        <v>202531319</v>
      </c>
      <c r="K58" t="s">
        <v>185</v>
      </c>
      <c r="L58">
        <f t="shared" si="0"/>
        <v>0</v>
      </c>
    </row>
    <row r="59" spans="1:12" ht="13" x14ac:dyDescent="0.3">
      <c r="A59" s="2" t="s">
        <v>2</v>
      </c>
      <c r="B59" s="17" t="s">
        <v>3</v>
      </c>
      <c r="C59" s="18"/>
      <c r="D59" s="17" t="s">
        <v>4</v>
      </c>
      <c r="E59" s="18"/>
      <c r="F59" s="17" t="s">
        <v>5</v>
      </c>
      <c r="G59" t="str">
        <f>IF(htfxasint!K59="","",htfxasint!K59)</f>
        <v/>
      </c>
      <c r="I59">
        <v>54</v>
      </c>
      <c r="J59">
        <v>202531351</v>
      </c>
      <c r="K59" t="s">
        <v>186</v>
      </c>
      <c r="L59">
        <f t="shared" si="0"/>
        <v>0</v>
      </c>
    </row>
    <row r="60" spans="1:12" ht="12.5" customHeight="1" x14ac:dyDescent="0.25">
      <c r="A60" s="3">
        <v>1</v>
      </c>
      <c r="B60" s="4" t="s">
        <v>92</v>
      </c>
      <c r="C60" s="6"/>
      <c r="D60" s="4" t="s">
        <v>93</v>
      </c>
      <c r="E60" s="6"/>
      <c r="F60" s="4">
        <v>202530621</v>
      </c>
      <c r="G60">
        <f>IF(htfxasint!K60="","",htfxasint!K60)</f>
        <v>0</v>
      </c>
      <c r="I60">
        <v>55</v>
      </c>
      <c r="J60">
        <v>202531352</v>
      </c>
      <c r="K60" t="s">
        <v>187</v>
      </c>
      <c r="L60">
        <f t="shared" si="0"/>
        <v>0</v>
      </c>
    </row>
    <row r="61" spans="1:12" ht="12.5" customHeight="1" x14ac:dyDescent="0.25">
      <c r="A61" s="3">
        <v>2</v>
      </c>
      <c r="B61" s="4" t="s">
        <v>94</v>
      </c>
      <c r="C61" s="6"/>
      <c r="D61" s="4" t="s">
        <v>95</v>
      </c>
      <c r="E61" s="6"/>
      <c r="F61" s="4">
        <v>202231116</v>
      </c>
      <c r="G61">
        <f>IF(htfxasint!K61="","",htfxasint!K61)</f>
        <v>0</v>
      </c>
      <c r="I61">
        <v>56</v>
      </c>
      <c r="J61">
        <v>202531384</v>
      </c>
      <c r="K61" t="s">
        <v>188</v>
      </c>
      <c r="L61">
        <f t="shared" si="0"/>
        <v>0</v>
      </c>
    </row>
    <row r="62" spans="1:12" ht="12.5" customHeight="1" x14ac:dyDescent="0.25">
      <c r="A62" s="3">
        <v>3</v>
      </c>
      <c r="B62" s="4" t="s">
        <v>96</v>
      </c>
      <c r="C62" s="6"/>
      <c r="D62" s="4" t="s">
        <v>97</v>
      </c>
      <c r="E62" s="6"/>
      <c r="F62" s="4">
        <v>202430829</v>
      </c>
      <c r="G62">
        <f>IF(htfxasint!K62="","",htfxasint!K62)</f>
        <v>0</v>
      </c>
      <c r="I62">
        <v>57</v>
      </c>
      <c r="J62">
        <v>202531399</v>
      </c>
      <c r="K62" t="s">
        <v>189</v>
      </c>
      <c r="L62">
        <f t="shared" si="0"/>
        <v>0</v>
      </c>
    </row>
    <row r="63" spans="1:12" ht="12.5" customHeight="1" x14ac:dyDescent="0.25">
      <c r="A63" s="3">
        <v>4</v>
      </c>
      <c r="B63" s="4" t="s">
        <v>98</v>
      </c>
      <c r="C63" s="6"/>
      <c r="D63" s="4" t="s">
        <v>99</v>
      </c>
      <c r="E63" s="6"/>
      <c r="F63" s="4">
        <v>202531736</v>
      </c>
      <c r="G63">
        <f>IF(htfxasint!K63="","",htfxasint!K63)</f>
        <v>0</v>
      </c>
      <c r="I63">
        <v>58</v>
      </c>
      <c r="J63">
        <v>202531441</v>
      </c>
      <c r="K63" t="s">
        <v>190</v>
      </c>
      <c r="L63">
        <f t="shared" si="0"/>
        <v>0</v>
      </c>
    </row>
    <row r="64" spans="1:12" ht="12.5" customHeight="1" x14ac:dyDescent="0.25">
      <c r="A64" s="1"/>
      <c r="B64" s="1"/>
      <c r="C64" s="1"/>
      <c r="D64" s="1"/>
      <c r="E64" s="1"/>
      <c r="F64" s="1"/>
      <c r="G64" t="str">
        <f>IF(htfxasint!K64="","",htfxasint!K64)</f>
        <v/>
      </c>
      <c r="I64">
        <v>59</v>
      </c>
      <c r="J64">
        <v>202531444</v>
      </c>
      <c r="K64" t="s">
        <v>191</v>
      </c>
      <c r="L64">
        <f t="shared" si="0"/>
        <v>0</v>
      </c>
    </row>
    <row r="65" spans="1:12" ht="12.5" customHeight="1" x14ac:dyDescent="0.25">
      <c r="A65" s="1"/>
      <c r="B65" s="1"/>
      <c r="C65" s="1"/>
      <c r="D65" s="1"/>
      <c r="E65" s="1"/>
      <c r="F65" s="1"/>
      <c r="G65" t="str">
        <f>IF(htfxasint!K65="","",htfxasint!K65)</f>
        <v/>
      </c>
      <c r="I65">
        <v>60</v>
      </c>
      <c r="J65">
        <v>202531566</v>
      </c>
      <c r="K65" t="s">
        <v>192</v>
      </c>
      <c r="L65">
        <f t="shared" si="0"/>
        <v>0</v>
      </c>
    </row>
    <row r="66" spans="1:12" ht="12.5" customHeight="1" x14ac:dyDescent="0.45">
      <c r="A66" s="29" t="s">
        <v>100</v>
      </c>
      <c r="B66" s="29"/>
      <c r="C66" s="29"/>
      <c r="D66" s="29"/>
      <c r="E66" s="29"/>
      <c r="F66" s="15"/>
      <c r="G66" t="str">
        <f>IF(htfxasint!K66="","",htfxasint!K66)</f>
        <v/>
      </c>
      <c r="I66">
        <v>61</v>
      </c>
      <c r="J66">
        <v>202531611</v>
      </c>
      <c r="K66" t="s">
        <v>193</v>
      </c>
      <c r="L66">
        <f t="shared" si="0"/>
        <v>0</v>
      </c>
    </row>
    <row r="67" spans="1:12" ht="12.5" customHeight="1" x14ac:dyDescent="0.45">
      <c r="A67" s="30"/>
      <c r="B67" s="30"/>
      <c r="C67" s="30"/>
      <c r="D67" s="30"/>
      <c r="E67" s="30"/>
      <c r="F67" s="16"/>
      <c r="G67" t="str">
        <f>IF(htfxasint!K67="","",htfxasint!K67)</f>
        <v xml:space="preserve">Punteo a Estudiantes </v>
      </c>
      <c r="I67">
        <v>62</v>
      </c>
      <c r="J67">
        <v>202531645</v>
      </c>
      <c r="K67" t="s">
        <v>194</v>
      </c>
      <c r="L67">
        <f t="shared" si="0"/>
        <v>0</v>
      </c>
    </row>
    <row r="68" spans="1:12" ht="13" x14ac:dyDescent="0.3">
      <c r="A68" s="2" t="s">
        <v>2</v>
      </c>
      <c r="B68" s="17" t="s">
        <v>3</v>
      </c>
      <c r="C68" s="18"/>
      <c r="D68" s="17" t="s">
        <v>4</v>
      </c>
      <c r="E68" s="18"/>
      <c r="F68" s="17" t="s">
        <v>5</v>
      </c>
      <c r="G68" t="str">
        <f>IF(htfxasint!K68="","",htfxasint!K68)</f>
        <v/>
      </c>
      <c r="I68">
        <v>63</v>
      </c>
      <c r="J68">
        <v>202531663</v>
      </c>
      <c r="K68" t="s">
        <v>195</v>
      </c>
      <c r="L68">
        <f t="shared" si="0"/>
        <v>0</v>
      </c>
    </row>
    <row r="69" spans="1:12" ht="12.5" customHeight="1" x14ac:dyDescent="0.25">
      <c r="A69" s="3">
        <v>1</v>
      </c>
      <c r="B69" s="4" t="s">
        <v>102</v>
      </c>
      <c r="C69" s="6"/>
      <c r="D69" s="4" t="s">
        <v>103</v>
      </c>
      <c r="E69" s="6"/>
      <c r="F69" s="4">
        <v>202431819</v>
      </c>
      <c r="G69">
        <f>IF(htfxasint!K69="","",htfxasint!K69)</f>
        <v>0</v>
      </c>
      <c r="I69">
        <v>64</v>
      </c>
      <c r="J69">
        <v>202531724</v>
      </c>
      <c r="K69" t="s">
        <v>196</v>
      </c>
      <c r="L69">
        <f t="shared" si="0"/>
        <v>0</v>
      </c>
    </row>
    <row r="70" spans="1:12" ht="12.5" customHeight="1" x14ac:dyDescent="0.25">
      <c r="A70" s="3">
        <v>2</v>
      </c>
      <c r="B70" s="4" t="s">
        <v>104</v>
      </c>
      <c r="C70" s="6"/>
      <c r="D70" s="4" t="s">
        <v>105</v>
      </c>
      <c r="E70" s="6"/>
      <c r="F70" s="4">
        <v>202530674</v>
      </c>
      <c r="G70">
        <f>IF(htfxasint!K70="","",htfxasint!K70)</f>
        <v>0</v>
      </c>
      <c r="I70">
        <v>65</v>
      </c>
      <c r="J70">
        <v>202531736</v>
      </c>
      <c r="K70" t="s">
        <v>197</v>
      </c>
      <c r="L70">
        <f t="shared" si="0"/>
        <v>0</v>
      </c>
    </row>
    <row r="71" spans="1:12" ht="12.5" customHeight="1" x14ac:dyDescent="0.25">
      <c r="A71" s="3">
        <v>3</v>
      </c>
      <c r="B71" s="4" t="s">
        <v>106</v>
      </c>
      <c r="C71" s="6"/>
      <c r="D71" s="4" t="s">
        <v>107</v>
      </c>
      <c r="E71" s="6"/>
      <c r="F71" s="4">
        <v>202430271</v>
      </c>
      <c r="G71">
        <f>IF(htfxasint!K71="","",htfxasint!K71)</f>
        <v>0</v>
      </c>
      <c r="I71">
        <v>66</v>
      </c>
      <c r="J71">
        <v>202531778</v>
      </c>
      <c r="K71" t="s">
        <v>198</v>
      </c>
      <c r="L71">
        <f t="shared" ref="L71:L78" si="1">IFERROR(VLOOKUP(J71,$F$6:$G$1000,2,FALSE),0)</f>
        <v>0</v>
      </c>
    </row>
    <row r="72" spans="1:12" ht="12.5" customHeight="1" x14ac:dyDescent="0.25">
      <c r="A72" s="3">
        <v>4</v>
      </c>
      <c r="B72" s="4" t="s">
        <v>108</v>
      </c>
      <c r="C72" s="6"/>
      <c r="D72" s="4" t="s">
        <v>109</v>
      </c>
      <c r="E72" s="6"/>
      <c r="F72" s="4">
        <v>202530329</v>
      </c>
      <c r="G72">
        <f>IF(htfxasint!K72="","",htfxasint!K72)</f>
        <v>0</v>
      </c>
      <c r="I72">
        <v>67</v>
      </c>
      <c r="J72">
        <v>202531844</v>
      </c>
      <c r="K72" t="s">
        <v>199</v>
      </c>
      <c r="L72">
        <f t="shared" si="1"/>
        <v>0</v>
      </c>
    </row>
    <row r="73" spans="1:12" ht="12.5" customHeight="1" x14ac:dyDescent="0.25">
      <c r="A73" s="1"/>
      <c r="B73" s="1"/>
      <c r="C73" s="1"/>
      <c r="D73" s="1"/>
      <c r="E73" s="1"/>
      <c r="F73" s="1"/>
      <c r="G73" t="str">
        <f>IF(htfxasint!K73="","",htfxasint!K73)</f>
        <v/>
      </c>
      <c r="I73">
        <v>68</v>
      </c>
      <c r="J73">
        <v>202531883</v>
      </c>
      <c r="K73" t="s">
        <v>200</v>
      </c>
      <c r="L73">
        <f t="shared" si="1"/>
        <v>0</v>
      </c>
    </row>
    <row r="74" spans="1:12" ht="12.5" customHeight="1" x14ac:dyDescent="0.25">
      <c r="A74" s="1"/>
      <c r="B74" s="1"/>
      <c r="C74" s="1"/>
      <c r="D74" s="1"/>
      <c r="E74" s="1"/>
      <c r="F74" s="1"/>
      <c r="G74" t="str">
        <f>IF(htfxasint!K74="","",htfxasint!K74)</f>
        <v/>
      </c>
      <c r="I74">
        <v>69</v>
      </c>
      <c r="J74">
        <v>202531947</v>
      </c>
      <c r="K74" t="s">
        <v>201</v>
      </c>
      <c r="L74">
        <f t="shared" si="1"/>
        <v>0</v>
      </c>
    </row>
    <row r="75" spans="1:12" ht="12.5" customHeight="1" x14ac:dyDescent="0.45">
      <c r="A75" s="29" t="s">
        <v>110</v>
      </c>
      <c r="B75" s="29"/>
      <c r="C75" s="29"/>
      <c r="D75" s="29"/>
      <c r="E75" s="29"/>
      <c r="F75" s="15"/>
      <c r="G75" t="str">
        <f>IF(htfxasint!K75="","",htfxasint!K75)</f>
        <v/>
      </c>
      <c r="I75">
        <v>70</v>
      </c>
      <c r="J75">
        <v>202532062</v>
      </c>
      <c r="K75" t="s">
        <v>202</v>
      </c>
      <c r="L75">
        <f t="shared" si="1"/>
        <v>0</v>
      </c>
    </row>
    <row r="76" spans="1:12" ht="12.5" customHeight="1" x14ac:dyDescent="0.45">
      <c r="A76" s="30"/>
      <c r="B76" s="30"/>
      <c r="C76" s="30"/>
      <c r="D76" s="30"/>
      <c r="E76" s="30"/>
      <c r="F76" s="16"/>
      <c r="G76" t="str">
        <f>IF(htfxasint!K76="","",htfxasint!K76)</f>
        <v xml:space="preserve">Punteo a Estudiantes </v>
      </c>
      <c r="I76">
        <v>71</v>
      </c>
      <c r="J76">
        <v>202532079</v>
      </c>
      <c r="K76" t="s">
        <v>203</v>
      </c>
      <c r="L76">
        <f t="shared" si="1"/>
        <v>0</v>
      </c>
    </row>
    <row r="77" spans="1:12" ht="13" x14ac:dyDescent="0.3">
      <c r="A77" s="2" t="s">
        <v>2</v>
      </c>
      <c r="B77" s="17" t="s">
        <v>3</v>
      </c>
      <c r="C77" s="18"/>
      <c r="D77" s="17" t="s">
        <v>4</v>
      </c>
      <c r="E77" s="18"/>
      <c r="F77" s="17" t="s">
        <v>5</v>
      </c>
      <c r="G77" t="str">
        <f>IF(htfxasint!K77="","",htfxasint!K77)</f>
        <v/>
      </c>
      <c r="I77">
        <v>72</v>
      </c>
      <c r="J77">
        <v>202530466</v>
      </c>
      <c r="K77" t="s">
        <v>204</v>
      </c>
      <c r="L77">
        <f t="shared" si="1"/>
        <v>0</v>
      </c>
    </row>
    <row r="78" spans="1:12" ht="12.5" customHeight="1" x14ac:dyDescent="0.25">
      <c r="A78" s="3">
        <v>1</v>
      </c>
      <c r="B78" s="4" t="s">
        <v>111</v>
      </c>
      <c r="C78" s="6"/>
      <c r="D78" s="4" t="s">
        <v>112</v>
      </c>
      <c r="E78" s="6"/>
      <c r="F78" s="4">
        <v>202531645</v>
      </c>
      <c r="G78">
        <f>IF(htfxasint!K78="","",htfxasint!K78)</f>
        <v>0</v>
      </c>
      <c r="I78">
        <v>73</v>
      </c>
      <c r="J78">
        <v>202030192</v>
      </c>
      <c r="K78" t="s">
        <v>205</v>
      </c>
      <c r="L78">
        <f t="shared" si="1"/>
        <v>0</v>
      </c>
    </row>
    <row r="79" spans="1:12" ht="12.5" customHeight="1" x14ac:dyDescent="0.25">
      <c r="A79" s="3">
        <v>2</v>
      </c>
      <c r="B79" s="4" t="s">
        <v>113</v>
      </c>
      <c r="C79" s="6"/>
      <c r="D79" s="4" t="s">
        <v>114</v>
      </c>
      <c r="E79" s="6"/>
      <c r="F79" s="4">
        <v>202531213</v>
      </c>
      <c r="G79">
        <f>IF(htfxasint!K79="","",htfxasint!K79)</f>
        <v>0</v>
      </c>
    </row>
    <row r="80" spans="1:12" ht="12.5" customHeight="1" x14ac:dyDescent="0.25">
      <c r="A80" s="3">
        <v>3</v>
      </c>
      <c r="B80" s="4" t="s">
        <v>115</v>
      </c>
      <c r="C80" s="6"/>
      <c r="D80" s="4" t="s">
        <v>116</v>
      </c>
      <c r="E80" s="6"/>
      <c r="F80" s="4">
        <v>202531351</v>
      </c>
      <c r="G80">
        <f>IF(htfxasint!K80="","",htfxasint!K80)</f>
        <v>0</v>
      </c>
    </row>
    <row r="81" spans="1:7" ht="12.5" customHeight="1" x14ac:dyDescent="0.25">
      <c r="A81" s="3">
        <v>4</v>
      </c>
      <c r="B81" s="4" t="s">
        <v>117</v>
      </c>
      <c r="C81" s="6"/>
      <c r="D81" s="4" t="s">
        <v>118</v>
      </c>
      <c r="E81" s="6"/>
      <c r="F81" s="4">
        <v>202530265</v>
      </c>
      <c r="G81">
        <f>IF(htfxasint!K81="","",htfxasint!K81)</f>
        <v>0</v>
      </c>
    </row>
    <row r="82" spans="1:7" ht="12.5" customHeight="1" x14ac:dyDescent="0.25">
      <c r="A82" s="1"/>
      <c r="B82" s="1"/>
      <c r="C82" s="1"/>
      <c r="D82" s="1"/>
      <c r="E82" s="1"/>
      <c r="F82" s="1"/>
      <c r="G82" t="str">
        <f>IF(htfxasint!K82="","",htfxasint!K82)</f>
        <v/>
      </c>
    </row>
    <row r="83" spans="1:7" ht="12.5" customHeight="1" x14ac:dyDescent="0.25">
      <c r="A83" s="1"/>
      <c r="B83" s="1"/>
      <c r="C83" s="1"/>
      <c r="D83" s="1"/>
      <c r="E83" s="1"/>
      <c r="F83" s="1"/>
      <c r="G83" t="str">
        <f>IF(htfxasint!K83="","",htfxasint!K83)</f>
        <v/>
      </c>
    </row>
    <row r="84" spans="1:7" ht="12.5" customHeight="1" x14ac:dyDescent="0.45">
      <c r="A84" s="29" t="s">
        <v>119</v>
      </c>
      <c r="B84" s="29"/>
      <c r="C84" s="29"/>
      <c r="D84" s="29"/>
      <c r="E84" s="29"/>
      <c r="F84" s="15"/>
      <c r="G84" t="str">
        <f>IF(htfxasint!K84="","",htfxasint!K84)</f>
        <v/>
      </c>
    </row>
    <row r="85" spans="1:7" ht="12.5" customHeight="1" x14ac:dyDescent="0.45">
      <c r="A85" s="30"/>
      <c r="B85" s="30"/>
      <c r="C85" s="30"/>
      <c r="D85" s="30"/>
      <c r="E85" s="30"/>
      <c r="F85" s="16"/>
      <c r="G85" t="str">
        <f>IF(htfxasint!K85="","",htfxasint!K85)</f>
        <v xml:space="preserve">Punteo a Estudiantes </v>
      </c>
    </row>
    <row r="86" spans="1:7" ht="13" x14ac:dyDescent="0.3">
      <c r="A86" s="2" t="s">
        <v>2</v>
      </c>
      <c r="B86" s="17" t="s">
        <v>3</v>
      </c>
      <c r="C86" s="18"/>
      <c r="D86" s="17" t="s">
        <v>4</v>
      </c>
      <c r="E86" s="18"/>
      <c r="F86" s="17" t="s">
        <v>5</v>
      </c>
      <c r="G86" t="str">
        <f>IF(htfxasint!K86="","",htfxasint!K86)</f>
        <v/>
      </c>
    </row>
    <row r="87" spans="1:7" ht="12.5" customHeight="1" x14ac:dyDescent="0.25">
      <c r="A87" s="3">
        <v>1</v>
      </c>
      <c r="B87" s="1" t="s">
        <v>120</v>
      </c>
      <c r="C87" s="1"/>
      <c r="D87" s="4" t="s">
        <v>121</v>
      </c>
      <c r="E87" s="6"/>
      <c r="F87" s="4">
        <v>202530381</v>
      </c>
      <c r="G87">
        <f>IF(htfxasint!K87="","",htfxasint!K87)</f>
        <v>0</v>
      </c>
    </row>
    <row r="88" spans="1:7" ht="12.5" customHeight="1" x14ac:dyDescent="0.25">
      <c r="A88" s="3">
        <v>2</v>
      </c>
      <c r="B88" s="4" t="s">
        <v>122</v>
      </c>
      <c r="C88" s="6"/>
      <c r="D88" s="4" t="s">
        <v>123</v>
      </c>
      <c r="E88" s="6"/>
      <c r="F88" s="4">
        <v>202431502</v>
      </c>
      <c r="G88">
        <f>IF(htfxasint!K88="","",htfxasint!K88)</f>
        <v>0</v>
      </c>
    </row>
    <row r="89" spans="1:7" ht="12.5" customHeight="1" x14ac:dyDescent="0.25">
      <c r="A89" s="3">
        <v>3</v>
      </c>
      <c r="B89" s="4" t="s">
        <v>124</v>
      </c>
      <c r="C89" s="6"/>
      <c r="D89" s="4" t="s">
        <v>125</v>
      </c>
      <c r="E89" s="6"/>
      <c r="F89" s="4">
        <v>202531352</v>
      </c>
      <c r="G89">
        <f>IF(htfxasint!K89="","",htfxasint!K89)</f>
        <v>0</v>
      </c>
    </row>
    <row r="90" spans="1:7" ht="12.5" customHeight="1" x14ac:dyDescent="0.25">
      <c r="A90" s="3">
        <v>4</v>
      </c>
      <c r="B90" s="4" t="s">
        <v>126</v>
      </c>
      <c r="C90" s="6"/>
      <c r="D90" s="4" t="s">
        <v>127</v>
      </c>
      <c r="E90" s="6"/>
      <c r="F90" s="4">
        <v>202402553</v>
      </c>
      <c r="G90">
        <f>IF(htfxasint!K90="","",htfxasint!K90)</f>
        <v>0</v>
      </c>
    </row>
    <row r="91" spans="1:7" ht="12.5" customHeight="1" x14ac:dyDescent="0.25">
      <c r="A91" s="1"/>
      <c r="B91" s="1"/>
      <c r="C91" s="1"/>
      <c r="D91" s="1"/>
      <c r="E91" s="1"/>
      <c r="F91" s="1"/>
      <c r="G91" t="str">
        <f>IF(htfxasint!K91="","",htfxasint!K91)</f>
        <v/>
      </c>
    </row>
    <row r="92" spans="1:7" ht="12.5" customHeight="1" x14ac:dyDescent="0.25">
      <c r="A92" s="1"/>
      <c r="B92" s="1"/>
      <c r="C92" s="1"/>
      <c r="D92" s="1"/>
      <c r="E92" s="1"/>
      <c r="F92" s="1"/>
      <c r="G92" t="str">
        <f>IF(htfxasint!K92="","",htfxasint!K92)</f>
        <v/>
      </c>
    </row>
    <row r="93" spans="1:7" ht="12.5" customHeight="1" x14ac:dyDescent="0.45">
      <c r="A93" s="29" t="s">
        <v>1</v>
      </c>
      <c r="B93" s="29"/>
      <c r="C93" s="29"/>
      <c r="D93" s="29"/>
      <c r="E93" s="29"/>
      <c r="F93" s="15"/>
      <c r="G93" t="str">
        <f>IF(htfxasint!K93="","",htfxasint!K93)</f>
        <v/>
      </c>
    </row>
    <row r="94" spans="1:7" ht="12.5" customHeight="1" x14ac:dyDescent="0.45">
      <c r="A94" s="30"/>
      <c r="B94" s="30"/>
      <c r="C94" s="30"/>
      <c r="D94" s="30"/>
      <c r="E94" s="30"/>
      <c r="F94" s="16"/>
      <c r="G94" t="str">
        <f>IF(htfxasint!K94="","",htfxasint!K94)</f>
        <v xml:space="preserve">Punteo a Estudiantes </v>
      </c>
    </row>
    <row r="95" spans="1:7" ht="13" x14ac:dyDescent="0.3">
      <c r="A95" s="2" t="s">
        <v>2</v>
      </c>
      <c r="B95" s="17" t="s">
        <v>3</v>
      </c>
      <c r="C95" s="18"/>
      <c r="D95" s="17" t="s">
        <v>4</v>
      </c>
      <c r="E95" s="18"/>
      <c r="F95" s="17" t="s">
        <v>5</v>
      </c>
      <c r="G95" t="str">
        <f>IF(htfxasint!K95="","",htfxasint!K95)</f>
        <v/>
      </c>
    </row>
    <row r="96" spans="1:7" ht="12.5" customHeight="1" x14ac:dyDescent="0.25">
      <c r="A96" s="3">
        <v>1</v>
      </c>
      <c r="B96" s="4"/>
      <c r="C96" s="6"/>
      <c r="D96" s="4"/>
      <c r="E96" s="6"/>
      <c r="F96" s="4"/>
      <c r="G96">
        <f>IF(htfxasint!K96="","",htfxasint!K96)</f>
        <v>0</v>
      </c>
    </row>
    <row r="97" spans="1:7" ht="12.5" customHeight="1" x14ac:dyDescent="0.25">
      <c r="A97" s="3">
        <v>2</v>
      </c>
      <c r="B97" s="4"/>
      <c r="C97" s="6"/>
      <c r="D97" s="4"/>
      <c r="E97" s="6"/>
      <c r="F97" s="4"/>
      <c r="G97">
        <f>IF(htfxasint!K97="","",htfxasint!K97)</f>
        <v>0</v>
      </c>
    </row>
    <row r="98" spans="1:7" ht="12.5" customHeight="1" x14ac:dyDescent="0.25">
      <c r="A98" s="3">
        <v>3</v>
      </c>
      <c r="B98" s="4"/>
      <c r="C98" s="6"/>
      <c r="D98" s="4"/>
      <c r="E98" s="6"/>
      <c r="F98" s="4"/>
      <c r="G98">
        <f>IF(htfxasint!K98="","",htfxasint!K98)</f>
        <v>0</v>
      </c>
    </row>
    <row r="99" spans="1:7" ht="12.5" customHeight="1" x14ac:dyDescent="0.25">
      <c r="A99" s="3">
        <v>4</v>
      </c>
      <c r="B99" s="4"/>
      <c r="C99" s="6"/>
      <c r="D99" s="4"/>
      <c r="E99" s="6"/>
      <c r="F99" s="4"/>
      <c r="G99">
        <f>IF(htfxasint!K99="","",htfxasint!K99)</f>
        <v>0</v>
      </c>
    </row>
    <row r="100" spans="1:7" ht="12.5" customHeight="1" x14ac:dyDescent="0.25">
      <c r="A100" s="1"/>
      <c r="B100" s="1"/>
      <c r="C100" s="1"/>
      <c r="D100" s="1"/>
      <c r="E100" s="1"/>
      <c r="F100" s="1"/>
      <c r="G100" t="str">
        <f>IF(htfxasint!K100="","",htfxasint!K100)</f>
        <v/>
      </c>
    </row>
    <row r="101" spans="1:7" ht="12.5" customHeight="1" x14ac:dyDescent="0.25">
      <c r="A101" s="1"/>
      <c r="B101" s="1"/>
      <c r="C101" s="1"/>
      <c r="D101" s="1"/>
      <c r="E101" s="1"/>
      <c r="F101" s="1"/>
      <c r="G101" t="str">
        <f>IF(htfxasint!K101="","",htfxasint!K101)</f>
        <v/>
      </c>
    </row>
    <row r="102" spans="1:7" ht="12.5" customHeight="1" x14ac:dyDescent="0.45">
      <c r="A102" s="29" t="s">
        <v>15</v>
      </c>
      <c r="B102" s="29"/>
      <c r="C102" s="29"/>
      <c r="D102" s="29"/>
      <c r="E102" s="29"/>
      <c r="F102" s="15"/>
      <c r="G102" t="str">
        <f>IF(htfxasint!K102="","",htfxasint!K102)</f>
        <v/>
      </c>
    </row>
    <row r="103" spans="1:7" ht="12.5" customHeight="1" x14ac:dyDescent="0.45">
      <c r="A103" s="30"/>
      <c r="B103" s="30"/>
      <c r="C103" s="30"/>
      <c r="D103" s="30"/>
      <c r="E103" s="30"/>
      <c r="F103" s="16"/>
      <c r="G103" t="str">
        <f>IF(htfxasint!K103="","",htfxasint!K103)</f>
        <v xml:space="preserve">Punteo a Estudiantes </v>
      </c>
    </row>
    <row r="104" spans="1:7" ht="13" x14ac:dyDescent="0.3">
      <c r="A104" s="2" t="s">
        <v>2</v>
      </c>
      <c r="B104" s="17" t="s">
        <v>3</v>
      </c>
      <c r="C104" s="18"/>
      <c r="D104" s="17" t="s">
        <v>4</v>
      </c>
      <c r="E104" s="18"/>
      <c r="F104" s="17" t="s">
        <v>5</v>
      </c>
      <c r="G104" t="str">
        <f>IF(htfxasint!K104="","",htfxasint!K104)</f>
        <v/>
      </c>
    </row>
    <row r="105" spans="1:7" ht="12.5" customHeight="1" x14ac:dyDescent="0.25">
      <c r="A105" s="3">
        <v>1</v>
      </c>
      <c r="B105" s="4" t="s">
        <v>18</v>
      </c>
      <c r="C105" s="6"/>
      <c r="D105" s="4" t="s">
        <v>19</v>
      </c>
      <c r="E105" s="6"/>
      <c r="F105" s="4">
        <v>202531724</v>
      </c>
      <c r="G105">
        <f>IF(htfxasint!K105="","",htfxasint!K105)</f>
        <v>0</v>
      </c>
    </row>
    <row r="106" spans="1:7" ht="12.5" customHeight="1" x14ac:dyDescent="0.25">
      <c r="A106" s="3">
        <v>2</v>
      </c>
      <c r="B106" s="4" t="s">
        <v>22</v>
      </c>
      <c r="C106" s="6"/>
      <c r="D106" s="4" t="s">
        <v>23</v>
      </c>
      <c r="E106" s="6"/>
      <c r="F106" s="4">
        <v>202531019</v>
      </c>
      <c r="G106">
        <f>IF(htfxasint!K106="","",htfxasint!K106)</f>
        <v>0</v>
      </c>
    </row>
    <row r="107" spans="1:7" ht="12.5" customHeight="1" x14ac:dyDescent="0.25">
      <c r="A107" s="3">
        <v>3</v>
      </c>
      <c r="B107" s="4" t="s">
        <v>26</v>
      </c>
      <c r="C107" s="6"/>
      <c r="D107" s="4" t="s">
        <v>27</v>
      </c>
      <c r="E107" s="6"/>
      <c r="F107" s="4">
        <v>202430645</v>
      </c>
      <c r="G107">
        <f>IF(htfxasint!K107="","",htfxasint!K107)</f>
        <v>0</v>
      </c>
    </row>
    <row r="108" spans="1:7" ht="12.5" customHeight="1" x14ac:dyDescent="0.25">
      <c r="A108" s="3">
        <v>4</v>
      </c>
      <c r="B108" s="4" t="s">
        <v>28</v>
      </c>
      <c r="C108" s="6"/>
      <c r="D108" s="4" t="s">
        <v>29</v>
      </c>
      <c r="E108" s="6"/>
      <c r="F108" s="4">
        <v>202531778</v>
      </c>
      <c r="G108">
        <f>IF(htfxasint!K108="","",htfxasint!K108)</f>
        <v>0</v>
      </c>
    </row>
    <row r="109" spans="1:7" ht="12.5" customHeight="1" x14ac:dyDescent="0.25">
      <c r="A109" s="1"/>
      <c r="B109" s="1"/>
      <c r="C109" s="1"/>
      <c r="D109" s="1"/>
      <c r="E109" s="1"/>
      <c r="F109" s="1"/>
      <c r="G109" t="str">
        <f>IF(htfxasint!K109="","",htfxasint!K109)</f>
        <v/>
      </c>
    </row>
    <row r="110" spans="1:7" ht="12.5" customHeight="1" x14ac:dyDescent="0.25">
      <c r="A110" s="1"/>
      <c r="B110" s="1"/>
      <c r="C110" s="1"/>
      <c r="D110" s="1"/>
      <c r="E110" s="1"/>
      <c r="F110" s="1"/>
      <c r="G110" t="str">
        <f>IF(htfxasint!K110="","",htfxasint!K110)</f>
        <v/>
      </c>
    </row>
    <row r="111" spans="1:7" ht="12.5" customHeight="1" x14ac:dyDescent="0.45">
      <c r="A111" s="29" t="s">
        <v>31</v>
      </c>
      <c r="B111" s="29"/>
      <c r="C111" s="29"/>
      <c r="D111" s="29"/>
      <c r="E111" s="29"/>
      <c r="F111" s="15"/>
      <c r="G111" t="str">
        <f>IF(htfxasint!K111="","",htfxasint!K111)</f>
        <v/>
      </c>
    </row>
    <row r="112" spans="1:7" ht="12.5" customHeight="1" x14ac:dyDescent="0.45">
      <c r="A112" s="30"/>
      <c r="B112" s="30"/>
      <c r="C112" s="30"/>
      <c r="D112" s="30"/>
      <c r="E112" s="30"/>
      <c r="F112" s="16"/>
      <c r="G112" t="str">
        <f>IF(htfxasint!K112="","",htfxasint!K112)</f>
        <v xml:space="preserve">Punteo a Estudiantes </v>
      </c>
    </row>
    <row r="113" spans="1:7" ht="13" x14ac:dyDescent="0.3">
      <c r="A113" s="2" t="s">
        <v>2</v>
      </c>
      <c r="B113" s="17" t="s">
        <v>3</v>
      </c>
      <c r="C113" s="18"/>
      <c r="D113" s="17" t="s">
        <v>4</v>
      </c>
      <c r="E113" s="18"/>
      <c r="F113" s="17" t="s">
        <v>5</v>
      </c>
      <c r="G113" t="str">
        <f>IF(htfxasint!K113="","",htfxasint!K113)</f>
        <v/>
      </c>
    </row>
    <row r="114" spans="1:7" ht="12.5" customHeight="1" x14ac:dyDescent="0.25">
      <c r="A114" s="3">
        <v>1</v>
      </c>
      <c r="B114" s="4" t="s">
        <v>34</v>
      </c>
      <c r="C114" s="6"/>
      <c r="D114" s="4" t="s">
        <v>35</v>
      </c>
      <c r="E114" s="6"/>
      <c r="F114" s="4">
        <v>202331587</v>
      </c>
      <c r="G114">
        <f>IF(htfxasint!K114="","",htfxasint!K114)</f>
        <v>0</v>
      </c>
    </row>
    <row r="115" spans="1:7" ht="12.5" customHeight="1" x14ac:dyDescent="0.25">
      <c r="A115" s="3">
        <v>2</v>
      </c>
      <c r="B115" s="4" t="s">
        <v>38</v>
      </c>
      <c r="C115" s="6"/>
      <c r="D115" s="4" t="s">
        <v>39</v>
      </c>
      <c r="E115" s="6"/>
      <c r="F115" s="4">
        <v>202530349</v>
      </c>
      <c r="G115">
        <f>IF(htfxasint!K115="","",htfxasint!K115)</f>
        <v>0</v>
      </c>
    </row>
    <row r="116" spans="1:7" ht="12.5" customHeight="1" x14ac:dyDescent="0.25">
      <c r="A116" s="3">
        <v>3</v>
      </c>
      <c r="B116" s="4" t="s">
        <v>42</v>
      </c>
      <c r="C116" s="6"/>
      <c r="D116" s="4" t="s">
        <v>43</v>
      </c>
      <c r="E116" s="6"/>
      <c r="F116" s="4">
        <v>202530466</v>
      </c>
      <c r="G116">
        <f>IF(htfxasint!K116="","",htfxasint!K116)</f>
        <v>0</v>
      </c>
    </row>
    <row r="117" spans="1:7" ht="12.5" customHeight="1" x14ac:dyDescent="0.25">
      <c r="A117" s="3">
        <v>4</v>
      </c>
      <c r="B117" s="4"/>
      <c r="C117" s="6"/>
      <c r="D117" s="4"/>
      <c r="E117" s="6"/>
      <c r="F117" s="4"/>
      <c r="G117">
        <f>IF(htfxasint!K117="","",htfxasint!K117)</f>
        <v>0</v>
      </c>
    </row>
    <row r="118" spans="1:7" ht="12.5" customHeight="1" x14ac:dyDescent="0.25">
      <c r="A118" s="1"/>
      <c r="B118" s="1"/>
      <c r="C118" s="1"/>
      <c r="D118" s="1"/>
      <c r="E118" s="1"/>
      <c r="F118" s="1"/>
      <c r="G118" t="str">
        <f>IF(htfxasint!K118="","",htfxasint!K118)</f>
        <v/>
      </c>
    </row>
    <row r="119" spans="1:7" ht="12.5" customHeight="1" x14ac:dyDescent="0.25">
      <c r="A119" s="1"/>
      <c r="B119" s="1"/>
      <c r="C119" s="1"/>
      <c r="D119" s="1"/>
      <c r="E119" s="1"/>
      <c r="F119" s="1"/>
      <c r="G119" t="str">
        <f>IF(htfxasint!K119="","",htfxasint!K119)</f>
        <v/>
      </c>
    </row>
    <row r="120" spans="1:7" ht="12.5" customHeight="1" x14ac:dyDescent="0.45">
      <c r="A120" s="29" t="s">
        <v>47</v>
      </c>
      <c r="B120" s="29"/>
      <c r="C120" s="29"/>
      <c r="D120" s="29"/>
      <c r="E120" s="29"/>
      <c r="F120" s="15"/>
      <c r="G120" t="str">
        <f>IF(htfxasint!K120="","",htfxasint!K120)</f>
        <v/>
      </c>
    </row>
    <row r="121" spans="1:7" ht="12.5" customHeight="1" x14ac:dyDescent="0.45">
      <c r="A121" s="30"/>
      <c r="B121" s="30"/>
      <c r="C121" s="30"/>
      <c r="D121" s="30"/>
      <c r="E121" s="30"/>
      <c r="F121" s="16"/>
      <c r="G121" t="str">
        <f>IF(htfxasint!K121="","",htfxasint!K121)</f>
        <v xml:space="preserve">Punteo a Estudiantes </v>
      </c>
    </row>
    <row r="122" spans="1:7" ht="13" x14ac:dyDescent="0.3">
      <c r="A122" s="2" t="s">
        <v>2</v>
      </c>
      <c r="B122" s="17" t="s">
        <v>3</v>
      </c>
      <c r="C122" s="18"/>
      <c r="D122" s="17" t="s">
        <v>4</v>
      </c>
      <c r="E122" s="18"/>
      <c r="F122" s="17" t="s">
        <v>5</v>
      </c>
      <c r="G122" t="str">
        <f>IF(htfxasint!K122="","",htfxasint!K122)</f>
        <v/>
      </c>
    </row>
    <row r="123" spans="1:7" ht="12.5" customHeight="1" x14ac:dyDescent="0.25">
      <c r="A123" s="3">
        <v>1</v>
      </c>
      <c r="B123" s="4" t="s">
        <v>50</v>
      </c>
      <c r="C123" s="6"/>
      <c r="D123" s="4" t="s">
        <v>51</v>
      </c>
      <c r="E123" s="6"/>
      <c r="F123" s="4">
        <v>202531566</v>
      </c>
      <c r="G123">
        <f>IF(htfxasint!K123="","",htfxasint!K123)</f>
        <v>0</v>
      </c>
    </row>
    <row r="124" spans="1:7" ht="12.5" customHeight="1" x14ac:dyDescent="0.25">
      <c r="A124" s="3">
        <v>2</v>
      </c>
      <c r="B124" s="4" t="s">
        <v>54</v>
      </c>
      <c r="C124" s="6"/>
      <c r="D124" s="4" t="s">
        <v>55</v>
      </c>
      <c r="E124" s="6"/>
      <c r="F124" s="4">
        <v>202530434</v>
      </c>
      <c r="G124">
        <f>IF(htfxasint!K124="","",htfxasint!K124)</f>
        <v>0</v>
      </c>
    </row>
    <row r="125" spans="1:7" ht="12.5" customHeight="1" x14ac:dyDescent="0.25">
      <c r="A125" s="3">
        <v>3</v>
      </c>
      <c r="B125" s="4" t="s">
        <v>58</v>
      </c>
      <c r="C125" s="6"/>
      <c r="D125" s="4" t="s">
        <v>59</v>
      </c>
      <c r="E125" s="6"/>
      <c r="F125" s="4">
        <v>202531883</v>
      </c>
      <c r="G125">
        <f>IF(htfxasint!K125="","",htfxasint!K125)</f>
        <v>0</v>
      </c>
    </row>
    <row r="126" spans="1:7" ht="12.5" customHeight="1" x14ac:dyDescent="0.25">
      <c r="A126" s="3">
        <v>4</v>
      </c>
      <c r="B126" s="4" t="s">
        <v>62</v>
      </c>
      <c r="C126" s="6"/>
      <c r="D126" s="4" t="s">
        <v>63</v>
      </c>
      <c r="E126" s="6"/>
      <c r="F126" s="4">
        <v>202531289</v>
      </c>
      <c r="G126">
        <f>IF(htfxasint!K126="","",htfxasint!K126)</f>
        <v>0</v>
      </c>
    </row>
    <row r="127" spans="1:7" ht="12.5" customHeight="1" x14ac:dyDescent="0.25">
      <c r="A127" s="1"/>
      <c r="B127" s="1"/>
      <c r="C127" s="1"/>
      <c r="D127" s="1"/>
      <c r="E127" s="1"/>
      <c r="F127" s="1"/>
      <c r="G127" t="str">
        <f>IF(htfxasint!K127="","",htfxasint!K127)</f>
        <v/>
      </c>
    </row>
    <row r="128" spans="1:7" ht="12.5" customHeight="1" x14ac:dyDescent="0.25">
      <c r="A128" s="1"/>
      <c r="B128" s="1"/>
      <c r="C128" s="1"/>
      <c r="D128" s="1"/>
      <c r="E128" s="1"/>
      <c r="F128" s="1"/>
      <c r="G128" t="str">
        <f>IF(htfxasint!K128="","",htfxasint!K128)</f>
        <v/>
      </c>
    </row>
    <row r="129" spans="1:7" ht="12.5" customHeight="1" x14ac:dyDescent="0.45">
      <c r="A129" s="29" t="s">
        <v>65</v>
      </c>
      <c r="B129" s="29"/>
      <c r="C129" s="29"/>
      <c r="D129" s="29"/>
      <c r="E129" s="29"/>
      <c r="F129" s="15"/>
      <c r="G129" t="str">
        <f>IF(htfxasint!K129="","",htfxasint!K129)</f>
        <v/>
      </c>
    </row>
    <row r="130" spans="1:7" ht="12.5" customHeight="1" x14ac:dyDescent="0.45">
      <c r="A130" s="30"/>
      <c r="B130" s="30"/>
      <c r="C130" s="30"/>
      <c r="D130" s="30"/>
      <c r="E130" s="30"/>
      <c r="F130" s="16"/>
      <c r="G130" t="str">
        <f>IF(htfxasint!K130="","",htfxasint!K130)</f>
        <v xml:space="preserve">Punteo a Estudiantes </v>
      </c>
    </row>
    <row r="131" spans="1:7" ht="13" x14ac:dyDescent="0.3">
      <c r="A131" s="2" t="s">
        <v>2</v>
      </c>
      <c r="B131" s="17" t="s">
        <v>3</v>
      </c>
      <c r="C131" s="18"/>
      <c r="D131" s="17" t="s">
        <v>4</v>
      </c>
      <c r="E131" s="18"/>
      <c r="F131" s="17" t="s">
        <v>5</v>
      </c>
      <c r="G131" t="str">
        <f>IF(htfxasint!K131="","",htfxasint!K131)</f>
        <v/>
      </c>
    </row>
    <row r="132" spans="1:7" ht="13" x14ac:dyDescent="0.3">
      <c r="A132" s="3">
        <v>1</v>
      </c>
      <c r="B132" s="11" t="s">
        <v>68</v>
      </c>
      <c r="C132" s="12"/>
      <c r="D132" s="11" t="s">
        <v>69</v>
      </c>
      <c r="E132" s="12"/>
      <c r="F132" s="11">
        <v>202513444</v>
      </c>
      <c r="G132">
        <f>IF(htfxasint!K132="","",htfxasint!K132)</f>
        <v>0</v>
      </c>
    </row>
    <row r="133" spans="1:7" ht="13" x14ac:dyDescent="0.3">
      <c r="A133" s="3">
        <v>2</v>
      </c>
      <c r="B133" s="11" t="s">
        <v>72</v>
      </c>
      <c r="C133" s="12"/>
      <c r="D133" s="11" t="s">
        <v>73</v>
      </c>
      <c r="E133" s="12"/>
      <c r="F133" s="11">
        <v>202430532</v>
      </c>
      <c r="G133">
        <f>IF(htfxasint!K133="","",htfxasint!K133)</f>
        <v>0</v>
      </c>
    </row>
    <row r="134" spans="1:7" ht="13" x14ac:dyDescent="0.3">
      <c r="A134" s="3">
        <v>3</v>
      </c>
      <c r="B134" s="11" t="s">
        <v>76</v>
      </c>
      <c r="C134" s="12"/>
      <c r="D134" s="11" t="s">
        <v>77</v>
      </c>
      <c r="E134" s="12"/>
      <c r="F134" s="11">
        <v>202530357</v>
      </c>
      <c r="G134">
        <f>IF(htfxasint!K134="","",htfxasint!K134)</f>
        <v>0</v>
      </c>
    </row>
    <row r="135" spans="1:7" ht="13" x14ac:dyDescent="0.3">
      <c r="A135" s="3">
        <v>4</v>
      </c>
      <c r="B135" s="11"/>
      <c r="C135" s="12"/>
      <c r="D135" s="11"/>
      <c r="E135" s="12"/>
      <c r="F135" s="11"/>
      <c r="G135">
        <f>IF(htfxasint!K135="","",htfxasint!K135)</f>
        <v>0</v>
      </c>
    </row>
    <row r="136" spans="1:7" ht="12.5" customHeight="1" x14ac:dyDescent="0.25">
      <c r="A136" s="1"/>
      <c r="B136" s="1"/>
      <c r="C136" s="1"/>
      <c r="D136" s="1"/>
      <c r="E136" s="1"/>
      <c r="F136" s="1"/>
      <c r="G136" t="str">
        <f>IF(htfxasint!K136="","",htfxasint!K136)</f>
        <v/>
      </c>
    </row>
    <row r="137" spans="1:7" ht="12.5" customHeight="1" x14ac:dyDescent="0.25">
      <c r="A137" s="1"/>
      <c r="B137" s="1"/>
      <c r="C137" s="1"/>
      <c r="D137" s="1"/>
      <c r="E137" s="1"/>
      <c r="F137" s="1"/>
      <c r="G137" t="str">
        <f>IF(htfxasint!K137="","",htfxasint!K137)</f>
        <v/>
      </c>
    </row>
    <row r="138" spans="1:7" ht="12.5" customHeight="1" x14ac:dyDescent="0.45">
      <c r="A138" s="29" t="s">
        <v>81</v>
      </c>
      <c r="B138" s="29"/>
      <c r="C138" s="29"/>
      <c r="D138" s="29"/>
      <c r="E138" s="29"/>
      <c r="F138" s="15"/>
      <c r="G138" t="str">
        <f>IF(htfxasint!K138="","",htfxasint!K138)</f>
        <v/>
      </c>
    </row>
    <row r="139" spans="1:7" ht="12.5" customHeight="1" x14ac:dyDescent="0.45">
      <c r="A139" s="30"/>
      <c r="B139" s="30"/>
      <c r="C139" s="30"/>
      <c r="D139" s="30"/>
      <c r="E139" s="30"/>
      <c r="F139" s="16"/>
      <c r="G139" t="str">
        <f>IF(htfxasint!K139="","",htfxasint!K139)</f>
        <v xml:space="preserve">Punteo a Estudiantes </v>
      </c>
    </row>
    <row r="140" spans="1:7" ht="13" x14ac:dyDescent="0.3">
      <c r="A140" s="2" t="s">
        <v>2</v>
      </c>
      <c r="B140" s="17" t="s">
        <v>3</v>
      </c>
      <c r="C140" s="18"/>
      <c r="D140" s="17" t="s">
        <v>4</v>
      </c>
      <c r="E140" s="18"/>
      <c r="F140" s="17" t="s">
        <v>5</v>
      </c>
      <c r="G140" t="str">
        <f>IF(htfxasint!K140="","",htfxasint!K140)</f>
        <v/>
      </c>
    </row>
    <row r="141" spans="1:7" ht="13" x14ac:dyDescent="0.3">
      <c r="A141" s="7">
        <v>1</v>
      </c>
      <c r="B141" s="11"/>
      <c r="C141" s="12"/>
      <c r="D141" s="11"/>
      <c r="E141" s="12"/>
      <c r="F141" s="11"/>
      <c r="G141">
        <f>IF(htfxasint!K141="","",htfxasint!K141)</f>
        <v>0</v>
      </c>
    </row>
    <row r="142" spans="1:7" ht="12.5" customHeight="1" x14ac:dyDescent="0.25">
      <c r="A142" s="3">
        <v>2</v>
      </c>
      <c r="B142" s="4"/>
      <c r="C142" s="6"/>
      <c r="D142" s="4"/>
      <c r="E142" s="6"/>
      <c r="F142" s="4"/>
      <c r="G142">
        <f>IF(htfxasint!K142="","",htfxasint!K142)</f>
        <v>0</v>
      </c>
    </row>
    <row r="143" spans="1:7" ht="12.5" customHeight="1" x14ac:dyDescent="0.25">
      <c r="A143" s="3">
        <v>3</v>
      </c>
      <c r="B143" s="4"/>
      <c r="C143" s="6"/>
      <c r="D143" s="4"/>
      <c r="E143" s="6"/>
      <c r="F143" s="4"/>
      <c r="G143">
        <f>IF(htfxasint!K143="","",htfxasint!K143)</f>
        <v>0</v>
      </c>
    </row>
    <row r="144" spans="1:7" ht="12.5" customHeight="1" x14ac:dyDescent="0.25">
      <c r="A144" s="3">
        <v>4</v>
      </c>
      <c r="B144" s="4"/>
      <c r="C144" s="6"/>
      <c r="D144" s="4"/>
      <c r="E144" s="6"/>
      <c r="F144" s="4"/>
      <c r="G144">
        <f>IF(htfxasint!K144="","",htfxasint!K144)</f>
        <v>0</v>
      </c>
    </row>
    <row r="145" spans="1:7" ht="12.5" customHeight="1" x14ac:dyDescent="0.25">
      <c r="A145" s="1"/>
      <c r="B145" s="1"/>
      <c r="C145" s="1"/>
      <c r="D145" s="1"/>
      <c r="E145" s="1"/>
      <c r="F145" s="1"/>
      <c r="G145" t="str">
        <f>IF(htfxasint!K145="","",htfxasint!K145)</f>
        <v/>
      </c>
    </row>
    <row r="146" spans="1:7" ht="12.5" customHeight="1" x14ac:dyDescent="0.25">
      <c r="A146" s="1"/>
      <c r="B146" s="1"/>
      <c r="C146" s="1"/>
      <c r="D146" s="1"/>
      <c r="E146" s="1"/>
      <c r="F146" s="1"/>
      <c r="G146" t="str">
        <f>IF(htfxasint!K146="","",htfxasint!K146)</f>
        <v/>
      </c>
    </row>
    <row r="147" spans="1:7" ht="12.5" customHeight="1" x14ac:dyDescent="0.45">
      <c r="A147" s="29" t="s">
        <v>91</v>
      </c>
      <c r="B147" s="29"/>
      <c r="C147" s="29"/>
      <c r="D147" s="29"/>
      <c r="E147" s="29"/>
      <c r="F147" s="15"/>
      <c r="G147" t="str">
        <f>IF(htfxasint!K147="","",htfxasint!K147)</f>
        <v/>
      </c>
    </row>
    <row r="148" spans="1:7" ht="12.5" customHeight="1" x14ac:dyDescent="0.45">
      <c r="A148" s="30"/>
      <c r="B148" s="30"/>
      <c r="C148" s="30"/>
      <c r="D148" s="30"/>
      <c r="E148" s="30"/>
      <c r="F148" s="16"/>
      <c r="G148" t="str">
        <f>IF(htfxasint!K148="","",htfxasint!K148)</f>
        <v xml:space="preserve">Punteo a Estudiantes </v>
      </c>
    </row>
    <row r="149" spans="1:7" ht="13" x14ac:dyDescent="0.3">
      <c r="A149" s="2" t="s">
        <v>2</v>
      </c>
      <c r="B149" s="17" t="s">
        <v>3</v>
      </c>
      <c r="C149" s="18"/>
      <c r="D149" s="17" t="s">
        <v>4</v>
      </c>
      <c r="E149" s="18"/>
      <c r="F149" s="17" t="s">
        <v>5</v>
      </c>
      <c r="G149" t="str">
        <f>IF(htfxasint!K149="","",htfxasint!K149)</f>
        <v/>
      </c>
    </row>
    <row r="150" spans="1:7" ht="12.5" customHeight="1" x14ac:dyDescent="0.25">
      <c r="A150" s="3">
        <v>1</v>
      </c>
      <c r="B150" s="4"/>
      <c r="C150" s="6"/>
      <c r="D150" s="4"/>
      <c r="E150" s="6"/>
      <c r="F150" s="4"/>
      <c r="G150">
        <f>IF(htfxasint!K150="","",htfxasint!K150)</f>
        <v>0</v>
      </c>
    </row>
    <row r="151" spans="1:7" ht="12.5" customHeight="1" x14ac:dyDescent="0.25">
      <c r="A151" s="3">
        <v>2</v>
      </c>
      <c r="B151" s="4"/>
      <c r="C151" s="6"/>
      <c r="D151" s="4"/>
      <c r="E151" s="6"/>
      <c r="F151" s="4"/>
      <c r="G151">
        <f>IF(htfxasint!K151="","",htfxasint!K151)</f>
        <v>0</v>
      </c>
    </row>
    <row r="152" spans="1:7" ht="12.5" customHeight="1" x14ac:dyDescent="0.25">
      <c r="A152" s="3">
        <v>3</v>
      </c>
      <c r="B152" s="4"/>
      <c r="C152" s="6"/>
      <c r="D152" s="4"/>
      <c r="E152" s="6"/>
      <c r="F152" s="4"/>
      <c r="G152">
        <f>IF(htfxasint!K152="","",htfxasint!K152)</f>
        <v>0</v>
      </c>
    </row>
    <row r="153" spans="1:7" ht="12.5" customHeight="1" x14ac:dyDescent="0.25">
      <c r="A153" s="3">
        <v>4</v>
      </c>
      <c r="B153" s="4"/>
      <c r="C153" s="6"/>
      <c r="D153" s="4"/>
      <c r="E153" s="6"/>
      <c r="F153" s="4"/>
      <c r="G153">
        <f>IF(htfxasint!K153="","",htfxasint!K153)</f>
        <v>0</v>
      </c>
    </row>
    <row r="154" spans="1:7" ht="12.5" customHeight="1" x14ac:dyDescent="0.25">
      <c r="A154" s="1"/>
      <c r="B154" s="1"/>
      <c r="C154" s="1"/>
      <c r="D154" s="1"/>
      <c r="E154" s="1"/>
      <c r="F154" s="1"/>
      <c r="G154" t="str">
        <f>IF(htfxasint!K154="","",htfxasint!K154)</f>
        <v/>
      </c>
    </row>
    <row r="155" spans="1:7" ht="12.5" customHeight="1" x14ac:dyDescent="0.25">
      <c r="A155" s="1"/>
      <c r="B155" s="1"/>
      <c r="C155" s="1"/>
      <c r="D155" s="1"/>
      <c r="E155" s="1"/>
      <c r="F155" s="1"/>
      <c r="G155" t="str">
        <f>IF(htfxasint!K155="","",htfxasint!K155)</f>
        <v/>
      </c>
    </row>
    <row r="156" spans="1:7" ht="12.5" customHeight="1" x14ac:dyDescent="0.45">
      <c r="A156" s="29" t="s">
        <v>101</v>
      </c>
      <c r="B156" s="29"/>
      <c r="C156" s="29"/>
      <c r="D156" s="29"/>
      <c r="E156" s="29"/>
      <c r="F156" s="15"/>
      <c r="G156" t="str">
        <f>IF(htfxasint!K156="","",htfxasint!K156)</f>
        <v/>
      </c>
    </row>
    <row r="157" spans="1:7" ht="12.5" customHeight="1" x14ac:dyDescent="0.45">
      <c r="A157" s="30"/>
      <c r="B157" s="30"/>
      <c r="C157" s="30"/>
      <c r="D157" s="30"/>
      <c r="E157" s="30"/>
      <c r="F157" s="16"/>
      <c r="G157" t="str">
        <f>IF(htfxasint!K157="","",htfxasint!K157)</f>
        <v xml:space="preserve">Punteo a Estudiantes </v>
      </c>
    </row>
    <row r="158" spans="1:7" ht="13" x14ac:dyDescent="0.3">
      <c r="A158" s="2" t="s">
        <v>2</v>
      </c>
      <c r="B158" s="17" t="s">
        <v>3</v>
      </c>
      <c r="C158" s="18"/>
      <c r="D158" s="17" t="s">
        <v>4</v>
      </c>
      <c r="E158" s="18"/>
      <c r="F158" s="17" t="s">
        <v>5</v>
      </c>
      <c r="G158" t="str">
        <f>IF(htfxasint!K158="","",htfxasint!K158)</f>
        <v/>
      </c>
    </row>
    <row r="159" spans="1:7" ht="12.5" customHeight="1" x14ac:dyDescent="0.25">
      <c r="A159" s="3">
        <v>1</v>
      </c>
      <c r="B159" s="4"/>
      <c r="C159" s="6"/>
      <c r="D159" s="4"/>
      <c r="E159" s="6"/>
      <c r="F159" s="4"/>
      <c r="G159">
        <f>IF(htfxasint!K159="","",htfxasint!K159)</f>
        <v>0</v>
      </c>
    </row>
    <row r="160" spans="1:7" ht="12.5" customHeight="1" x14ac:dyDescent="0.25">
      <c r="A160" s="3">
        <v>2</v>
      </c>
      <c r="B160" s="4"/>
      <c r="C160" s="6"/>
      <c r="D160" s="4"/>
      <c r="E160" s="6"/>
      <c r="F160" s="4"/>
      <c r="G160">
        <f>IF(htfxasint!K160="","",htfxasint!K160)</f>
        <v>0</v>
      </c>
    </row>
    <row r="161" spans="1:7" ht="12.5" customHeight="1" x14ac:dyDescent="0.25">
      <c r="A161" s="3">
        <v>3</v>
      </c>
      <c r="B161" s="4"/>
      <c r="C161" s="6"/>
      <c r="D161" s="4"/>
      <c r="E161" s="6"/>
      <c r="F161" s="4"/>
      <c r="G161">
        <f>IF(htfxasint!K161="","",htfxasint!K161)</f>
        <v>0</v>
      </c>
    </row>
    <row r="162" spans="1:7" ht="12.5" customHeight="1" x14ac:dyDescent="0.25">
      <c r="A162" s="3">
        <v>4</v>
      </c>
      <c r="B162" s="4"/>
      <c r="C162" s="6"/>
      <c r="D162" s="4"/>
      <c r="E162" s="6"/>
      <c r="F162" s="4"/>
      <c r="G162">
        <f>IF(htfxasint!K162="","",htfxasint!K162)</f>
        <v>0</v>
      </c>
    </row>
    <row r="163" spans="1:7" ht="12.5" customHeight="1" x14ac:dyDescent="0.25">
      <c r="A163" s="1"/>
      <c r="B163" s="1"/>
      <c r="C163" s="1"/>
      <c r="D163" s="1"/>
      <c r="E163" s="1"/>
      <c r="F163" s="1"/>
    </row>
  </sheetData>
  <mergeCells count="18">
    <mergeCell ref="A48:E49"/>
    <mergeCell ref="A156:E157"/>
    <mergeCell ref="A147:E148"/>
    <mergeCell ref="A138:E139"/>
    <mergeCell ref="A129:E130"/>
    <mergeCell ref="A120:E121"/>
    <mergeCell ref="A111:E112"/>
    <mergeCell ref="A102:E103"/>
    <mergeCell ref="A93:E94"/>
    <mergeCell ref="A84:E85"/>
    <mergeCell ref="A75:E76"/>
    <mergeCell ref="A66:E67"/>
    <mergeCell ref="A57:E58"/>
    <mergeCell ref="A3:E4"/>
    <mergeCell ref="A12:E13"/>
    <mergeCell ref="A21:E22"/>
    <mergeCell ref="A30:E31"/>
    <mergeCell ref="A39:E4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htfxasint</vt:lpstr>
      <vt:lpstr>punteo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 Rivera</cp:lastModifiedBy>
  <dcterms:created xsi:type="dcterms:W3CDTF">2025-10-10T14:30:39Z</dcterms:created>
  <dcterms:modified xsi:type="dcterms:W3CDTF">2025-10-10T19:10:28Z</dcterms:modified>
</cp:coreProperties>
</file>