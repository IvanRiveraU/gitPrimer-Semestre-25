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Requisitos CIERRE\"/>
    </mc:Choice>
  </mc:AlternateContent>
  <xr:revisionPtr revIDLastSave="0" documentId="13_ncr:1_{C31F2331-2EFE-4604-B65A-0B79B4CDC518}" xr6:coauthVersionLast="47" xr6:coauthVersionMax="47" xr10:uidLastSave="{00000000-0000-0000-0000-000000000000}"/>
  <bookViews>
    <workbookView xWindow="-120" yWindow="-120" windowWidth="20730" windowHeight="11160" xr2:uid="{43EF6DA2-DC7A-4A52-8352-64CE9DE2A4B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5" i="2"/>
</calcChain>
</file>

<file path=xl/sharedStrings.xml><?xml version="1.0" encoding="utf-8"?>
<sst xmlns="http://schemas.openxmlformats.org/spreadsheetml/2006/main" count="816" uniqueCount="255">
  <si>
    <t>HECHO Y PROPORCIONADO POR: JOSÉ CARLOS OLA RUÍZ</t>
  </si>
  <si>
    <t>LA PRESENTE HOJA DE EXCEL ES UNA HERRAMIENTA DEDICADA AL BENEFICIO DEL ESTUDIANTE DE INGENIERÍA CIVIL DEL CENTRO UNIVERSITARIO DE OCCIDENTE, SU USO QUEDA A CRITERIO Y DISCRECIÓN DEL ESTUDIANTE, LIBERANDO DE CUALQUIER RESPONSABILIDAD. EL FUNCIONAMIENTO DE LA HOJA SE EXPLICA EN UNA PEQUEÑA GUÍA DE USO EN LA HOJA "INSTRUCCIONES".</t>
  </si>
  <si>
    <t>RESUMEN</t>
  </si>
  <si>
    <t>Cursos Aprobados y Créditos Obtenidos</t>
  </si>
  <si>
    <t>Características de Curso</t>
  </si>
  <si>
    <t>Promedio</t>
  </si>
  <si>
    <t>Código de Curso</t>
  </si>
  <si>
    <t>Curso</t>
  </si>
  <si>
    <t>Créditos por curso</t>
  </si>
  <si>
    <t>Nota</t>
  </si>
  <si>
    <r>
      <t xml:space="preserve">Obligatorio </t>
    </r>
    <r>
      <rPr>
        <b/>
        <sz val="10"/>
        <color theme="1"/>
        <rFont val="Verdana"/>
        <family val="2"/>
      </rPr>
      <t>★</t>
    </r>
  </si>
  <si>
    <t>Diplomado en ☾ Administración</t>
  </si>
  <si>
    <t>Diplomado en ☻ Recursos Hídricos</t>
  </si>
  <si>
    <t>l</t>
  </si>
  <si>
    <t>Topografía 1 ★</t>
  </si>
  <si>
    <t>Topografía 2 ★</t>
  </si>
  <si>
    <t>Topografía 3</t>
  </si>
  <si>
    <t>Vías Terrestres 1 ★</t>
  </si>
  <si>
    <t>747 748</t>
  </si>
  <si>
    <t>Transportes</t>
  </si>
  <si>
    <t>Seminario de Investigación ★ ☻</t>
  </si>
  <si>
    <t>200C</t>
  </si>
  <si>
    <t>028</t>
  </si>
  <si>
    <t>Social Humanística 1</t>
  </si>
  <si>
    <t>Sí</t>
  </si>
  <si>
    <t>Matemática Básica 1</t>
  </si>
  <si>
    <t>Créditos</t>
  </si>
  <si>
    <t>Vías Terrestres 2</t>
  </si>
  <si>
    <t>Orientación Liderazgo</t>
  </si>
  <si>
    <t>Química 1</t>
  </si>
  <si>
    <t>Ingeniería de Tránsito</t>
  </si>
  <si>
    <t>Deportes 1</t>
  </si>
  <si>
    <t>Técnica Complementaria 1</t>
  </si>
  <si>
    <t xml:space="preserve">Cursos Obligatorios Ganados de 49 </t>
  </si>
  <si>
    <t>ll</t>
  </si>
  <si>
    <t>Resistencia de Materiales 1 ★</t>
  </si>
  <si>
    <t>292 109</t>
  </si>
  <si>
    <t>Resistencia de Materiales 2 ★</t>
  </si>
  <si>
    <t>Resistencia de Materiales 3</t>
  </si>
  <si>
    <t>Análisis Estructural 2</t>
  </si>
  <si>
    <t>Ingeniería Sismica.</t>
  </si>
  <si>
    <t>029</t>
  </si>
  <si>
    <t>Social Humanística 2</t>
  </si>
  <si>
    <t>Matemática Básica 2</t>
  </si>
  <si>
    <t>Principios de Metrología</t>
  </si>
  <si>
    <t>949 147 216</t>
  </si>
  <si>
    <t>Análisis Estructural 1 ★</t>
  </si>
  <si>
    <t>Tipología Estructural</t>
  </si>
  <si>
    <t>Análisis Estructural 3.</t>
  </si>
  <si>
    <t>Dinámica Estructural.</t>
  </si>
  <si>
    <t>Física Básica</t>
  </si>
  <si>
    <t>O</t>
  </si>
  <si>
    <t>Técnicas de Investigación y Estudio</t>
  </si>
  <si>
    <t>Concreto Armado 1 ★</t>
  </si>
  <si>
    <t>677 679</t>
  </si>
  <si>
    <t>Concreto Armado 2 ★</t>
  </si>
  <si>
    <t>Diseño de Estructuras en Mamposteria</t>
  </si>
  <si>
    <t>Diseño de Estructuras Metálicas 2.</t>
  </si>
  <si>
    <t>Deportes 2</t>
  </si>
  <si>
    <t>Cursos Diplomados en Administración Ganados</t>
  </si>
  <si>
    <t>Técnica Complementaria 2</t>
  </si>
  <si>
    <t>Diseño Estructural ★</t>
  </si>
  <si>
    <t>745 935 679</t>
  </si>
  <si>
    <t>Puentes ★</t>
  </si>
  <si>
    <r>
      <t>ETABS</t>
    </r>
    <r>
      <rPr>
        <b/>
        <sz val="10"/>
        <color theme="1"/>
        <rFont val="Verdana"/>
        <family val="2"/>
      </rPr>
      <t xml:space="preserve"> ★</t>
    </r>
  </si>
  <si>
    <t>Geografía</t>
  </si>
  <si>
    <t xml:space="preserve"> </t>
  </si>
  <si>
    <t>Lógica</t>
  </si>
  <si>
    <t>Concreto Preesforzado</t>
  </si>
  <si>
    <t>Matemática Intermedia 1</t>
  </si>
  <si>
    <t>Física 1</t>
  </si>
  <si>
    <t>Diseño de Estructuras Metálicas 1</t>
  </si>
  <si>
    <t>Química 2</t>
  </si>
  <si>
    <t>Cursos Diplomados en Recursos Hídricos Ganados</t>
  </si>
  <si>
    <t>Práctica Inicial</t>
  </si>
  <si>
    <t>Placas y Cáscaras.</t>
  </si>
  <si>
    <t>673 1053 936</t>
  </si>
  <si>
    <t>Topografía 1</t>
  </si>
  <si>
    <t>Ecología</t>
  </si>
  <si>
    <t>Ciencias de los Materiales</t>
  </si>
  <si>
    <t>Materiales de Construcción ★</t>
  </si>
  <si>
    <t>Cimentaciones 1 ★</t>
  </si>
  <si>
    <t>748 935 745</t>
  </si>
  <si>
    <t>Métodos de Construcción</t>
  </si>
  <si>
    <t>Matemática Intermedia 2</t>
  </si>
  <si>
    <t>Matemática Intermedia 3</t>
  </si>
  <si>
    <t>Mecánica de Suelos ★</t>
  </si>
  <si>
    <t>Pavimentos</t>
  </si>
  <si>
    <t>Cimentaciones 2</t>
  </si>
  <si>
    <t>Física 2</t>
  </si>
  <si>
    <t>Total de Cursos Ganados</t>
  </si>
  <si>
    <t>Introducción a la Ingenieria Petrolera</t>
  </si>
  <si>
    <t>lV</t>
  </si>
  <si>
    <t>Mecánica de Fluidos ★ ☻</t>
  </si>
  <si>
    <t>Hidráulica ★ ☻</t>
  </si>
  <si>
    <t>Hidrología ★</t>
  </si>
  <si>
    <t>Aguas Subterráneas ☻</t>
  </si>
  <si>
    <t>Obras Hidráulicas</t>
  </si>
  <si>
    <t>749 932 748</t>
  </si>
  <si>
    <t>Planeamiento y Uso de Recursos Hidráulicos ☻.</t>
  </si>
  <si>
    <t>686 788 791</t>
  </si>
  <si>
    <t>Mecánica Analítica 1</t>
  </si>
  <si>
    <t>Legislación 1</t>
  </si>
  <si>
    <t>Gestión de Desastres.</t>
  </si>
  <si>
    <t>Hidráulica de Canales</t>
  </si>
  <si>
    <t>Saneamiento Ambiental ☻</t>
  </si>
  <si>
    <t>Introducción a la Evaluación de ☻ Impacto Ambiental</t>
  </si>
  <si>
    <t>190C</t>
  </si>
  <si>
    <t>Estadística 1</t>
  </si>
  <si>
    <t>Geología</t>
  </si>
  <si>
    <t>Máquinas Hidráulicas</t>
  </si>
  <si>
    <t>Ingeniería Sanitaría 1 ★ ☻</t>
  </si>
  <si>
    <t>Introducción a Proyectos Gerenciales</t>
  </si>
  <si>
    <t>Contabilidad 1</t>
  </si>
  <si>
    <t>Ingeniería Sanitaría 2 ★ ☻</t>
  </si>
  <si>
    <t>Psicología Industrial</t>
  </si>
  <si>
    <t>Topografía 2</t>
  </si>
  <si>
    <t>V</t>
  </si>
  <si>
    <t>Ingeniería Económica 1 ☾</t>
  </si>
  <si>
    <t>Ingeniería Económica 2</t>
  </si>
  <si>
    <t>Costos Presuspuestos y Avaluos ★</t>
  </si>
  <si>
    <t>Urbanismo ☾</t>
  </si>
  <si>
    <t>Resistencia de Materiales 1</t>
  </si>
  <si>
    <t>Principios de Metrologia</t>
  </si>
  <si>
    <t>Preparación y Evaluación de Proyectos 1 ☾</t>
  </si>
  <si>
    <t>690 190C</t>
  </si>
  <si>
    <t>Mecánica de Fluidos</t>
  </si>
  <si>
    <t>Planeamiento ★</t>
  </si>
  <si>
    <t>Gestión de Desastres</t>
  </si>
  <si>
    <t>Ingeniería Económica 1</t>
  </si>
  <si>
    <t>Vl</t>
  </si>
  <si>
    <r>
      <t xml:space="preserve">Social  </t>
    </r>
    <r>
      <rPr>
        <b/>
        <sz val="10"/>
        <color theme="1"/>
        <rFont val="Verdana"/>
        <family val="2"/>
      </rPr>
      <t>★</t>
    </r>
    <r>
      <rPr>
        <sz val="10"/>
        <color theme="1"/>
        <rFont val="Verdana"/>
        <family val="2"/>
      </rPr>
      <t xml:space="preserve"> Humanistica 1 </t>
    </r>
    <r>
      <rPr>
        <b/>
        <sz val="10"/>
        <color theme="1"/>
        <rFont val="Verdana"/>
        <family val="2"/>
      </rPr>
      <t>☻</t>
    </r>
  </si>
  <si>
    <t>Social Humanistica 2 ★</t>
  </si>
  <si>
    <t>Ecología ★</t>
  </si>
  <si>
    <t>90C</t>
  </si>
  <si>
    <t>Matemática Aplicada 3</t>
  </si>
  <si>
    <t>Matemática Aplicada 1</t>
  </si>
  <si>
    <r>
      <t xml:space="preserve">Matemática Básica 1 </t>
    </r>
    <r>
      <rPr>
        <sz val="13"/>
        <color theme="1"/>
        <rFont val="Verdana"/>
        <family val="2"/>
      </rPr>
      <t>★</t>
    </r>
  </si>
  <si>
    <t>Matemática Básica 2 ★</t>
  </si>
  <si>
    <t>Matemática Intermedia 1 ★</t>
  </si>
  <si>
    <t>Matemática Intermedia 2 ★</t>
  </si>
  <si>
    <t>291 292</t>
  </si>
  <si>
    <t>Matemática Aplicada 4</t>
  </si>
  <si>
    <t>Programación de Computadoras 1</t>
  </si>
  <si>
    <t>Legislación 2</t>
  </si>
  <si>
    <r>
      <t xml:space="preserve">Orientación Liderazgo </t>
    </r>
    <r>
      <rPr>
        <sz val="13"/>
        <color theme="1"/>
        <rFont val="Verdana"/>
        <family val="2"/>
      </rPr>
      <t>★</t>
    </r>
  </si>
  <si>
    <t>Física Básica ★</t>
  </si>
  <si>
    <t>Física 1 ★</t>
  </si>
  <si>
    <t>170 72</t>
  </si>
  <si>
    <t>Matemática Intermedia 3 ★</t>
  </si>
  <si>
    <t>Matemática Aplicada 1 ★</t>
  </si>
  <si>
    <t>Matemática Aplicada 2</t>
  </si>
  <si>
    <t>Ingeniería Eléctrica 1</t>
  </si>
  <si>
    <t>Geología Estructural</t>
  </si>
  <si>
    <r>
      <t xml:space="preserve">Química 1 </t>
    </r>
    <r>
      <rPr>
        <sz val="13"/>
        <color theme="1"/>
        <rFont val="Verdana"/>
        <family val="2"/>
      </rPr>
      <t xml:space="preserve">★ </t>
    </r>
    <r>
      <rPr>
        <b/>
        <sz val="13"/>
        <color theme="1"/>
        <rFont val="Verdana"/>
        <family val="2"/>
      </rPr>
      <t>☻</t>
    </r>
  </si>
  <si>
    <r>
      <t xml:space="preserve">Técnicas de Investigación y Estudio </t>
    </r>
    <r>
      <rPr>
        <b/>
        <sz val="8.5"/>
        <color theme="1"/>
        <rFont val="Verdana"/>
        <family val="2"/>
      </rPr>
      <t>★</t>
    </r>
  </si>
  <si>
    <t>Química 2 ☻</t>
  </si>
  <si>
    <t>169   72   216</t>
  </si>
  <si>
    <t>Física 2 ★</t>
  </si>
  <si>
    <t>290 146</t>
  </si>
  <si>
    <t>Programación de Computadoras 1 ★</t>
  </si>
  <si>
    <t>292 949</t>
  </si>
  <si>
    <t>Programación de Computadoras 2</t>
  </si>
  <si>
    <t>Geofísica</t>
  </si>
  <si>
    <t>Petrología</t>
  </si>
  <si>
    <t>Introducción a la Ingeniería Petrolera</t>
  </si>
  <si>
    <t>290 146 90C</t>
  </si>
  <si>
    <t>Perforación de Pozos 1</t>
  </si>
  <si>
    <t>Geología del Petroleo</t>
  </si>
  <si>
    <r>
      <t xml:space="preserve">Técnica     </t>
    </r>
    <r>
      <rPr>
        <sz val="13"/>
        <color theme="1"/>
        <rFont val="Verdana"/>
        <family val="2"/>
      </rPr>
      <t>★</t>
    </r>
    <r>
      <rPr>
        <sz val="10"/>
        <color theme="1"/>
        <rFont val="Verdana"/>
        <family val="2"/>
      </rPr>
      <t xml:space="preserve"> </t>
    </r>
    <r>
      <rPr>
        <sz val="9"/>
        <color theme="1"/>
        <rFont val="Verdana"/>
        <family val="2"/>
      </rPr>
      <t>Complementaria 1</t>
    </r>
  </si>
  <si>
    <t>Técnica     ★ Complementaria 2</t>
  </si>
  <si>
    <t>Mecánica Analítica 1 ★</t>
  </si>
  <si>
    <t>Contabilidad 2</t>
  </si>
  <si>
    <t>Estadística 2</t>
  </si>
  <si>
    <t>Legislación 1 ★</t>
  </si>
  <si>
    <t>Análisis Mecánico ★</t>
  </si>
  <si>
    <t>109 745</t>
  </si>
  <si>
    <t>Administración de Personal</t>
  </si>
  <si>
    <t>Estadística 1 ★</t>
  </si>
  <si>
    <r>
      <t xml:space="preserve">290 </t>
    </r>
    <r>
      <rPr>
        <b/>
        <sz val="10"/>
        <color theme="1"/>
        <rFont val="Verdana"/>
        <family val="2"/>
      </rPr>
      <t>O</t>
    </r>
  </si>
  <si>
    <t>Ingeniería Eléctrica 1 ★</t>
  </si>
  <si>
    <t>292 147</t>
  </si>
  <si>
    <t>Ingeniería Eléctrica 2</t>
  </si>
  <si>
    <t>Ingeniería de la Producción ★</t>
  </si>
  <si>
    <t>165C</t>
  </si>
  <si>
    <t>Ética Profesional</t>
  </si>
  <si>
    <t>Resistencia de Materiales 2</t>
  </si>
  <si>
    <t>Materiales de la Construcción</t>
  </si>
  <si>
    <t>Vll</t>
  </si>
  <si>
    <t>Geología.</t>
  </si>
  <si>
    <t>681 216</t>
  </si>
  <si>
    <t>Geología Estructural.</t>
  </si>
  <si>
    <t>Mecánica de Suelos</t>
  </si>
  <si>
    <t>Hidráulica</t>
  </si>
  <si>
    <t>Geofísica.</t>
  </si>
  <si>
    <t>930 147 292</t>
  </si>
  <si>
    <t>Petrología.</t>
  </si>
  <si>
    <t>Perforación de Pozos 1.</t>
  </si>
  <si>
    <t>930 927</t>
  </si>
  <si>
    <t>Investigación de Operaciones 1</t>
  </si>
  <si>
    <t>Geología del Petroleo.</t>
  </si>
  <si>
    <t>Vías Terrestres 1</t>
  </si>
  <si>
    <t>Vlll</t>
  </si>
  <si>
    <t>Contabilidad 1 ☾</t>
  </si>
  <si>
    <t>Administración de Empresas 1 ☾</t>
  </si>
  <si>
    <t>150C</t>
  </si>
  <si>
    <t>Administración de Empresas 2</t>
  </si>
  <si>
    <r>
      <t xml:space="preserve">Project </t>
    </r>
    <r>
      <rPr>
        <b/>
        <sz val="10"/>
        <color theme="1"/>
        <rFont val="Verdana"/>
        <family val="2"/>
      </rPr>
      <t>☾</t>
    </r>
  </si>
  <si>
    <t>Análisis Estructural 1</t>
  </si>
  <si>
    <t>Concreto Armado 1</t>
  </si>
  <si>
    <t>Psicología Industrial ☾</t>
  </si>
  <si>
    <t>087</t>
  </si>
  <si>
    <t>Investigación de Operaciones 2.</t>
  </si>
  <si>
    <r>
      <rPr>
        <sz val="10"/>
        <color theme="1"/>
        <rFont val="Verdana"/>
        <family val="2"/>
      </rPr>
      <t>Epanet</t>
    </r>
    <r>
      <rPr>
        <sz val="13"/>
        <color theme="1"/>
        <rFont val="Verdana"/>
        <family val="2"/>
      </rPr>
      <t xml:space="preserve"> </t>
    </r>
    <r>
      <rPr>
        <b/>
        <sz val="13"/>
        <color theme="1"/>
        <rFont val="Verdana"/>
        <family val="2"/>
      </rPr>
      <t>☻</t>
    </r>
  </si>
  <si>
    <t>Hidrología</t>
  </si>
  <si>
    <t>Administración de Personal.</t>
  </si>
  <si>
    <t>Preparación y Evaluación de Proyectos 2.</t>
  </si>
  <si>
    <t>Ingeniería de la Producción</t>
  </si>
  <si>
    <t>lX</t>
  </si>
  <si>
    <t>Práctica Inicial ★</t>
  </si>
  <si>
    <t>Práctica Intermedia ★</t>
  </si>
  <si>
    <t>2394 120C</t>
  </si>
  <si>
    <t>Práctica Final ★</t>
  </si>
  <si>
    <t>2585 200C</t>
  </si>
  <si>
    <t>Administración de Empresas 1</t>
  </si>
  <si>
    <t>Investigación de Operaciones 2</t>
  </si>
  <si>
    <t>Práctica Intermedia</t>
  </si>
  <si>
    <t>Concreto Armado 2</t>
  </si>
  <si>
    <t>Diseño Estructural</t>
  </si>
  <si>
    <t>Cimentaciones 1</t>
  </si>
  <si>
    <t>Aguas Subterráneas</t>
  </si>
  <si>
    <t>Saneamiento Ambiental</t>
  </si>
  <si>
    <t>Ingeniería Sanitaria 1</t>
  </si>
  <si>
    <t>Ingeniería Sanitaria 2</t>
  </si>
  <si>
    <t>Análisis Mecánico</t>
  </si>
  <si>
    <t>Seminario de Investigación</t>
  </si>
  <si>
    <t>Ingeniería Sismica</t>
  </si>
  <si>
    <t>Análisis Estructural 3</t>
  </si>
  <si>
    <t>Diseño de Estructuras en Mampostería</t>
  </si>
  <si>
    <t>Puentes</t>
  </si>
  <si>
    <t>Placas y Cáscaras</t>
  </si>
  <si>
    <t>Métodos de Contrucción</t>
  </si>
  <si>
    <t>Introducción a la Evaluacion de Impacto Ambiental</t>
  </si>
  <si>
    <t>Preparación y Evaluación de Proyectos 1</t>
  </si>
  <si>
    <t>Planeamiento</t>
  </si>
  <si>
    <t>Dinámica Estructural</t>
  </si>
  <si>
    <t>Diseño de Estructuras Metálicas 2</t>
  </si>
  <si>
    <t>Planeamiento y Uso de Recursos Hidráulicos</t>
  </si>
  <si>
    <t>Urbanismo</t>
  </si>
  <si>
    <t>Project</t>
  </si>
  <si>
    <t>Epanet</t>
  </si>
  <si>
    <t>Preparación y Evaluación de Proyectos 2</t>
  </si>
  <si>
    <t>Práctica Final</t>
  </si>
  <si>
    <t xml:space="preserve">Diseño Estructural Asistido por Computadora </t>
  </si>
  <si>
    <t>Costos, Presupuestos y Avaluos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</si>
</sst>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3"/>
      <color theme="1"/>
      <name val="Verdana"/>
      <family val="2"/>
    </font>
    <font>
      <b/>
      <sz val="14"/>
      <color theme="1"/>
      <name val="Verdana"/>
      <family val="2"/>
    </font>
    <font>
      <sz val="8"/>
      <color theme="1"/>
      <name val="Verdana"/>
      <family val="2"/>
    </font>
    <font>
      <sz val="9"/>
      <color theme="1"/>
      <name val="Verdana"/>
      <family val="2"/>
    </font>
    <font>
      <sz val="10"/>
      <color theme="0"/>
      <name val="Verdana"/>
      <family val="2"/>
    </font>
    <font>
      <sz val="8.5"/>
      <color theme="1"/>
      <name val="Verdana"/>
      <family val="2"/>
    </font>
    <font>
      <b/>
      <sz val="13"/>
      <color rgb="FF545454"/>
      <name val="Verdana"/>
      <family val="2"/>
    </font>
    <font>
      <sz val="13"/>
      <color theme="1"/>
      <name val="Verdana"/>
      <family val="2"/>
    </font>
    <font>
      <b/>
      <sz val="8.5"/>
      <color theme="1"/>
      <name val="Verdana"/>
      <family val="2"/>
    </font>
    <font>
      <sz val="11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slantDashDot">
        <color indexed="64"/>
      </right>
      <top style="thick">
        <color indexed="64"/>
      </top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slantDashDot">
        <color indexed="64"/>
      </left>
      <right style="thick">
        <color indexed="64"/>
      </right>
      <top style="thick">
        <color indexed="64"/>
      </top>
      <bottom/>
      <diagonal/>
    </border>
    <border>
      <left style="slantDashDot">
        <color indexed="64"/>
      </left>
      <right style="thick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ck">
        <color indexed="64"/>
      </right>
      <top/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slantDashDot">
        <color indexed="64"/>
      </right>
      <top/>
      <bottom style="thick">
        <color indexed="64"/>
      </bottom>
      <diagonal/>
    </border>
    <border>
      <left style="slantDash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/>
      <bottom/>
      <diagonal/>
    </border>
    <border>
      <left style="slantDashDot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slantDashDot">
        <color indexed="64"/>
      </left>
      <right/>
      <top/>
      <bottom style="thick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3" fillId="3" borderId="9" xfId="0" applyFont="1" applyFill="1" applyBorder="1" applyAlignment="1" applyProtection="1">
      <alignment horizontal="center" vertical="center" wrapText="1"/>
      <protection hidden="1"/>
    </xf>
    <xf numFmtId="0" fontId="3" fillId="3" borderId="10" xfId="0" applyFont="1" applyFill="1" applyBorder="1" applyAlignment="1" applyProtection="1">
      <alignment horizontal="center" vertical="center" wrapText="1"/>
      <protection hidden="1"/>
    </xf>
    <xf numFmtId="0" fontId="3" fillId="3" borderId="11" xfId="0" applyFont="1" applyFill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1" fillId="0" borderId="15" xfId="0" applyFont="1" applyBorder="1" applyAlignment="1" applyProtection="1">
      <alignment horizontal="center" vertical="center" wrapText="1"/>
      <protection hidden="1"/>
    </xf>
    <xf numFmtId="0" fontId="1" fillId="0" borderId="16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  <xf numFmtId="0" fontId="3" fillId="3" borderId="19" xfId="0" applyFont="1" applyFill="1" applyBorder="1" applyAlignment="1" applyProtection="1">
      <alignment horizontal="center" vertical="center" wrapText="1"/>
      <protection hidden="1"/>
    </xf>
    <xf numFmtId="0" fontId="3" fillId="3" borderId="20" xfId="0" applyFont="1" applyFill="1" applyBorder="1" applyAlignment="1" applyProtection="1">
      <alignment horizontal="center" vertical="center" wrapText="1"/>
      <protection hidden="1"/>
    </xf>
    <xf numFmtId="0" fontId="3" fillId="3" borderId="21" xfId="0" applyFont="1" applyFill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1" fillId="0" borderId="25" xfId="0" applyFont="1" applyBorder="1" applyAlignment="1" applyProtection="1">
      <alignment horizontal="center" vertical="center" wrapText="1"/>
      <protection hidden="1"/>
    </xf>
    <xf numFmtId="0" fontId="1" fillId="0" borderId="26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4" fillId="3" borderId="27" xfId="0" applyFont="1" applyFill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1" fillId="0" borderId="30" xfId="0" applyFont="1" applyBorder="1" applyAlignment="1" applyProtection="1">
      <alignment horizontal="center" vertical="center" wrapText="1"/>
      <protection hidden="1"/>
    </xf>
    <xf numFmtId="0" fontId="1" fillId="4" borderId="31" xfId="0" applyFont="1" applyFill="1" applyBorder="1" applyAlignment="1" applyProtection="1">
      <alignment horizontal="center" vertical="center" wrapText="1"/>
      <protection hidden="1"/>
    </xf>
    <xf numFmtId="0" fontId="1" fillId="4" borderId="32" xfId="0" applyFont="1" applyFill="1" applyBorder="1" applyAlignment="1" applyProtection="1">
      <alignment horizontal="center" vertical="center" wrapText="1"/>
      <protection hidden="1"/>
    </xf>
    <xf numFmtId="0" fontId="1" fillId="4" borderId="29" xfId="0" applyFont="1" applyFill="1" applyBorder="1" applyAlignment="1" applyProtection="1">
      <alignment horizontal="center" vertical="center" wrapText="1"/>
      <protection hidden="1"/>
    </xf>
    <xf numFmtId="0" fontId="1" fillId="4" borderId="33" xfId="0" applyFont="1" applyFill="1" applyBorder="1" applyAlignment="1" applyProtection="1">
      <alignment horizontal="center" vertical="center" wrapText="1"/>
      <protection hidden="1"/>
    </xf>
    <xf numFmtId="0" fontId="1" fillId="3" borderId="34" xfId="0" applyFont="1" applyFill="1" applyBorder="1" applyAlignment="1" applyProtection="1">
      <alignment horizontal="center" vertical="center" wrapText="1"/>
      <protection hidden="1"/>
    </xf>
    <xf numFmtId="0" fontId="1" fillId="5" borderId="35" xfId="0" applyFont="1" applyFill="1" applyBorder="1" applyAlignment="1" applyProtection="1">
      <alignment horizontal="center" vertical="center" wrapText="1"/>
      <protection locked="0"/>
    </xf>
    <xf numFmtId="0" fontId="1" fillId="4" borderId="36" xfId="0" applyFont="1" applyFill="1" applyBorder="1" applyAlignment="1" applyProtection="1">
      <alignment horizontal="center" vertical="center" wrapText="1"/>
      <protection hidden="1"/>
    </xf>
    <xf numFmtId="0" fontId="1" fillId="5" borderId="37" xfId="0" applyFont="1" applyFill="1" applyBorder="1" applyAlignment="1" applyProtection="1">
      <alignment horizontal="center" vertical="center" wrapText="1"/>
      <protection locked="0"/>
    </xf>
    <xf numFmtId="0" fontId="1" fillId="5" borderId="38" xfId="0" applyFont="1" applyFill="1" applyBorder="1" applyAlignment="1" applyProtection="1">
      <alignment horizontal="center" vertical="center" wrapText="1"/>
      <protection locked="0"/>
    </xf>
    <xf numFmtId="0" fontId="5" fillId="4" borderId="32" xfId="0" applyFont="1" applyFill="1" applyBorder="1" applyAlignment="1" applyProtection="1">
      <alignment horizontal="center" vertical="center" wrapText="1"/>
      <protection hidden="1"/>
    </xf>
    <xf numFmtId="0" fontId="5" fillId="4" borderId="29" xfId="0" applyFont="1" applyFill="1" applyBorder="1" applyAlignment="1" applyProtection="1">
      <alignment horizontal="center" vertical="center" wrapText="1"/>
      <protection hidden="1"/>
    </xf>
    <xf numFmtId="0" fontId="5" fillId="4" borderId="33" xfId="0" applyFont="1" applyFill="1" applyBorder="1" applyAlignment="1" applyProtection="1">
      <alignment horizontal="center" vertical="center" wrapText="1"/>
      <protection hidden="1"/>
    </xf>
    <xf numFmtId="0" fontId="6" fillId="3" borderId="34" xfId="0" applyFont="1" applyFill="1" applyBorder="1" applyAlignment="1" applyProtection="1">
      <alignment horizontal="center" vertical="center" wrapText="1"/>
      <protection hidden="1"/>
    </xf>
    <xf numFmtId="49" fontId="1" fillId="0" borderId="39" xfId="0" applyNumberFormat="1" applyFont="1" applyBorder="1" applyAlignment="1" applyProtection="1">
      <alignment horizontal="center" vertical="center" wrapText="1"/>
      <protection hidden="1"/>
    </xf>
    <xf numFmtId="0" fontId="1" fillId="0" borderId="39" xfId="0" applyFont="1" applyBorder="1" applyAlignment="1" applyProtection="1">
      <alignment horizontal="left" vertical="center" wrapText="1"/>
      <protection hidden="1"/>
    </xf>
    <xf numFmtId="0" fontId="1" fillId="0" borderId="40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6" borderId="7" xfId="0" applyFont="1" applyFill="1" applyBorder="1" applyAlignment="1" applyProtection="1">
      <alignment horizontal="center" vertical="center" wrapText="1"/>
      <protection hidden="1"/>
    </xf>
    <xf numFmtId="0" fontId="1" fillId="0" borderId="41" xfId="0" applyFont="1" applyBorder="1" applyAlignment="1" applyProtection="1">
      <alignment horizontal="center" vertical="center" wrapText="1"/>
      <protection hidden="1"/>
    </xf>
    <xf numFmtId="0" fontId="1" fillId="7" borderId="8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4" fillId="3" borderId="42" xfId="0" applyFont="1" applyFill="1" applyBorder="1" applyAlignment="1" applyProtection="1">
      <alignment horizontal="center" vertical="center" wrapText="1"/>
      <protection hidden="1"/>
    </xf>
    <xf numFmtId="0" fontId="1" fillId="0" borderId="43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44" xfId="0" applyFont="1" applyBorder="1" applyAlignment="1" applyProtection="1">
      <alignment horizontal="center" vertical="center" wrapText="1"/>
      <protection hidden="1"/>
    </xf>
    <xf numFmtId="0" fontId="1" fillId="3" borderId="45" xfId="0" applyFont="1" applyFill="1" applyBorder="1" applyAlignment="1" applyProtection="1">
      <alignment horizontal="center" vertical="center" wrapText="1"/>
      <protection hidden="1"/>
    </xf>
    <xf numFmtId="0" fontId="1" fillId="4" borderId="46" xfId="0" applyFont="1" applyFill="1" applyBorder="1" applyAlignment="1" applyProtection="1">
      <alignment horizontal="center" vertical="center" wrapText="1"/>
      <protection hidden="1"/>
    </xf>
    <xf numFmtId="0" fontId="1" fillId="4" borderId="47" xfId="0" applyFont="1" applyFill="1" applyBorder="1" applyAlignment="1" applyProtection="1">
      <alignment horizontal="center" vertical="center" wrapText="1"/>
      <protection hidden="1"/>
    </xf>
    <xf numFmtId="0" fontId="1" fillId="4" borderId="40" xfId="0" applyFont="1" applyFill="1" applyBorder="1" applyAlignment="1" applyProtection="1">
      <alignment horizontal="center" vertical="center" wrapText="1"/>
      <protection hidden="1"/>
    </xf>
    <xf numFmtId="0" fontId="1" fillId="3" borderId="48" xfId="0" applyFont="1" applyFill="1" applyBorder="1" applyAlignment="1" applyProtection="1">
      <alignment horizontal="center" vertical="center" wrapText="1"/>
      <protection hidden="1"/>
    </xf>
    <xf numFmtId="0" fontId="1" fillId="5" borderId="49" xfId="0" applyFont="1" applyFill="1" applyBorder="1" applyAlignment="1" applyProtection="1">
      <alignment horizontal="center" vertical="center" wrapText="1"/>
      <protection locked="0"/>
    </xf>
    <xf numFmtId="0" fontId="1" fillId="3" borderId="50" xfId="0" applyFont="1" applyFill="1" applyBorder="1" applyAlignment="1" applyProtection="1">
      <alignment horizontal="center" vertical="center" wrapText="1"/>
      <protection hidden="1"/>
    </xf>
    <xf numFmtId="0" fontId="1" fillId="5" borderId="51" xfId="0" applyFont="1" applyFill="1" applyBorder="1" applyAlignment="1" applyProtection="1">
      <alignment horizontal="center" vertical="center" wrapText="1"/>
      <protection locked="0"/>
    </xf>
    <xf numFmtId="0" fontId="5" fillId="4" borderId="46" xfId="0" applyFont="1" applyFill="1" applyBorder="1" applyAlignment="1" applyProtection="1">
      <alignment horizontal="center" vertical="center" wrapText="1"/>
      <protection hidden="1"/>
    </xf>
    <xf numFmtId="0" fontId="5" fillId="4" borderId="47" xfId="0" applyFont="1" applyFill="1" applyBorder="1" applyAlignment="1" applyProtection="1">
      <alignment horizontal="center" vertical="center" wrapText="1"/>
      <protection hidden="1"/>
    </xf>
    <xf numFmtId="0" fontId="5" fillId="4" borderId="40" xfId="0" applyFont="1" applyFill="1" applyBorder="1" applyAlignment="1" applyProtection="1">
      <alignment horizontal="center" vertical="center" wrapText="1"/>
      <protection hidden="1"/>
    </xf>
    <xf numFmtId="0" fontId="6" fillId="3" borderId="48" xfId="0" applyFont="1" applyFill="1" applyBorder="1" applyAlignment="1" applyProtection="1">
      <alignment horizontal="center" vertical="center" wrapText="1"/>
      <protection hidden="1"/>
    </xf>
    <xf numFmtId="0" fontId="1" fillId="0" borderId="52" xfId="0" applyFont="1" applyBorder="1" applyAlignment="1" applyProtection="1">
      <alignment horizontal="center" vertical="center" wrapText="1"/>
      <protection hidden="1"/>
    </xf>
    <xf numFmtId="0" fontId="1" fillId="0" borderId="52" xfId="0" applyFont="1" applyBorder="1" applyAlignment="1" applyProtection="1">
      <alignment horizontal="left" vertical="center" wrapText="1"/>
      <protection hidden="1"/>
    </xf>
    <xf numFmtId="0" fontId="1" fillId="0" borderId="45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1" fillId="6" borderId="12" xfId="0" applyFont="1" applyFill="1" applyBorder="1" applyAlignment="1" applyProtection="1">
      <alignment horizontal="center" vertical="center" wrapText="1"/>
      <protection hidden="1"/>
    </xf>
    <xf numFmtId="0" fontId="1" fillId="0" borderId="53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1" fillId="4" borderId="54" xfId="0" applyFont="1" applyFill="1" applyBorder="1" applyAlignment="1" applyProtection="1">
      <alignment horizontal="center" vertical="center" wrapText="1"/>
      <protection hidden="1"/>
    </xf>
    <xf numFmtId="0" fontId="1" fillId="4" borderId="55" xfId="0" applyFont="1" applyFill="1" applyBorder="1" applyAlignment="1" applyProtection="1">
      <alignment horizontal="center" vertical="center" wrapText="1"/>
      <protection hidden="1"/>
    </xf>
    <xf numFmtId="0" fontId="1" fillId="4" borderId="56" xfId="0" applyFont="1" applyFill="1" applyBorder="1" applyAlignment="1" applyProtection="1">
      <alignment horizontal="center" vertical="center" wrapText="1"/>
      <protection hidden="1"/>
    </xf>
    <xf numFmtId="0" fontId="1" fillId="4" borderId="57" xfId="0" applyFont="1" applyFill="1" applyBorder="1" applyAlignment="1" applyProtection="1">
      <alignment horizontal="center" vertical="center" wrapText="1"/>
      <protection hidden="1"/>
    </xf>
    <xf numFmtId="0" fontId="1" fillId="3" borderId="58" xfId="0" applyFont="1" applyFill="1" applyBorder="1" applyAlignment="1" applyProtection="1">
      <alignment horizontal="center" vertical="center" wrapText="1"/>
      <protection hidden="1"/>
    </xf>
    <xf numFmtId="0" fontId="1" fillId="7" borderId="14" xfId="0" applyFont="1" applyFill="1" applyBorder="1" applyAlignment="1" applyProtection="1">
      <alignment horizontal="center" vertical="center" wrapText="1"/>
      <protection hidden="1"/>
    </xf>
    <xf numFmtId="0" fontId="1" fillId="4" borderId="40" xfId="0" applyFont="1" applyFill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59" xfId="0" applyFont="1" applyBorder="1" applyAlignment="1" applyProtection="1">
      <alignment horizontal="center" vertical="center" wrapText="1"/>
      <protection hidden="1"/>
    </xf>
    <xf numFmtId="0" fontId="1" fillId="0" borderId="60" xfId="0" applyFont="1" applyBorder="1" applyAlignment="1" applyProtection="1">
      <alignment horizontal="center" vertical="center" wrapText="1"/>
      <protection hidden="1"/>
    </xf>
    <xf numFmtId="0" fontId="1" fillId="0" borderId="61" xfId="0" applyFont="1" applyBorder="1" applyAlignment="1" applyProtection="1">
      <alignment horizontal="center" vertical="center" wrapText="1"/>
      <protection hidden="1"/>
    </xf>
    <xf numFmtId="0" fontId="1" fillId="3" borderId="62" xfId="0" applyFont="1" applyFill="1" applyBorder="1" applyAlignment="1" applyProtection="1">
      <alignment horizontal="center" vertical="center" wrapText="1"/>
      <protection hidden="1"/>
    </xf>
    <xf numFmtId="0" fontId="1" fillId="4" borderId="63" xfId="0" applyFont="1" applyFill="1" applyBorder="1" applyAlignment="1" applyProtection="1">
      <alignment horizontal="center" vertical="center" wrapText="1"/>
      <protection hidden="1"/>
    </xf>
    <xf numFmtId="0" fontId="1" fillId="4" borderId="60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1" fillId="3" borderId="65" xfId="0" applyFont="1" applyFill="1" applyBorder="1" applyAlignment="1" applyProtection="1">
      <alignment horizontal="center" vertical="center" wrapText="1"/>
      <protection hidden="1"/>
    </xf>
    <xf numFmtId="0" fontId="1" fillId="5" borderId="66" xfId="0" applyFont="1" applyFill="1" applyBorder="1" applyAlignment="1" applyProtection="1">
      <alignment horizontal="center" vertical="center" wrapText="1"/>
      <protection locked="0"/>
    </xf>
    <xf numFmtId="0" fontId="1" fillId="0" borderId="67" xfId="0" applyFont="1" applyBorder="1" applyAlignment="1" applyProtection="1">
      <alignment horizontal="center" vertical="center" wrapText="1"/>
      <protection hidden="1"/>
    </xf>
    <xf numFmtId="0" fontId="1" fillId="0" borderId="67" xfId="0" applyFont="1" applyBorder="1" applyAlignment="1" applyProtection="1">
      <alignment horizontal="left" vertical="center" wrapText="1"/>
      <protection hidden="1"/>
    </xf>
    <xf numFmtId="0" fontId="1" fillId="0" borderId="68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1" fillId="6" borderId="22" xfId="0" applyFont="1" applyFill="1" applyBorder="1" applyAlignment="1" applyProtection="1">
      <alignment horizontal="center" vertical="center" wrapText="1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4" borderId="69" xfId="0" applyFont="1" applyFill="1" applyBorder="1" applyAlignment="1" applyProtection="1">
      <alignment horizontal="center" vertical="center" wrapText="1"/>
      <protection hidden="1"/>
    </xf>
    <xf numFmtId="0" fontId="1" fillId="4" borderId="0" xfId="0" applyFont="1" applyFill="1" applyAlignment="1" applyProtection="1">
      <alignment horizontal="center" vertical="center" wrapTex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1" fillId="3" borderId="71" xfId="0" applyFont="1" applyFill="1" applyBorder="1" applyAlignment="1" applyProtection="1">
      <alignment horizontal="center" vertical="center" wrapText="1"/>
      <protection hidden="1"/>
    </xf>
    <xf numFmtId="0" fontId="1" fillId="5" borderId="72" xfId="0" applyFont="1" applyFill="1" applyBorder="1" applyAlignment="1" applyProtection="1">
      <alignment horizontal="center" vertical="center" wrapText="1"/>
      <protection locked="0"/>
    </xf>
    <xf numFmtId="49" fontId="1" fillId="0" borderId="73" xfId="0" applyNumberFormat="1" applyFont="1" applyBorder="1" applyAlignment="1" applyProtection="1">
      <alignment horizontal="center" vertical="center" wrapText="1"/>
      <protection hidden="1"/>
    </xf>
    <xf numFmtId="0" fontId="1" fillId="0" borderId="73" xfId="0" applyFont="1" applyBorder="1" applyAlignment="1" applyProtection="1">
      <alignment horizontal="left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8" fillId="3" borderId="58" xfId="0" applyFont="1" applyFill="1" applyBorder="1" applyAlignment="1" applyProtection="1">
      <alignment horizontal="center" vertical="center" wrapText="1"/>
      <protection hidden="1"/>
    </xf>
    <xf numFmtId="0" fontId="1" fillId="4" borderId="45" xfId="0" applyFont="1" applyFill="1" applyBorder="1" applyAlignment="1" applyProtection="1">
      <alignment horizontal="center" vertical="center" wrapText="1"/>
      <protection hidden="1"/>
    </xf>
    <xf numFmtId="0" fontId="1" fillId="0" borderId="74" xfId="0" applyFont="1" applyBorder="1" applyAlignment="1" applyProtection="1">
      <alignment horizontal="center" vertical="center" wrapText="1"/>
      <protection hidden="1"/>
    </xf>
    <xf numFmtId="0" fontId="8" fillId="3" borderId="48" xfId="0" applyFont="1" applyFill="1" applyBorder="1" applyAlignment="1" applyProtection="1">
      <alignment horizontal="center" vertical="center" wrapText="1"/>
      <protection hidden="1"/>
    </xf>
    <xf numFmtId="0" fontId="2" fillId="0" borderId="52" xfId="0" applyFont="1" applyBorder="1" applyAlignment="1" applyProtection="1">
      <alignment horizontal="center" vertical="center" wrapText="1"/>
      <protection hidden="1"/>
    </xf>
    <xf numFmtId="0" fontId="5" fillId="4" borderId="69" xfId="0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5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40" xfId="0" applyFont="1" applyFill="1" applyBorder="1" applyAlignment="1" applyProtection="1">
      <alignment horizontal="center" vertical="center" wrapText="1"/>
      <protection hidden="1"/>
    </xf>
    <xf numFmtId="0" fontId="1" fillId="0" borderId="55" xfId="0" applyFont="1" applyBorder="1" applyAlignment="1" applyProtection="1">
      <alignment horizontal="center" vertical="center" wrapText="1"/>
      <protection hidden="1"/>
    </xf>
    <xf numFmtId="0" fontId="1" fillId="0" borderId="56" xfId="0" applyFont="1" applyBorder="1" applyAlignment="1" applyProtection="1">
      <alignment horizontal="center" vertical="center" wrapText="1"/>
      <protection hidden="1"/>
    </xf>
    <xf numFmtId="0" fontId="1" fillId="0" borderId="57" xfId="0" applyFont="1" applyBorder="1" applyAlignment="1" applyProtection="1">
      <alignment horizontal="center" vertical="center" wrapText="1"/>
      <protection hidden="1"/>
    </xf>
    <xf numFmtId="0" fontId="1" fillId="0" borderId="73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46" xfId="0" applyFont="1" applyBorder="1" applyAlignment="1" applyProtection="1">
      <alignment horizontal="center" vertical="center" wrapText="1"/>
      <protection hidden="1"/>
    </xf>
    <xf numFmtId="0" fontId="1" fillId="0" borderId="47" xfId="0" applyFont="1" applyBorder="1" applyAlignment="1" applyProtection="1">
      <alignment horizontal="center" vertical="center" wrapText="1"/>
      <protection hidden="1"/>
    </xf>
    <xf numFmtId="0" fontId="1" fillId="0" borderId="40" xfId="0" applyFont="1" applyBorder="1" applyAlignment="1" applyProtection="1">
      <alignment horizontal="center" vertical="center" wrapText="1"/>
      <protection hidden="1"/>
    </xf>
    <xf numFmtId="0" fontId="8" fillId="3" borderId="65" xfId="0" applyFont="1" applyFill="1" applyBorder="1" applyAlignment="1" applyProtection="1">
      <alignment horizontal="center" vertical="center" wrapText="1"/>
      <protection hidden="1"/>
    </xf>
    <xf numFmtId="0" fontId="1" fillId="5" borderId="75" xfId="0" applyFont="1" applyFill="1" applyBorder="1" applyAlignment="1" applyProtection="1">
      <alignment horizontal="center" vertical="center" wrapText="1"/>
      <protection locked="0"/>
    </xf>
    <xf numFmtId="0" fontId="8" fillId="3" borderId="71" xfId="0" applyFont="1" applyFill="1" applyBorder="1" applyAlignment="1" applyProtection="1">
      <alignment horizontal="center" vertical="center" wrapText="1"/>
      <protection hidden="1"/>
    </xf>
    <xf numFmtId="0" fontId="1" fillId="5" borderId="76" xfId="0" applyFont="1" applyFill="1" applyBorder="1" applyAlignment="1" applyProtection="1">
      <alignment horizontal="center" vertical="center" wrapText="1"/>
      <protection locked="0"/>
    </xf>
    <xf numFmtId="0" fontId="6" fillId="3" borderId="71" xfId="0" applyFont="1" applyFill="1" applyBorder="1" applyAlignment="1" applyProtection="1">
      <alignment horizontal="center" vertical="center" wrapText="1"/>
      <protection hidden="1"/>
    </xf>
    <xf numFmtId="0" fontId="1" fillId="8" borderId="13" xfId="0" applyFont="1" applyFill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" fillId="8" borderId="23" xfId="0" applyFont="1" applyFill="1" applyBorder="1" applyAlignment="1" applyProtection="1">
      <alignment horizontal="center" vertical="center" wrapText="1"/>
      <protection hidden="1"/>
    </xf>
    <xf numFmtId="0" fontId="5" fillId="4" borderId="55" xfId="0" applyFont="1" applyFill="1" applyBorder="1" applyAlignment="1" applyProtection="1">
      <alignment horizontal="center" vertical="center" wrapText="1"/>
      <protection hidden="1"/>
    </xf>
    <xf numFmtId="0" fontId="5" fillId="4" borderId="56" xfId="0" applyFont="1" applyFill="1" applyBorder="1" applyAlignment="1" applyProtection="1">
      <alignment horizontal="center" vertical="center" wrapText="1"/>
      <protection hidden="1"/>
    </xf>
    <xf numFmtId="0" fontId="5" fillId="4" borderId="57" xfId="0" applyFont="1" applyFill="1" applyBorder="1" applyAlignment="1" applyProtection="1">
      <alignment horizontal="center" vertical="center" wrapText="1"/>
      <protection hidden="1"/>
    </xf>
    <xf numFmtId="0" fontId="6" fillId="3" borderId="58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6" fillId="3" borderId="65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49" fontId="1" fillId="4" borderId="54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69" xfId="0" applyFont="1" applyBorder="1" applyAlignment="1" applyProtection="1">
      <alignment horizontal="center" vertical="center" wrapText="1"/>
      <protection hidden="1"/>
    </xf>
    <xf numFmtId="0" fontId="1" fillId="0" borderId="70" xfId="0" applyFont="1" applyBorder="1" applyAlignment="1" applyProtection="1">
      <alignment horizontal="center" vertical="center" wrapText="1"/>
      <protection hidden="1"/>
    </xf>
    <xf numFmtId="49" fontId="1" fillId="4" borderId="40" xfId="0" applyNumberFormat="1" applyFont="1" applyFill="1" applyBorder="1" applyAlignment="1" applyProtection="1">
      <alignment horizontal="center" vertical="center" wrapText="1"/>
      <protection hidden="1"/>
    </xf>
    <xf numFmtId="49" fontId="1" fillId="3" borderId="71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54" xfId="0" applyFont="1" applyFill="1" applyBorder="1" applyAlignment="1" applyProtection="1">
      <alignment horizontal="center" vertical="center" wrapText="1"/>
      <protection hidden="1"/>
    </xf>
    <xf numFmtId="0" fontId="1" fillId="3" borderId="40" xfId="0" applyFont="1" applyFill="1" applyBorder="1" applyAlignment="1" applyProtection="1">
      <alignment horizontal="center" vertical="center" wrapText="1"/>
      <protection hidden="1"/>
    </xf>
    <xf numFmtId="49" fontId="1" fillId="3" borderId="48" xfId="0" applyNumberFormat="1" applyFont="1" applyFill="1" applyBorder="1" applyAlignment="1" applyProtection="1">
      <alignment horizontal="center" vertical="center" wrapText="1"/>
      <protection hidden="1"/>
    </xf>
    <xf numFmtId="0" fontId="1" fillId="4" borderId="50" xfId="0" applyFont="1" applyFill="1" applyBorder="1" applyAlignment="1" applyProtection="1">
      <alignment horizontal="center" vertical="center" wrapText="1"/>
      <protection hidden="1"/>
    </xf>
    <xf numFmtId="0" fontId="8" fillId="0" borderId="55" xfId="0" applyFont="1" applyBorder="1" applyAlignment="1" applyProtection="1">
      <alignment horizontal="center" vertical="center" wrapText="1"/>
      <protection hidden="1"/>
    </xf>
    <xf numFmtId="0" fontId="8" fillId="0" borderId="56" xfId="0" applyFont="1" applyBorder="1" applyAlignment="1" applyProtection="1">
      <alignment horizontal="center" vertical="center" wrapText="1"/>
      <protection hidden="1"/>
    </xf>
    <xf numFmtId="0" fontId="8" fillId="0" borderId="57" xfId="0" applyFont="1" applyBorder="1" applyAlignment="1" applyProtection="1">
      <alignment horizontal="center" vertical="center" wrapText="1"/>
      <protection hidden="1"/>
    </xf>
    <xf numFmtId="0" fontId="8" fillId="0" borderId="46" xfId="0" applyFont="1" applyBorder="1" applyAlignment="1" applyProtection="1">
      <alignment horizontal="center" vertical="center" wrapText="1"/>
      <protection hidden="1"/>
    </xf>
    <xf numFmtId="0" fontId="8" fillId="0" borderId="47" xfId="0" applyFont="1" applyBorder="1" applyAlignment="1" applyProtection="1">
      <alignment horizontal="center" vertical="center" wrapText="1"/>
      <protection hidden="1"/>
    </xf>
    <xf numFmtId="0" fontId="8" fillId="0" borderId="40" xfId="0" applyFont="1" applyBorder="1" applyAlignment="1" applyProtection="1">
      <alignment horizontal="center" vertical="center" wrapText="1"/>
      <protection hidden="1"/>
    </xf>
    <xf numFmtId="0" fontId="6" fillId="4" borderId="55" xfId="0" applyFont="1" applyFill="1" applyBorder="1" applyAlignment="1" applyProtection="1">
      <alignment horizontal="center" vertical="center" wrapText="1"/>
      <protection hidden="1"/>
    </xf>
    <xf numFmtId="0" fontId="6" fillId="4" borderId="56" xfId="0" applyFont="1" applyFill="1" applyBorder="1" applyAlignment="1" applyProtection="1">
      <alignment horizontal="center" vertical="center" wrapText="1"/>
      <protection hidden="1"/>
    </xf>
    <xf numFmtId="0" fontId="6" fillId="4" borderId="57" xfId="0" applyFont="1" applyFill="1" applyBorder="1" applyAlignment="1" applyProtection="1">
      <alignment horizontal="center" vertical="center" wrapText="1"/>
      <protection hidden="1"/>
    </xf>
    <xf numFmtId="0" fontId="6" fillId="4" borderId="46" xfId="0" applyFont="1" applyFill="1" applyBorder="1" applyAlignment="1" applyProtection="1">
      <alignment horizontal="center" vertical="center" wrapText="1"/>
      <protection hidden="1"/>
    </xf>
    <xf numFmtId="0" fontId="6" fillId="4" borderId="47" xfId="0" applyFont="1" applyFill="1" applyBorder="1" applyAlignment="1" applyProtection="1">
      <alignment horizontal="center" vertical="center" wrapText="1"/>
      <protection hidden="1"/>
    </xf>
    <xf numFmtId="0" fontId="6" fillId="4" borderId="40" xfId="0" applyFont="1" applyFill="1" applyBorder="1" applyAlignment="1" applyProtection="1">
      <alignment horizontal="center" vertical="center" wrapText="1"/>
      <protection hidden="1"/>
    </xf>
    <xf numFmtId="0" fontId="1" fillId="3" borderId="77" xfId="0" applyFont="1" applyFill="1" applyBorder="1" applyAlignment="1" applyProtection="1">
      <alignment horizontal="center" vertical="center" wrapText="1"/>
      <protection hidden="1"/>
    </xf>
    <xf numFmtId="0" fontId="6" fillId="4" borderId="69" xfId="0" applyFont="1" applyFill="1" applyBorder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4" borderId="70" xfId="0" applyFont="1" applyFill="1" applyBorder="1" applyAlignment="1" applyProtection="1">
      <alignment horizontal="center" vertical="center" wrapText="1"/>
      <protection hidden="1"/>
    </xf>
    <xf numFmtId="49" fontId="1" fillId="3" borderId="58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55" xfId="0" applyFont="1" applyBorder="1" applyAlignment="1" applyProtection="1">
      <alignment horizontal="center" vertical="center" wrapText="1"/>
      <protection hidden="1"/>
    </xf>
    <xf numFmtId="0" fontId="5" fillId="4" borderId="63" xfId="0" applyFont="1" applyFill="1" applyBorder="1" applyAlignment="1" applyProtection="1">
      <alignment horizontal="center" vertical="center" wrapText="1"/>
      <protection hidden="1"/>
    </xf>
    <xf numFmtId="0" fontId="5" fillId="4" borderId="60" xfId="0" applyFont="1" applyFill="1" applyBorder="1" applyAlignment="1" applyProtection="1">
      <alignment horizontal="center" vertical="center" wrapText="1"/>
      <protection hidden="1"/>
    </xf>
    <xf numFmtId="0" fontId="5" fillId="4" borderId="64" xfId="0" applyFont="1" applyFill="1" applyBorder="1" applyAlignment="1" applyProtection="1">
      <alignment horizontal="center" vertical="center" wrapText="1"/>
      <protection hidden="1"/>
    </xf>
    <xf numFmtId="0" fontId="12" fillId="4" borderId="69" xfId="0" applyFont="1" applyFill="1" applyBorder="1" applyAlignment="1" applyProtection="1">
      <alignment horizontal="center" vertical="center" wrapText="1"/>
      <protection hidden="1"/>
    </xf>
    <xf numFmtId="0" fontId="12" fillId="4" borderId="0" xfId="0" applyFont="1" applyFill="1" applyAlignment="1" applyProtection="1">
      <alignment horizontal="center" vertical="center" wrapText="1"/>
      <protection hidden="1"/>
    </xf>
    <xf numFmtId="0" fontId="12" fillId="4" borderId="70" xfId="0" applyFont="1" applyFill="1" applyBorder="1" applyAlignment="1" applyProtection="1">
      <alignment horizontal="center" vertical="center" wrapText="1"/>
      <protection hidden="1"/>
    </xf>
    <xf numFmtId="0" fontId="4" fillId="3" borderId="78" xfId="0" applyFont="1" applyFill="1" applyBorder="1" applyAlignment="1" applyProtection="1">
      <alignment horizontal="center" vertical="center" wrapText="1"/>
      <protection hidden="1"/>
    </xf>
    <xf numFmtId="0" fontId="12" fillId="4" borderId="63" xfId="0" applyFont="1" applyFill="1" applyBorder="1" applyAlignment="1" applyProtection="1">
      <alignment horizontal="center" vertical="center" wrapText="1"/>
      <protection hidden="1"/>
    </xf>
    <xf numFmtId="0" fontId="12" fillId="4" borderId="60" xfId="0" applyFont="1" applyFill="1" applyBorder="1" applyAlignment="1" applyProtection="1">
      <alignment horizontal="center" vertical="center" wrapText="1"/>
      <protection hidden="1"/>
    </xf>
    <xf numFmtId="0" fontId="12" fillId="4" borderId="64" xfId="0" applyFont="1" applyFill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1" fillId="0" borderId="39" xfId="0" applyFont="1" applyBorder="1" applyAlignment="1" applyProtection="1">
      <alignment horizontal="center" vertical="center" wrapText="1"/>
      <protection hidden="1"/>
    </xf>
    <xf numFmtId="0" fontId="1" fillId="0" borderId="79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1" fillId="6" borderId="25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467"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36E0-9C4F-4602-B557-F75D8A946E82}">
  <dimension ref="A1:BX118"/>
  <sheetViews>
    <sheetView tabSelected="1" topLeftCell="BI1" workbookViewId="0">
      <selection activeCell="BO70" sqref="BO70"/>
    </sheetView>
  </sheetViews>
  <sheetFormatPr baseColWidth="10" defaultColWidth="5.7109375" defaultRowHeight="12.75" x14ac:dyDescent="0.25"/>
  <cols>
    <col min="1" max="2" width="10.7109375" style="1" customWidth="1"/>
    <col min="3" max="65" width="5.7109375" style="1"/>
    <col min="66" max="66" width="10.7109375" style="1" customWidth="1"/>
    <col min="67" max="67" width="50.7109375" style="5" customWidth="1"/>
    <col min="68" max="69" width="10.7109375" style="1" customWidth="1"/>
    <col min="70" max="71" width="15.7109375" style="1" customWidth="1"/>
    <col min="72" max="72" width="20.7109375" style="1" customWidth="1"/>
    <col min="73" max="16384" width="5.7109375" style="1"/>
  </cols>
  <sheetData>
    <row r="1" spans="1:76" ht="15" customHeight="1" thickBot="1" x14ac:dyDescent="0.3">
      <c r="E1" s="2" t="s">
        <v>0</v>
      </c>
      <c r="F1" s="3"/>
      <c r="G1" s="3"/>
      <c r="H1" s="3"/>
      <c r="I1" s="3"/>
      <c r="J1" s="3"/>
      <c r="K1" s="4"/>
      <c r="L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/>
    </row>
    <row r="2" spans="1:76" ht="15" customHeight="1" thickBot="1" x14ac:dyDescent="0.3">
      <c r="A2" s="6" t="s">
        <v>2</v>
      </c>
      <c r="B2" s="7"/>
      <c r="E2" s="8"/>
      <c r="F2" s="9"/>
      <c r="G2" s="9"/>
      <c r="H2" s="9"/>
      <c r="I2" s="9"/>
      <c r="J2" s="9"/>
      <c r="K2" s="10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10"/>
      <c r="BN2" s="11" t="s">
        <v>3</v>
      </c>
      <c r="BO2" s="12"/>
      <c r="BP2" s="12"/>
      <c r="BQ2" s="7"/>
      <c r="BR2" s="11" t="s">
        <v>4</v>
      </c>
      <c r="BS2" s="12"/>
      <c r="BT2" s="7"/>
    </row>
    <row r="3" spans="1:76" ht="15" customHeight="1" thickBot="1" x14ac:dyDescent="0.3">
      <c r="A3" s="13"/>
      <c r="B3" s="14"/>
      <c r="BN3" s="13"/>
      <c r="BO3" s="15"/>
      <c r="BP3" s="15"/>
      <c r="BQ3" s="14"/>
      <c r="BR3" s="13"/>
      <c r="BS3" s="15"/>
      <c r="BT3" s="14"/>
    </row>
    <row r="4" spans="1:76" ht="15" customHeight="1" thickTop="1" thickBot="1" x14ac:dyDescent="0.3">
      <c r="A4" s="16" t="s">
        <v>5</v>
      </c>
      <c r="B4" s="17"/>
      <c r="E4" s="18">
        <v>1</v>
      </c>
      <c r="F4" s="19"/>
      <c r="G4" s="19"/>
      <c r="H4" s="19"/>
      <c r="I4" s="19"/>
      <c r="J4" s="19"/>
      <c r="K4" s="19">
        <v>2</v>
      </c>
      <c r="L4" s="19"/>
      <c r="M4" s="19"/>
      <c r="N4" s="19"/>
      <c r="O4" s="19"/>
      <c r="P4" s="19"/>
      <c r="Q4" s="19">
        <v>3</v>
      </c>
      <c r="R4" s="19"/>
      <c r="S4" s="19"/>
      <c r="T4" s="19"/>
      <c r="U4" s="19"/>
      <c r="V4" s="19"/>
      <c r="W4" s="19">
        <v>4</v>
      </c>
      <c r="X4" s="19"/>
      <c r="Y4" s="19"/>
      <c r="Z4" s="19"/>
      <c r="AA4" s="19"/>
      <c r="AB4" s="19"/>
      <c r="AC4" s="19">
        <v>5</v>
      </c>
      <c r="AD4" s="19"/>
      <c r="AE4" s="19"/>
      <c r="AF4" s="19"/>
      <c r="AG4" s="19"/>
      <c r="AH4" s="19"/>
      <c r="AI4" s="19">
        <v>6</v>
      </c>
      <c r="AJ4" s="19"/>
      <c r="AK4" s="19"/>
      <c r="AL4" s="19"/>
      <c r="AM4" s="19"/>
      <c r="AN4" s="19"/>
      <c r="AO4" s="19">
        <v>7</v>
      </c>
      <c r="AP4" s="19"/>
      <c r="AQ4" s="19"/>
      <c r="AR4" s="19"/>
      <c r="AS4" s="19"/>
      <c r="AT4" s="19"/>
      <c r="AU4" s="19">
        <v>8</v>
      </c>
      <c r="AV4" s="19"/>
      <c r="AW4" s="19"/>
      <c r="AX4" s="19"/>
      <c r="AY4" s="19"/>
      <c r="AZ4" s="19"/>
      <c r="BA4" s="19">
        <v>9</v>
      </c>
      <c r="BB4" s="19"/>
      <c r="BC4" s="19"/>
      <c r="BD4" s="19"/>
      <c r="BE4" s="19"/>
      <c r="BF4" s="19"/>
      <c r="BG4" s="19">
        <v>10</v>
      </c>
      <c r="BH4" s="19"/>
      <c r="BI4" s="19"/>
      <c r="BJ4" s="19"/>
      <c r="BK4" s="19"/>
      <c r="BL4" s="20"/>
      <c r="BN4" s="21" t="s">
        <v>6</v>
      </c>
      <c r="BO4" s="22" t="s">
        <v>7</v>
      </c>
      <c r="BP4" s="22" t="s">
        <v>8</v>
      </c>
      <c r="BQ4" s="23" t="s">
        <v>9</v>
      </c>
      <c r="BR4" s="24" t="s">
        <v>10</v>
      </c>
      <c r="BS4" s="25" t="s">
        <v>11</v>
      </c>
      <c r="BT4" s="7" t="s">
        <v>12</v>
      </c>
    </row>
    <row r="5" spans="1:76" ht="15" customHeight="1" thickBot="1" x14ac:dyDescent="0.3">
      <c r="A5" s="26"/>
      <c r="B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30"/>
      <c r="BN5" s="31"/>
      <c r="BO5" s="32"/>
      <c r="BP5" s="32"/>
      <c r="BQ5" s="33"/>
      <c r="BR5" s="34"/>
      <c r="BS5" s="35"/>
      <c r="BT5" s="14"/>
    </row>
    <row r="6" spans="1:76" ht="15" customHeight="1" thickTop="1" thickBot="1" x14ac:dyDescent="0.3">
      <c r="A6" s="36">
        <v>69.966101694915253</v>
      </c>
      <c r="B6" s="37"/>
      <c r="D6" s="38" t="s">
        <v>13</v>
      </c>
      <c r="E6" s="39"/>
      <c r="F6" s="40"/>
      <c r="G6" s="40"/>
      <c r="H6" s="40"/>
      <c r="I6" s="40"/>
      <c r="J6" s="41"/>
      <c r="K6" s="39"/>
      <c r="L6" s="40"/>
      <c r="M6" s="40"/>
      <c r="N6" s="40"/>
      <c r="O6" s="40"/>
      <c r="P6" s="41"/>
      <c r="Q6" s="39"/>
      <c r="R6" s="40"/>
      <c r="S6" s="40"/>
      <c r="T6" s="40"/>
      <c r="U6" s="40"/>
      <c r="V6" s="41"/>
      <c r="W6" s="42">
        <v>746</v>
      </c>
      <c r="X6" s="43" t="s">
        <v>14</v>
      </c>
      <c r="Y6" s="44"/>
      <c r="Z6" s="45"/>
      <c r="AA6" s="46">
        <v>290</v>
      </c>
      <c r="AB6" s="47">
        <v>69</v>
      </c>
      <c r="AC6" s="48">
        <v>747</v>
      </c>
      <c r="AD6" s="43" t="s">
        <v>15</v>
      </c>
      <c r="AE6" s="44"/>
      <c r="AF6" s="45"/>
      <c r="AG6" s="46">
        <v>746</v>
      </c>
      <c r="AH6" s="49">
        <v>82</v>
      </c>
      <c r="AI6" s="42">
        <v>1073</v>
      </c>
      <c r="AJ6" s="43" t="s">
        <v>16</v>
      </c>
      <c r="AK6" s="44"/>
      <c r="AL6" s="45"/>
      <c r="AM6" s="46">
        <v>747</v>
      </c>
      <c r="AN6" s="47"/>
      <c r="AO6" s="48">
        <v>940</v>
      </c>
      <c r="AP6" s="43" t="s">
        <v>17</v>
      </c>
      <c r="AQ6" s="44"/>
      <c r="AR6" s="45"/>
      <c r="AS6" s="46" t="s">
        <v>18</v>
      </c>
      <c r="AT6" s="47">
        <v>81</v>
      </c>
      <c r="AU6" s="48">
        <v>1074</v>
      </c>
      <c r="AV6" s="43" t="s">
        <v>19</v>
      </c>
      <c r="AW6" s="44"/>
      <c r="AX6" s="45"/>
      <c r="AY6" s="46">
        <v>940</v>
      </c>
      <c r="AZ6" s="50"/>
      <c r="BA6" s="42"/>
      <c r="BB6" s="51" t="s">
        <v>20</v>
      </c>
      <c r="BC6" s="52"/>
      <c r="BD6" s="53"/>
      <c r="BE6" s="54" t="s">
        <v>21</v>
      </c>
      <c r="BF6" s="47">
        <v>70</v>
      </c>
      <c r="BG6" s="39"/>
      <c r="BH6" s="40"/>
      <c r="BI6" s="40"/>
      <c r="BJ6" s="40"/>
      <c r="BK6" s="40"/>
      <c r="BL6" s="41"/>
      <c r="BN6" s="55" t="s">
        <v>22</v>
      </c>
      <c r="BO6" s="56" t="s">
        <v>23</v>
      </c>
      <c r="BP6" s="57">
        <v>4</v>
      </c>
      <c r="BQ6" s="58">
        <v>69</v>
      </c>
      <c r="BR6" s="59" t="s">
        <v>24</v>
      </c>
      <c r="BS6" s="60"/>
      <c r="BT6" s="61" t="s">
        <v>24</v>
      </c>
      <c r="BU6" s="62">
        <v>1</v>
      </c>
      <c r="BV6" s="62"/>
      <c r="BW6" s="62">
        <v>1</v>
      </c>
      <c r="BX6" s="62">
        <v>1</v>
      </c>
    </row>
    <row r="7" spans="1:76" ht="15" customHeight="1" thickBot="1" x14ac:dyDescent="0.3">
      <c r="A7" s="31"/>
      <c r="B7" s="33"/>
      <c r="D7" s="63"/>
      <c r="E7" s="64"/>
      <c r="F7" s="65"/>
      <c r="G7" s="65"/>
      <c r="H7" s="65"/>
      <c r="I7" s="65"/>
      <c r="J7" s="66"/>
      <c r="K7" s="64"/>
      <c r="L7" s="65"/>
      <c r="M7" s="65"/>
      <c r="N7" s="65"/>
      <c r="O7" s="65"/>
      <c r="P7" s="66"/>
      <c r="Q7" s="64"/>
      <c r="R7" s="65"/>
      <c r="S7" s="65"/>
      <c r="T7" s="65"/>
      <c r="U7" s="65"/>
      <c r="V7" s="66"/>
      <c r="W7" s="67">
        <v>6</v>
      </c>
      <c r="X7" s="68"/>
      <c r="Y7" s="69"/>
      <c r="Z7" s="70"/>
      <c r="AA7" s="71"/>
      <c r="AB7" s="72"/>
      <c r="AC7" s="73">
        <v>6</v>
      </c>
      <c r="AD7" s="68"/>
      <c r="AE7" s="69"/>
      <c r="AF7" s="70"/>
      <c r="AG7" s="71"/>
      <c r="AH7" s="74"/>
      <c r="AI7" s="67">
        <v>6</v>
      </c>
      <c r="AJ7" s="68"/>
      <c r="AK7" s="69"/>
      <c r="AL7" s="70"/>
      <c r="AM7" s="71"/>
      <c r="AN7" s="72"/>
      <c r="AO7" s="73">
        <v>6</v>
      </c>
      <c r="AP7" s="68"/>
      <c r="AQ7" s="69"/>
      <c r="AR7" s="70"/>
      <c r="AS7" s="71"/>
      <c r="AT7" s="72"/>
      <c r="AU7" s="73">
        <v>4</v>
      </c>
      <c r="AV7" s="68"/>
      <c r="AW7" s="69"/>
      <c r="AX7" s="70"/>
      <c r="AY7" s="71"/>
      <c r="AZ7" s="74"/>
      <c r="BA7" s="67">
        <v>4</v>
      </c>
      <c r="BB7" s="75"/>
      <c r="BC7" s="76"/>
      <c r="BD7" s="77"/>
      <c r="BE7" s="78"/>
      <c r="BF7" s="72"/>
      <c r="BG7" s="64"/>
      <c r="BH7" s="65"/>
      <c r="BI7" s="65"/>
      <c r="BJ7" s="65"/>
      <c r="BK7" s="65"/>
      <c r="BL7" s="66"/>
      <c r="BN7" s="79">
        <v>169</v>
      </c>
      <c r="BO7" s="80" t="s">
        <v>25</v>
      </c>
      <c r="BP7" s="81">
        <v>7</v>
      </c>
      <c r="BQ7" s="82">
        <v>61</v>
      </c>
      <c r="BR7" s="83" t="s">
        <v>24</v>
      </c>
      <c r="BS7" s="84"/>
      <c r="BT7" s="82"/>
      <c r="BU7" s="62">
        <v>1</v>
      </c>
      <c r="BV7" s="62"/>
      <c r="BW7" s="62"/>
      <c r="BX7" s="62">
        <v>1</v>
      </c>
    </row>
    <row r="8" spans="1:76" ht="15" customHeight="1" thickBot="1" x14ac:dyDescent="0.3">
      <c r="A8" s="85" t="s">
        <v>26</v>
      </c>
      <c r="B8" s="86"/>
      <c r="D8" s="63"/>
      <c r="E8" s="64"/>
      <c r="F8" s="65"/>
      <c r="G8" s="65"/>
      <c r="H8" s="65"/>
      <c r="I8" s="65"/>
      <c r="J8" s="66"/>
      <c r="K8" s="64"/>
      <c r="L8" s="65"/>
      <c r="M8" s="65"/>
      <c r="N8" s="65"/>
      <c r="O8" s="65"/>
      <c r="P8" s="66"/>
      <c r="Q8" s="64"/>
      <c r="R8" s="65"/>
      <c r="S8" s="65"/>
      <c r="T8" s="65"/>
      <c r="U8" s="65"/>
      <c r="V8" s="66"/>
      <c r="W8" s="64"/>
      <c r="X8" s="65"/>
      <c r="Y8" s="65"/>
      <c r="Z8" s="65"/>
      <c r="AA8" s="65"/>
      <c r="AB8" s="66"/>
      <c r="AC8" s="64"/>
      <c r="AD8" s="65"/>
      <c r="AE8" s="65"/>
      <c r="AF8" s="65"/>
      <c r="AG8" s="65"/>
      <c r="AH8" s="66"/>
      <c r="AI8" s="65"/>
      <c r="AJ8" s="65"/>
      <c r="AK8" s="65"/>
      <c r="AL8" s="65"/>
      <c r="AM8" s="65"/>
      <c r="AN8" s="66"/>
      <c r="AO8" s="64"/>
      <c r="AP8" s="65"/>
      <c r="AQ8" s="65"/>
      <c r="AR8" s="65"/>
      <c r="AS8" s="65"/>
      <c r="AT8" s="65"/>
      <c r="AU8" s="87">
        <v>1075</v>
      </c>
      <c r="AV8" s="88" t="s">
        <v>27</v>
      </c>
      <c r="AW8" s="89"/>
      <c r="AX8" s="90"/>
      <c r="AY8" s="91">
        <v>940</v>
      </c>
      <c r="AZ8" s="50"/>
      <c r="BA8" s="65"/>
      <c r="BB8" s="65"/>
      <c r="BC8" s="65"/>
      <c r="BD8" s="65"/>
      <c r="BE8" s="65"/>
      <c r="BF8" s="66"/>
      <c r="BG8" s="64"/>
      <c r="BH8" s="65"/>
      <c r="BI8" s="65"/>
      <c r="BJ8" s="65"/>
      <c r="BK8" s="65"/>
      <c r="BL8" s="66"/>
      <c r="BN8" s="79"/>
      <c r="BO8" s="80" t="s">
        <v>28</v>
      </c>
      <c r="BP8" s="81">
        <v>1</v>
      </c>
      <c r="BQ8" s="82">
        <v>72</v>
      </c>
      <c r="BR8" s="83" t="s">
        <v>24</v>
      </c>
      <c r="BS8" s="84"/>
      <c r="BT8" s="82"/>
      <c r="BU8" s="62">
        <v>1</v>
      </c>
      <c r="BV8" s="62"/>
      <c r="BW8" s="62"/>
      <c r="BX8" s="62">
        <v>1</v>
      </c>
    </row>
    <row r="9" spans="1:76" ht="15" customHeight="1" thickBot="1" x14ac:dyDescent="0.3">
      <c r="A9" s="26"/>
      <c r="B9" s="27"/>
      <c r="D9" s="63"/>
      <c r="E9" s="64"/>
      <c r="F9" s="65"/>
      <c r="G9" s="65"/>
      <c r="H9" s="65"/>
      <c r="I9" s="65"/>
      <c r="J9" s="66"/>
      <c r="K9" s="64"/>
      <c r="L9" s="65"/>
      <c r="M9" s="65"/>
      <c r="N9" s="65"/>
      <c r="O9" s="65"/>
      <c r="P9" s="66"/>
      <c r="Q9" s="64"/>
      <c r="R9" s="65"/>
      <c r="S9" s="65"/>
      <c r="T9" s="65"/>
      <c r="U9" s="65"/>
      <c r="V9" s="66"/>
      <c r="W9" s="64"/>
      <c r="X9" s="65"/>
      <c r="Y9" s="65"/>
      <c r="Z9" s="65"/>
      <c r="AA9" s="65"/>
      <c r="AB9" s="66"/>
      <c r="AC9" s="64"/>
      <c r="AD9" s="65"/>
      <c r="AE9" s="65"/>
      <c r="AF9" s="65"/>
      <c r="AG9" s="65"/>
      <c r="AH9" s="66"/>
      <c r="AI9" s="65"/>
      <c r="AJ9" s="65"/>
      <c r="AK9" s="65"/>
      <c r="AL9" s="65"/>
      <c r="AM9" s="65"/>
      <c r="AN9" s="66"/>
      <c r="AO9" s="64"/>
      <c r="AP9" s="65"/>
      <c r="AQ9" s="65"/>
      <c r="AR9" s="65"/>
      <c r="AS9" s="65"/>
      <c r="AT9" s="66"/>
      <c r="AU9" s="67">
        <v>6</v>
      </c>
      <c r="AV9" s="68"/>
      <c r="AW9" s="69"/>
      <c r="AX9" s="70"/>
      <c r="AY9" s="71"/>
      <c r="AZ9" s="74"/>
      <c r="BA9" s="65"/>
      <c r="BB9" s="65"/>
      <c r="BC9" s="65"/>
      <c r="BD9" s="65"/>
      <c r="BE9" s="65"/>
      <c r="BF9" s="66"/>
      <c r="BG9" s="64"/>
      <c r="BH9" s="65"/>
      <c r="BI9" s="65"/>
      <c r="BJ9" s="65"/>
      <c r="BK9" s="65"/>
      <c r="BL9" s="66"/>
      <c r="BN9" s="79">
        <v>216</v>
      </c>
      <c r="BO9" s="80" t="s">
        <v>29</v>
      </c>
      <c r="BP9" s="81">
        <v>3</v>
      </c>
      <c r="BQ9" s="82">
        <v>64</v>
      </c>
      <c r="BR9" s="83" t="s">
        <v>24</v>
      </c>
      <c r="BS9" s="84"/>
      <c r="BT9" s="92" t="s">
        <v>24</v>
      </c>
      <c r="BU9" s="62">
        <v>1</v>
      </c>
      <c r="BV9" s="62"/>
      <c r="BW9" s="62">
        <v>1</v>
      </c>
      <c r="BX9" s="62">
        <v>1</v>
      </c>
    </row>
    <row r="10" spans="1:76" ht="15" customHeight="1" thickBot="1" x14ac:dyDescent="0.3">
      <c r="A10" s="36">
        <v>261</v>
      </c>
      <c r="B10" s="37"/>
      <c r="D10" s="63"/>
      <c r="E10" s="64"/>
      <c r="F10" s="65"/>
      <c r="G10" s="65"/>
      <c r="H10" s="65"/>
      <c r="I10" s="65"/>
      <c r="J10" s="66"/>
      <c r="K10" s="64"/>
      <c r="L10" s="65"/>
      <c r="M10" s="65"/>
      <c r="N10" s="65"/>
      <c r="O10" s="65"/>
      <c r="P10" s="66"/>
      <c r="Q10" s="64"/>
      <c r="R10" s="65"/>
      <c r="S10" s="65"/>
      <c r="T10" s="65"/>
      <c r="U10" s="65"/>
      <c r="V10" s="66"/>
      <c r="W10" s="64"/>
      <c r="X10" s="65"/>
      <c r="Y10" s="65"/>
      <c r="Z10" s="65"/>
      <c r="AA10" s="65"/>
      <c r="AB10" s="66"/>
      <c r="AC10" s="64"/>
      <c r="AD10" s="65"/>
      <c r="AE10" s="65"/>
      <c r="AF10" s="65"/>
      <c r="AG10" s="65"/>
      <c r="AH10" s="66"/>
      <c r="AI10" s="65"/>
      <c r="AJ10" s="65"/>
      <c r="AK10" s="65"/>
      <c r="AL10" s="65"/>
      <c r="AM10" s="65"/>
      <c r="AN10" s="66"/>
      <c r="AO10" s="64"/>
      <c r="AP10" s="65"/>
      <c r="AQ10" s="65"/>
      <c r="AR10" s="65"/>
      <c r="AS10" s="65"/>
      <c r="AT10" s="66"/>
      <c r="AU10" s="93">
        <v>1063</v>
      </c>
      <c r="AV10" s="88" t="s">
        <v>30</v>
      </c>
      <c r="AW10" s="89"/>
      <c r="AX10" s="90"/>
      <c r="AY10" s="91">
        <v>940</v>
      </c>
      <c r="AZ10" s="50"/>
      <c r="BA10" s="65"/>
      <c r="BB10" s="65"/>
      <c r="BC10" s="65"/>
      <c r="BD10" s="65"/>
      <c r="BE10" s="65"/>
      <c r="BF10" s="66"/>
      <c r="BG10" s="64"/>
      <c r="BH10" s="65"/>
      <c r="BI10" s="65"/>
      <c r="BJ10" s="65"/>
      <c r="BK10" s="65"/>
      <c r="BL10" s="66"/>
      <c r="BN10" s="79">
        <v>177</v>
      </c>
      <c r="BO10" s="80" t="s">
        <v>31</v>
      </c>
      <c r="BP10" s="81">
        <v>1</v>
      </c>
      <c r="BQ10" s="82">
        <v>75</v>
      </c>
      <c r="BR10" s="94"/>
      <c r="BS10" s="84"/>
      <c r="BT10" s="82"/>
      <c r="BU10" s="62"/>
      <c r="BV10" s="62"/>
      <c r="BW10" s="62"/>
      <c r="BX10" s="62">
        <v>1</v>
      </c>
    </row>
    <row r="11" spans="1:76" ht="15" customHeight="1" thickBot="1" x14ac:dyDescent="0.3">
      <c r="A11" s="31"/>
      <c r="B11" s="33"/>
      <c r="D11" s="63"/>
      <c r="E11" s="95"/>
      <c r="F11" s="96"/>
      <c r="G11" s="96"/>
      <c r="H11" s="96"/>
      <c r="I11" s="96"/>
      <c r="J11" s="97"/>
      <c r="K11" s="95"/>
      <c r="L11" s="96"/>
      <c r="M11" s="96"/>
      <c r="N11" s="96"/>
      <c r="O11" s="96"/>
      <c r="P11" s="97"/>
      <c r="Q11" s="95"/>
      <c r="R11" s="96"/>
      <c r="S11" s="96"/>
      <c r="T11" s="96"/>
      <c r="U11" s="96"/>
      <c r="V11" s="97"/>
      <c r="W11" s="95"/>
      <c r="X11" s="96"/>
      <c r="Y11" s="96"/>
      <c r="Z11" s="96"/>
      <c r="AA11" s="96"/>
      <c r="AB11" s="97"/>
      <c r="AC11" s="95"/>
      <c r="AD11" s="96"/>
      <c r="AE11" s="96"/>
      <c r="AF11" s="96"/>
      <c r="AG11" s="96"/>
      <c r="AH11" s="97"/>
      <c r="AI11" s="96"/>
      <c r="AJ11" s="96"/>
      <c r="AK11" s="96"/>
      <c r="AL11" s="96"/>
      <c r="AM11" s="96"/>
      <c r="AN11" s="97"/>
      <c r="AO11" s="95"/>
      <c r="AP11" s="96"/>
      <c r="AQ11" s="96"/>
      <c r="AR11" s="96"/>
      <c r="AS11" s="96"/>
      <c r="AT11" s="97"/>
      <c r="AU11" s="98">
        <v>4</v>
      </c>
      <c r="AV11" s="99"/>
      <c r="AW11" s="100"/>
      <c r="AX11" s="101"/>
      <c r="AY11" s="102"/>
      <c r="AZ11" s="103"/>
      <c r="BA11" s="96"/>
      <c r="BB11" s="96"/>
      <c r="BC11" s="96"/>
      <c r="BD11" s="96"/>
      <c r="BE11" s="96"/>
      <c r="BF11" s="97"/>
      <c r="BG11" s="95"/>
      <c r="BH11" s="96"/>
      <c r="BI11" s="96"/>
      <c r="BJ11" s="96"/>
      <c r="BK11" s="96"/>
      <c r="BL11" s="97"/>
      <c r="BN11" s="104">
        <v>119</v>
      </c>
      <c r="BO11" s="105" t="s">
        <v>32</v>
      </c>
      <c r="BP11" s="106">
        <v>3</v>
      </c>
      <c r="BQ11" s="107">
        <v>63</v>
      </c>
      <c r="BR11" s="108" t="s">
        <v>24</v>
      </c>
      <c r="BS11" s="109"/>
      <c r="BT11" s="107"/>
      <c r="BU11" s="62">
        <v>1</v>
      </c>
      <c r="BV11" s="62"/>
      <c r="BW11" s="62"/>
      <c r="BX11" s="62">
        <v>1</v>
      </c>
    </row>
    <row r="12" spans="1:76" ht="15" customHeight="1" thickTop="1" thickBot="1" x14ac:dyDescent="0.3">
      <c r="A12" s="85" t="s">
        <v>33</v>
      </c>
      <c r="B12" s="86"/>
      <c r="D12" s="63" t="s">
        <v>34</v>
      </c>
      <c r="E12" s="39"/>
      <c r="F12" s="40"/>
      <c r="G12" s="40"/>
      <c r="H12" s="40"/>
      <c r="I12" s="40"/>
      <c r="J12" s="41"/>
      <c r="K12" s="39"/>
      <c r="L12" s="40"/>
      <c r="M12" s="40"/>
      <c r="N12" s="40"/>
      <c r="O12" s="40"/>
      <c r="P12" s="41"/>
      <c r="Q12" s="39"/>
      <c r="R12" s="40"/>
      <c r="S12" s="40"/>
      <c r="T12" s="40"/>
      <c r="U12" s="40"/>
      <c r="V12" s="41"/>
      <c r="W12" s="39"/>
      <c r="X12" s="40"/>
      <c r="Y12" s="40"/>
      <c r="Z12" s="40"/>
      <c r="AA12" s="40"/>
      <c r="AB12" s="41"/>
      <c r="AC12" s="87">
        <v>672</v>
      </c>
      <c r="AD12" s="110" t="s">
        <v>35</v>
      </c>
      <c r="AE12" s="111"/>
      <c r="AF12" s="112"/>
      <c r="AG12" s="113" t="s">
        <v>36</v>
      </c>
      <c r="AH12" s="50">
        <v>81</v>
      </c>
      <c r="AI12" s="93">
        <v>677</v>
      </c>
      <c r="AJ12" s="110" t="s">
        <v>37</v>
      </c>
      <c r="AK12" s="111"/>
      <c r="AL12" s="112"/>
      <c r="AM12" s="113">
        <v>672</v>
      </c>
      <c r="AN12" s="47">
        <v>63</v>
      </c>
      <c r="AO12" s="87">
        <v>924</v>
      </c>
      <c r="AP12" s="110" t="s">
        <v>38</v>
      </c>
      <c r="AQ12" s="111"/>
      <c r="AR12" s="112"/>
      <c r="AS12" s="113">
        <v>677</v>
      </c>
      <c r="AT12" s="50"/>
      <c r="AU12" s="93">
        <v>1053</v>
      </c>
      <c r="AV12" s="110" t="s">
        <v>39</v>
      </c>
      <c r="AW12" s="111"/>
      <c r="AX12" s="112"/>
      <c r="AY12" s="113">
        <v>745</v>
      </c>
      <c r="AZ12" s="114"/>
      <c r="BA12" s="93">
        <v>1062</v>
      </c>
      <c r="BB12" s="110" t="s">
        <v>40</v>
      </c>
      <c r="BC12" s="111"/>
      <c r="BD12" s="112"/>
      <c r="BE12" s="113">
        <v>1053</v>
      </c>
      <c r="BF12" s="47"/>
      <c r="BG12" s="39"/>
      <c r="BH12" s="40"/>
      <c r="BI12" s="40"/>
      <c r="BJ12" s="40"/>
      <c r="BK12" s="40"/>
      <c r="BL12" s="41"/>
      <c r="BN12" s="115" t="s">
        <v>41</v>
      </c>
      <c r="BO12" s="116" t="s">
        <v>42</v>
      </c>
      <c r="BP12" s="57">
        <v>4</v>
      </c>
      <c r="BQ12" s="58">
        <v>63</v>
      </c>
      <c r="BR12" s="83" t="s">
        <v>24</v>
      </c>
      <c r="BS12" s="117"/>
      <c r="BT12" s="118"/>
      <c r="BU12" s="62">
        <v>1</v>
      </c>
      <c r="BV12" s="62"/>
      <c r="BW12" s="62"/>
      <c r="BX12" s="62">
        <v>1</v>
      </c>
    </row>
    <row r="13" spans="1:76" ht="15" customHeight="1" thickBot="1" x14ac:dyDescent="0.3">
      <c r="A13" s="26"/>
      <c r="B13" s="27"/>
      <c r="D13" s="63"/>
      <c r="E13" s="64"/>
      <c r="F13" s="65"/>
      <c r="G13" s="65"/>
      <c r="H13" s="65"/>
      <c r="I13" s="65"/>
      <c r="J13" s="66"/>
      <c r="K13" s="64"/>
      <c r="L13" s="65"/>
      <c r="M13" s="65"/>
      <c r="N13" s="65"/>
      <c r="O13" s="65"/>
      <c r="P13" s="66"/>
      <c r="Q13" s="64"/>
      <c r="R13" s="65"/>
      <c r="S13" s="65"/>
      <c r="T13" s="65"/>
      <c r="U13" s="65"/>
      <c r="V13" s="66"/>
      <c r="W13" s="64"/>
      <c r="X13" s="65"/>
      <c r="Y13" s="65"/>
      <c r="Z13" s="65"/>
      <c r="AA13" s="65"/>
      <c r="AB13" s="66"/>
      <c r="AC13" s="73">
        <v>5</v>
      </c>
      <c r="AD13" s="68"/>
      <c r="AE13" s="69"/>
      <c r="AF13" s="70"/>
      <c r="AG13" s="71"/>
      <c r="AH13" s="74"/>
      <c r="AI13" s="67">
        <v>5</v>
      </c>
      <c r="AJ13" s="68"/>
      <c r="AK13" s="69"/>
      <c r="AL13" s="70"/>
      <c r="AM13" s="71"/>
      <c r="AN13" s="72"/>
      <c r="AO13" s="73">
        <v>4</v>
      </c>
      <c r="AP13" s="68"/>
      <c r="AQ13" s="69"/>
      <c r="AR13" s="70"/>
      <c r="AS13" s="71"/>
      <c r="AT13" s="74"/>
      <c r="AU13" s="67">
        <v>6</v>
      </c>
      <c r="AV13" s="68"/>
      <c r="AW13" s="69"/>
      <c r="AX13" s="70"/>
      <c r="AY13" s="71"/>
      <c r="AZ13" s="74"/>
      <c r="BA13" s="67">
        <v>5</v>
      </c>
      <c r="BB13" s="68"/>
      <c r="BC13" s="69"/>
      <c r="BD13" s="70"/>
      <c r="BE13" s="71"/>
      <c r="BF13" s="72"/>
      <c r="BG13" s="64"/>
      <c r="BH13" s="65"/>
      <c r="BI13" s="65"/>
      <c r="BJ13" s="65"/>
      <c r="BK13" s="65"/>
      <c r="BL13" s="66"/>
      <c r="BN13" s="79">
        <v>170</v>
      </c>
      <c r="BO13" s="80" t="s">
        <v>43</v>
      </c>
      <c r="BP13" s="57">
        <v>7</v>
      </c>
      <c r="BQ13" s="118">
        <v>61</v>
      </c>
      <c r="BR13" s="83" t="s">
        <v>24</v>
      </c>
      <c r="BS13" s="84"/>
      <c r="BT13" s="82"/>
      <c r="BU13" s="62">
        <v>1</v>
      </c>
      <c r="BV13" s="62"/>
      <c r="BW13" s="62"/>
      <c r="BX13" s="62">
        <v>1</v>
      </c>
    </row>
    <row r="14" spans="1:76" ht="15" customHeight="1" thickBot="1" x14ac:dyDescent="0.3">
      <c r="A14" s="26"/>
      <c r="B14" s="27"/>
      <c r="D14" s="63"/>
      <c r="E14" s="64"/>
      <c r="F14" s="65"/>
      <c r="G14" s="65"/>
      <c r="H14" s="65"/>
      <c r="I14" s="65"/>
      <c r="J14" s="66"/>
      <c r="K14" s="64"/>
      <c r="L14" s="65"/>
      <c r="M14" s="65"/>
      <c r="N14" s="65"/>
      <c r="O14" s="65"/>
      <c r="P14" s="66"/>
      <c r="Q14" s="64"/>
      <c r="R14" s="65"/>
      <c r="S14" s="65"/>
      <c r="T14" s="65"/>
      <c r="U14" s="65"/>
      <c r="V14" s="66"/>
      <c r="W14" s="64"/>
      <c r="X14" s="65"/>
      <c r="Y14" s="65"/>
      <c r="Z14" s="65"/>
      <c r="AA14" s="65"/>
      <c r="AB14" s="66"/>
      <c r="AC14" s="87"/>
      <c r="AD14" s="88" t="s">
        <v>44</v>
      </c>
      <c r="AE14" s="89"/>
      <c r="AF14" s="90"/>
      <c r="AG14" s="119" t="s">
        <v>45</v>
      </c>
      <c r="AH14" s="47"/>
      <c r="AI14" s="64"/>
      <c r="AJ14" s="65"/>
      <c r="AK14" s="65"/>
      <c r="AL14" s="65"/>
      <c r="AM14" s="65"/>
      <c r="AN14" s="66"/>
      <c r="AO14" s="87">
        <v>745</v>
      </c>
      <c r="AP14" s="88" t="s">
        <v>46</v>
      </c>
      <c r="AQ14" s="89"/>
      <c r="AR14" s="90"/>
      <c r="AS14" s="91">
        <v>677</v>
      </c>
      <c r="AT14" s="50">
        <v>79</v>
      </c>
      <c r="AU14" s="93">
        <v>1072</v>
      </c>
      <c r="AV14" s="88" t="s">
        <v>47</v>
      </c>
      <c r="AW14" s="89"/>
      <c r="AX14" s="90"/>
      <c r="AY14" s="113">
        <v>745</v>
      </c>
      <c r="AZ14" s="50"/>
      <c r="BA14" s="93">
        <v>1054</v>
      </c>
      <c r="BB14" s="110" t="s">
        <v>48</v>
      </c>
      <c r="BC14" s="111"/>
      <c r="BD14" s="112"/>
      <c r="BE14" s="113">
        <v>1053</v>
      </c>
      <c r="BF14" s="50"/>
      <c r="BG14" s="120">
        <v>1056</v>
      </c>
      <c r="BH14" s="88" t="s">
        <v>49</v>
      </c>
      <c r="BI14" s="89"/>
      <c r="BJ14" s="90"/>
      <c r="BK14" s="91">
        <v>1062</v>
      </c>
      <c r="BL14" s="47"/>
      <c r="BM14" s="121"/>
      <c r="BN14" s="79">
        <v>72</v>
      </c>
      <c r="BO14" s="80" t="s">
        <v>50</v>
      </c>
      <c r="BP14" s="57">
        <v>5</v>
      </c>
      <c r="BQ14" s="118">
        <v>82</v>
      </c>
      <c r="BR14" s="83" t="s">
        <v>24</v>
      </c>
      <c r="BS14" s="84"/>
      <c r="BT14" s="82"/>
      <c r="BU14" s="62">
        <v>1</v>
      </c>
      <c r="BV14" s="62"/>
      <c r="BW14" s="62"/>
      <c r="BX14" s="62">
        <v>1</v>
      </c>
    </row>
    <row r="15" spans="1:76" ht="15" customHeight="1" thickBot="1" x14ac:dyDescent="0.3">
      <c r="A15" s="36">
        <v>49</v>
      </c>
      <c r="B15" s="37"/>
      <c r="D15" s="63"/>
      <c r="E15" s="64"/>
      <c r="F15" s="65"/>
      <c r="G15" s="65"/>
      <c r="H15" s="65"/>
      <c r="I15" s="65"/>
      <c r="J15" s="66"/>
      <c r="K15" s="64"/>
      <c r="L15" s="65"/>
      <c r="M15" s="65"/>
      <c r="N15" s="65"/>
      <c r="O15" s="65"/>
      <c r="P15" s="66"/>
      <c r="Q15" s="64"/>
      <c r="R15" s="65"/>
      <c r="S15" s="65"/>
      <c r="T15" s="65"/>
      <c r="U15" s="65"/>
      <c r="V15" s="66"/>
      <c r="W15" s="64"/>
      <c r="X15" s="65"/>
      <c r="Y15" s="65"/>
      <c r="Z15" s="65"/>
      <c r="AA15" s="65"/>
      <c r="AB15" s="66"/>
      <c r="AC15" s="73">
        <v>3</v>
      </c>
      <c r="AD15" s="68"/>
      <c r="AE15" s="69"/>
      <c r="AF15" s="70"/>
      <c r="AG15" s="122"/>
      <c r="AH15" s="72"/>
      <c r="AI15" s="64"/>
      <c r="AJ15" s="65"/>
      <c r="AK15" s="65"/>
      <c r="AL15" s="65"/>
      <c r="AM15" s="65"/>
      <c r="AN15" s="66"/>
      <c r="AO15" s="73">
        <v>6</v>
      </c>
      <c r="AP15" s="68"/>
      <c r="AQ15" s="69"/>
      <c r="AR15" s="70"/>
      <c r="AS15" s="71"/>
      <c r="AT15" s="74"/>
      <c r="AU15" s="67">
        <v>4</v>
      </c>
      <c r="AV15" s="68"/>
      <c r="AW15" s="69"/>
      <c r="AX15" s="70"/>
      <c r="AY15" s="71"/>
      <c r="AZ15" s="74"/>
      <c r="BA15" s="67">
        <v>5</v>
      </c>
      <c r="BB15" s="68"/>
      <c r="BC15" s="69"/>
      <c r="BD15" s="70"/>
      <c r="BE15" s="71"/>
      <c r="BF15" s="74"/>
      <c r="BG15" s="67">
        <v>3</v>
      </c>
      <c r="BH15" s="68"/>
      <c r="BI15" s="69"/>
      <c r="BJ15" s="70"/>
      <c r="BK15" s="71"/>
      <c r="BL15" s="72"/>
      <c r="BM15" s="121"/>
      <c r="BN15" s="123" t="s">
        <v>51</v>
      </c>
      <c r="BO15" s="80" t="s">
        <v>52</v>
      </c>
      <c r="BP15" s="57">
        <v>3</v>
      </c>
      <c r="BQ15" s="118">
        <v>61</v>
      </c>
      <c r="BR15" s="83" t="s">
        <v>24</v>
      </c>
      <c r="BS15" s="84"/>
      <c r="BT15" s="82"/>
      <c r="BU15" s="62">
        <v>1</v>
      </c>
      <c r="BV15" s="62"/>
      <c r="BW15" s="62"/>
      <c r="BX15" s="62">
        <v>1</v>
      </c>
    </row>
    <row r="16" spans="1:76" ht="15" customHeight="1" thickBot="1" x14ac:dyDescent="0.3">
      <c r="A16" s="31"/>
      <c r="B16" s="33"/>
      <c r="D16" s="63"/>
      <c r="E16" s="64"/>
      <c r="F16" s="65"/>
      <c r="G16" s="65"/>
      <c r="H16" s="65"/>
      <c r="I16" s="65"/>
      <c r="J16" s="66"/>
      <c r="K16" s="64"/>
      <c r="L16" s="65"/>
      <c r="M16" s="65"/>
      <c r="N16" s="65"/>
      <c r="O16" s="65"/>
      <c r="P16" s="66"/>
      <c r="Q16" s="64"/>
      <c r="R16" s="65"/>
      <c r="S16" s="65"/>
      <c r="T16" s="65"/>
      <c r="U16" s="65"/>
      <c r="V16" s="66"/>
      <c r="W16" s="64"/>
      <c r="X16" s="65"/>
      <c r="Y16" s="65"/>
      <c r="Z16" s="65"/>
      <c r="AA16" s="65"/>
      <c r="AB16" s="66"/>
      <c r="AC16" s="64"/>
      <c r="AD16" s="65"/>
      <c r="AE16" s="65"/>
      <c r="AF16" s="65"/>
      <c r="AG16" s="65"/>
      <c r="AH16" s="66"/>
      <c r="AI16" s="64"/>
      <c r="AJ16" s="65"/>
      <c r="AK16" s="65"/>
      <c r="AL16" s="65"/>
      <c r="AM16" s="65"/>
      <c r="AN16" s="66"/>
      <c r="AO16" s="87">
        <v>935</v>
      </c>
      <c r="AP16" s="88" t="s">
        <v>53</v>
      </c>
      <c r="AQ16" s="89"/>
      <c r="AR16" s="90"/>
      <c r="AS16" s="91" t="s">
        <v>54</v>
      </c>
      <c r="AT16" s="50">
        <v>83</v>
      </c>
      <c r="AU16" s="93">
        <v>936</v>
      </c>
      <c r="AV16" s="88" t="s">
        <v>55</v>
      </c>
      <c r="AW16" s="89"/>
      <c r="AX16" s="90"/>
      <c r="AY16" s="91">
        <v>935</v>
      </c>
      <c r="AZ16" s="50">
        <v>84</v>
      </c>
      <c r="BA16" s="93">
        <v>1057</v>
      </c>
      <c r="BB16" s="124" t="s">
        <v>56</v>
      </c>
      <c r="BC16" s="125"/>
      <c r="BD16" s="126"/>
      <c r="BE16" s="113">
        <v>932</v>
      </c>
      <c r="BF16" s="50">
        <v>76</v>
      </c>
      <c r="BG16" s="93">
        <v>1059</v>
      </c>
      <c r="BH16" s="124" t="s">
        <v>57</v>
      </c>
      <c r="BI16" s="125"/>
      <c r="BJ16" s="126"/>
      <c r="BK16" s="113">
        <v>1058</v>
      </c>
      <c r="BL16" s="47"/>
      <c r="BM16" s="121"/>
      <c r="BN16" s="79">
        <v>178</v>
      </c>
      <c r="BO16" s="80" t="s">
        <v>58</v>
      </c>
      <c r="BP16" s="81">
        <v>1</v>
      </c>
      <c r="BQ16" s="82">
        <v>68</v>
      </c>
      <c r="BR16" s="94"/>
      <c r="BS16" s="84"/>
      <c r="BT16" s="82"/>
      <c r="BU16" s="62"/>
      <c r="BV16" s="62"/>
      <c r="BW16" s="62"/>
      <c r="BX16" s="62">
        <v>1</v>
      </c>
    </row>
    <row r="17" spans="1:76" ht="15" customHeight="1" thickBot="1" x14ac:dyDescent="0.3">
      <c r="A17" s="85" t="s">
        <v>59</v>
      </c>
      <c r="B17" s="86"/>
      <c r="D17" s="63"/>
      <c r="E17" s="64"/>
      <c r="F17" s="65"/>
      <c r="G17" s="65"/>
      <c r="H17" s="65"/>
      <c r="I17" s="65"/>
      <c r="J17" s="66"/>
      <c r="K17" s="64"/>
      <c r="L17" s="65"/>
      <c r="M17" s="65"/>
      <c r="N17" s="65"/>
      <c r="O17" s="65"/>
      <c r="P17" s="66"/>
      <c r="Q17" s="64"/>
      <c r="R17" s="65"/>
      <c r="S17" s="65"/>
      <c r="T17" s="65"/>
      <c r="U17" s="65"/>
      <c r="V17" s="66"/>
      <c r="W17" s="64"/>
      <c r="X17" s="65"/>
      <c r="Y17" s="65"/>
      <c r="Z17" s="65"/>
      <c r="AA17" s="65"/>
      <c r="AB17" s="66"/>
      <c r="AC17" s="64"/>
      <c r="AD17" s="65"/>
      <c r="AE17" s="65"/>
      <c r="AF17" s="65"/>
      <c r="AG17" s="65"/>
      <c r="AH17" s="66"/>
      <c r="AI17" s="64"/>
      <c r="AJ17" s="65"/>
      <c r="AK17" s="65"/>
      <c r="AL17" s="65"/>
      <c r="AM17" s="65"/>
      <c r="AN17" s="66"/>
      <c r="AO17" s="73">
        <v>5</v>
      </c>
      <c r="AP17" s="68"/>
      <c r="AQ17" s="69"/>
      <c r="AR17" s="70"/>
      <c r="AS17" s="71"/>
      <c r="AT17" s="74"/>
      <c r="AU17" s="67">
        <v>5</v>
      </c>
      <c r="AV17" s="68"/>
      <c r="AW17" s="69"/>
      <c r="AX17" s="70"/>
      <c r="AY17" s="71"/>
      <c r="AZ17" s="74"/>
      <c r="BA17" s="67">
        <v>5</v>
      </c>
      <c r="BB17" s="75"/>
      <c r="BC17" s="76"/>
      <c r="BD17" s="77"/>
      <c r="BE17" s="71"/>
      <c r="BF17" s="74"/>
      <c r="BG17" s="67">
        <v>5</v>
      </c>
      <c r="BH17" s="75"/>
      <c r="BI17" s="76"/>
      <c r="BJ17" s="77"/>
      <c r="BK17" s="71"/>
      <c r="BL17" s="72"/>
      <c r="BM17" s="121"/>
      <c r="BN17" s="104">
        <v>121</v>
      </c>
      <c r="BO17" s="105" t="s">
        <v>60</v>
      </c>
      <c r="BP17" s="106">
        <v>3</v>
      </c>
      <c r="BQ17" s="107">
        <v>66</v>
      </c>
      <c r="BR17" s="108" t="s">
        <v>24</v>
      </c>
      <c r="BS17" s="109"/>
      <c r="BT17" s="107"/>
      <c r="BU17" s="62">
        <v>1</v>
      </c>
      <c r="BV17" s="62"/>
      <c r="BW17" s="62"/>
      <c r="BX17" s="62">
        <v>1</v>
      </c>
    </row>
    <row r="18" spans="1:76" ht="15" customHeight="1" thickBot="1" x14ac:dyDescent="0.3">
      <c r="A18" s="26"/>
      <c r="B18" s="27"/>
      <c r="D18" s="63"/>
      <c r="E18" s="64"/>
      <c r="F18" s="65"/>
      <c r="G18" s="65"/>
      <c r="H18" s="65"/>
      <c r="I18" s="65"/>
      <c r="J18" s="66"/>
      <c r="K18" s="64"/>
      <c r="L18" s="65"/>
      <c r="M18" s="65"/>
      <c r="N18" s="65"/>
      <c r="O18" s="65"/>
      <c r="P18" s="66"/>
      <c r="Q18" s="64"/>
      <c r="R18" s="65"/>
      <c r="S18" s="65"/>
      <c r="T18" s="65"/>
      <c r="U18" s="65"/>
      <c r="V18" s="66"/>
      <c r="W18" s="64"/>
      <c r="X18" s="65"/>
      <c r="Y18" s="65"/>
      <c r="Z18" s="65"/>
      <c r="AA18" s="65"/>
      <c r="AB18" s="66"/>
      <c r="AC18" s="64"/>
      <c r="AD18" s="65"/>
      <c r="AE18" s="65"/>
      <c r="AF18" s="65"/>
      <c r="AG18" s="65"/>
      <c r="AH18" s="66"/>
      <c r="AI18" s="64"/>
      <c r="AJ18" s="65"/>
      <c r="AK18" s="65"/>
      <c r="AL18" s="65"/>
      <c r="AM18" s="65"/>
      <c r="AN18" s="66"/>
      <c r="AO18" s="64"/>
      <c r="AP18" s="65"/>
      <c r="AQ18" s="65"/>
      <c r="AR18" s="65"/>
      <c r="AS18" s="65"/>
      <c r="AT18" s="66"/>
      <c r="AU18" s="93">
        <v>932</v>
      </c>
      <c r="AV18" s="88" t="s">
        <v>61</v>
      </c>
      <c r="AW18" s="89"/>
      <c r="AX18" s="90"/>
      <c r="AY18" s="119" t="s">
        <v>62</v>
      </c>
      <c r="AZ18" s="50">
        <v>61</v>
      </c>
      <c r="BA18" s="93">
        <v>1071</v>
      </c>
      <c r="BB18" s="88" t="s">
        <v>63</v>
      </c>
      <c r="BC18" s="89"/>
      <c r="BD18" s="90"/>
      <c r="BE18" s="91">
        <v>799</v>
      </c>
      <c r="BF18" s="50">
        <v>63</v>
      </c>
      <c r="BG18" s="127"/>
      <c r="BH18" s="128" t="s">
        <v>64</v>
      </c>
      <c r="BI18" s="129"/>
      <c r="BJ18" s="130"/>
      <c r="BK18" s="91"/>
      <c r="BL18" s="47">
        <v>74</v>
      </c>
      <c r="BM18" s="121"/>
      <c r="BN18" s="131">
        <v>681</v>
      </c>
      <c r="BO18" s="116" t="s">
        <v>65</v>
      </c>
      <c r="BP18" s="57" t="s">
        <v>66</v>
      </c>
      <c r="BQ18" s="82" t="s">
        <v>66</v>
      </c>
      <c r="BR18" s="132"/>
      <c r="BS18" s="117"/>
      <c r="BT18" s="118"/>
      <c r="BU18" s="62"/>
      <c r="BV18" s="62"/>
      <c r="BW18" s="62"/>
      <c r="BX18" s="62" t="s">
        <v>66</v>
      </c>
    </row>
    <row r="19" spans="1:76" ht="15" customHeight="1" thickBot="1" x14ac:dyDescent="0.3">
      <c r="A19" s="26"/>
      <c r="B19" s="27"/>
      <c r="D19" s="63"/>
      <c r="E19" s="64"/>
      <c r="F19" s="65"/>
      <c r="G19" s="65"/>
      <c r="H19" s="65"/>
      <c r="I19" s="65"/>
      <c r="J19" s="66"/>
      <c r="K19" s="64"/>
      <c r="L19" s="65"/>
      <c r="M19" s="65"/>
      <c r="N19" s="65"/>
      <c r="O19" s="65"/>
      <c r="P19" s="66"/>
      <c r="Q19" s="64"/>
      <c r="R19" s="65"/>
      <c r="S19" s="65"/>
      <c r="T19" s="65"/>
      <c r="U19" s="65"/>
      <c r="V19" s="66"/>
      <c r="W19" s="64"/>
      <c r="X19" s="65"/>
      <c r="Y19" s="65"/>
      <c r="Z19" s="65"/>
      <c r="AA19" s="65"/>
      <c r="AB19" s="66"/>
      <c r="AC19" s="64"/>
      <c r="AD19" s="65"/>
      <c r="AE19" s="65"/>
      <c r="AF19" s="65"/>
      <c r="AG19" s="65"/>
      <c r="AH19" s="66"/>
      <c r="AI19" s="64"/>
      <c r="AJ19" s="65"/>
      <c r="AK19" s="65"/>
      <c r="AL19" s="65"/>
      <c r="AM19" s="65"/>
      <c r="AN19" s="66"/>
      <c r="AO19" s="64"/>
      <c r="AP19" s="65"/>
      <c r="AQ19" s="65"/>
      <c r="AR19" s="65"/>
      <c r="AS19" s="65"/>
      <c r="AT19" s="66"/>
      <c r="AU19" s="67">
        <v>5</v>
      </c>
      <c r="AV19" s="68"/>
      <c r="AW19" s="69"/>
      <c r="AX19" s="70"/>
      <c r="AY19" s="122"/>
      <c r="AZ19" s="74"/>
      <c r="BA19" s="67">
        <v>5</v>
      </c>
      <c r="BB19" s="68"/>
      <c r="BC19" s="69"/>
      <c r="BD19" s="70"/>
      <c r="BE19" s="71"/>
      <c r="BF19" s="74"/>
      <c r="BG19" s="67"/>
      <c r="BH19" s="133"/>
      <c r="BI19" s="134"/>
      <c r="BJ19" s="135"/>
      <c r="BK19" s="71"/>
      <c r="BL19" s="72"/>
      <c r="BM19" s="121"/>
      <c r="BN19" s="79">
        <v>85</v>
      </c>
      <c r="BO19" s="80" t="s">
        <v>67</v>
      </c>
      <c r="BP19" s="81">
        <v>2</v>
      </c>
      <c r="BQ19" s="82">
        <v>65</v>
      </c>
      <c r="BR19" s="94"/>
      <c r="BS19" s="84"/>
      <c r="BT19" s="82"/>
      <c r="BU19" s="62"/>
      <c r="BV19" s="62"/>
      <c r="BW19" s="62"/>
      <c r="BX19" s="62">
        <v>1</v>
      </c>
    </row>
    <row r="20" spans="1:76" ht="15" customHeight="1" thickBot="1" x14ac:dyDescent="0.3">
      <c r="A20" s="26"/>
      <c r="B20" s="27"/>
      <c r="D20" s="63"/>
      <c r="E20" s="64"/>
      <c r="F20" s="65"/>
      <c r="G20" s="65"/>
      <c r="H20" s="65"/>
      <c r="I20" s="65"/>
      <c r="J20" s="66"/>
      <c r="K20" s="64"/>
      <c r="L20" s="65"/>
      <c r="M20" s="65"/>
      <c r="N20" s="65"/>
      <c r="O20" s="65"/>
      <c r="P20" s="66"/>
      <c r="Q20" s="64"/>
      <c r="R20" s="65"/>
      <c r="S20" s="65"/>
      <c r="T20" s="65"/>
      <c r="U20" s="65"/>
      <c r="V20" s="66"/>
      <c r="W20" s="64"/>
      <c r="X20" s="65"/>
      <c r="Y20" s="65"/>
      <c r="Z20" s="65"/>
      <c r="AA20" s="65"/>
      <c r="AB20" s="66"/>
      <c r="AC20" s="64"/>
      <c r="AD20" s="65"/>
      <c r="AE20" s="65"/>
      <c r="AF20" s="65"/>
      <c r="AG20" s="65"/>
      <c r="AH20" s="66"/>
      <c r="AI20" s="64"/>
      <c r="AJ20" s="65"/>
      <c r="AK20" s="65"/>
      <c r="AL20" s="65"/>
      <c r="AM20" s="65"/>
      <c r="AN20" s="66"/>
      <c r="AO20" s="64"/>
      <c r="AP20" s="65"/>
      <c r="AQ20" s="65"/>
      <c r="AR20" s="65"/>
      <c r="AS20" s="65"/>
      <c r="AT20" s="66"/>
      <c r="AU20" s="64"/>
      <c r="AV20" s="65"/>
      <c r="AW20" s="65"/>
      <c r="AX20" s="65"/>
      <c r="AY20" s="65"/>
      <c r="AZ20" s="66"/>
      <c r="BA20" s="93">
        <v>1055</v>
      </c>
      <c r="BB20" s="88" t="s">
        <v>68</v>
      </c>
      <c r="BC20" s="89"/>
      <c r="BD20" s="90"/>
      <c r="BE20" s="113">
        <v>936</v>
      </c>
      <c r="BF20" s="50"/>
      <c r="BG20" s="65"/>
      <c r="BH20" s="65"/>
      <c r="BI20" s="65"/>
      <c r="BJ20" s="65"/>
      <c r="BK20" s="65"/>
      <c r="BL20" s="65"/>
      <c r="BM20" s="121"/>
      <c r="BN20" s="79">
        <v>290</v>
      </c>
      <c r="BO20" s="80" t="s">
        <v>69</v>
      </c>
      <c r="BP20" s="81">
        <v>10</v>
      </c>
      <c r="BQ20" s="82">
        <v>61</v>
      </c>
      <c r="BR20" s="83" t="s">
        <v>24</v>
      </c>
      <c r="BS20" s="84"/>
      <c r="BT20" s="82"/>
      <c r="BU20" s="62">
        <v>1</v>
      </c>
      <c r="BV20" s="62"/>
      <c r="BW20" s="62"/>
      <c r="BX20" s="62">
        <v>1</v>
      </c>
    </row>
    <row r="21" spans="1:76" ht="15" customHeight="1" thickBot="1" x14ac:dyDescent="0.3">
      <c r="A21" s="36">
        <v>3</v>
      </c>
      <c r="B21" s="37"/>
      <c r="D21" s="63"/>
      <c r="E21" s="64"/>
      <c r="F21" s="65"/>
      <c r="G21" s="65"/>
      <c r="H21" s="65"/>
      <c r="I21" s="65"/>
      <c r="J21" s="66"/>
      <c r="K21" s="64"/>
      <c r="L21" s="65"/>
      <c r="M21" s="65"/>
      <c r="N21" s="65"/>
      <c r="O21" s="65"/>
      <c r="P21" s="66"/>
      <c r="Q21" s="64"/>
      <c r="R21" s="65"/>
      <c r="S21" s="65"/>
      <c r="T21" s="65"/>
      <c r="U21" s="65"/>
      <c r="V21" s="66"/>
      <c r="W21" s="64"/>
      <c r="X21" s="65"/>
      <c r="Y21" s="65"/>
      <c r="Z21" s="65"/>
      <c r="AA21" s="65"/>
      <c r="AB21" s="66"/>
      <c r="AC21" s="64"/>
      <c r="AD21" s="65"/>
      <c r="AE21" s="65"/>
      <c r="AF21" s="65"/>
      <c r="AG21" s="65"/>
      <c r="AH21" s="66"/>
      <c r="AI21" s="64"/>
      <c r="AJ21" s="65"/>
      <c r="AK21" s="65"/>
      <c r="AL21" s="65"/>
      <c r="AM21" s="65"/>
      <c r="AN21" s="66"/>
      <c r="AO21" s="64"/>
      <c r="AP21" s="65"/>
      <c r="AQ21" s="65"/>
      <c r="AR21" s="65"/>
      <c r="AS21" s="65"/>
      <c r="AT21" s="66"/>
      <c r="AU21" s="64"/>
      <c r="AV21" s="65"/>
      <c r="AW21" s="65"/>
      <c r="AX21" s="65"/>
      <c r="AY21" s="65"/>
      <c r="AZ21" s="66"/>
      <c r="BA21" s="67">
        <v>5</v>
      </c>
      <c r="BB21" s="68"/>
      <c r="BC21" s="69"/>
      <c r="BD21" s="70"/>
      <c r="BE21" s="71"/>
      <c r="BF21" s="74"/>
      <c r="BG21" s="65"/>
      <c r="BH21" s="65"/>
      <c r="BI21" s="65"/>
      <c r="BJ21" s="65"/>
      <c r="BK21" s="65"/>
      <c r="BL21" s="66"/>
      <c r="BN21" s="79">
        <v>146</v>
      </c>
      <c r="BO21" s="80" t="s">
        <v>70</v>
      </c>
      <c r="BP21" s="81">
        <v>6</v>
      </c>
      <c r="BQ21" s="82">
        <v>63</v>
      </c>
      <c r="BR21" s="83" t="s">
        <v>24</v>
      </c>
      <c r="BS21" s="84"/>
      <c r="BT21" s="82"/>
      <c r="BU21" s="62">
        <v>1</v>
      </c>
      <c r="BV21" s="62"/>
      <c r="BW21" s="62"/>
      <c r="BX21" s="62">
        <v>1</v>
      </c>
    </row>
    <row r="22" spans="1:76" ht="15" customHeight="1" thickBot="1" x14ac:dyDescent="0.3">
      <c r="A22" s="31"/>
      <c r="B22" s="33"/>
      <c r="D22" s="63"/>
      <c r="E22" s="64"/>
      <c r="F22" s="65"/>
      <c r="G22" s="65"/>
      <c r="H22" s="65"/>
      <c r="I22" s="65"/>
      <c r="J22" s="66"/>
      <c r="K22" s="64"/>
      <c r="L22" s="65"/>
      <c r="M22" s="65"/>
      <c r="N22" s="65"/>
      <c r="O22" s="65"/>
      <c r="P22" s="66"/>
      <c r="Q22" s="64"/>
      <c r="R22" s="65"/>
      <c r="S22" s="65"/>
      <c r="T22" s="65"/>
      <c r="U22" s="65"/>
      <c r="V22" s="66"/>
      <c r="W22" s="64"/>
      <c r="X22" s="65"/>
      <c r="Y22" s="65"/>
      <c r="Z22" s="65"/>
      <c r="AA22" s="65"/>
      <c r="AB22" s="66"/>
      <c r="AC22" s="64"/>
      <c r="AD22" s="65"/>
      <c r="AE22" s="65"/>
      <c r="AF22" s="65"/>
      <c r="AG22" s="65"/>
      <c r="AH22" s="66"/>
      <c r="AI22" s="64"/>
      <c r="AJ22" s="65"/>
      <c r="AK22" s="65"/>
      <c r="AL22" s="65"/>
      <c r="AM22" s="65"/>
      <c r="AN22" s="66"/>
      <c r="AO22" s="64"/>
      <c r="AP22" s="65"/>
      <c r="AQ22" s="65"/>
      <c r="AR22" s="65"/>
      <c r="AS22" s="65"/>
      <c r="AT22" s="66"/>
      <c r="AU22" s="64"/>
      <c r="AV22" s="65"/>
      <c r="AW22" s="65"/>
      <c r="AX22" s="65"/>
      <c r="AY22" s="65"/>
      <c r="AZ22" s="66"/>
      <c r="BA22" s="93">
        <v>1058</v>
      </c>
      <c r="BB22" s="124" t="s">
        <v>71</v>
      </c>
      <c r="BC22" s="125"/>
      <c r="BD22" s="126"/>
      <c r="BE22" s="113">
        <v>932</v>
      </c>
      <c r="BF22" s="47"/>
      <c r="BG22" s="64"/>
      <c r="BH22" s="65"/>
      <c r="BI22" s="65"/>
      <c r="BJ22" s="65"/>
      <c r="BK22" s="65"/>
      <c r="BL22" s="66"/>
      <c r="BN22" s="79">
        <v>217</v>
      </c>
      <c r="BO22" s="80" t="s">
        <v>72</v>
      </c>
      <c r="BP22" s="81">
        <v>4</v>
      </c>
      <c r="BQ22" s="82">
        <v>68</v>
      </c>
      <c r="BR22" s="94"/>
      <c r="BS22" s="84"/>
      <c r="BT22" s="92" t="s">
        <v>24</v>
      </c>
      <c r="BU22" s="62"/>
      <c r="BV22" s="62"/>
      <c r="BW22" s="62">
        <v>1</v>
      </c>
      <c r="BX22" s="62">
        <v>1</v>
      </c>
    </row>
    <row r="23" spans="1:76" ht="15" customHeight="1" thickBot="1" x14ac:dyDescent="0.3">
      <c r="A23" s="85" t="s">
        <v>73</v>
      </c>
      <c r="B23" s="23"/>
      <c r="D23" s="63"/>
      <c r="E23" s="64"/>
      <c r="F23" s="65"/>
      <c r="G23" s="65"/>
      <c r="H23" s="65"/>
      <c r="I23" s="65"/>
      <c r="J23" s="66"/>
      <c r="K23" s="64"/>
      <c r="L23" s="65"/>
      <c r="M23" s="65"/>
      <c r="N23" s="65"/>
      <c r="O23" s="65"/>
      <c r="P23" s="66"/>
      <c r="Q23" s="64"/>
      <c r="R23" s="65"/>
      <c r="S23" s="65"/>
      <c r="T23" s="65"/>
      <c r="U23" s="65"/>
      <c r="V23" s="66"/>
      <c r="W23" s="64"/>
      <c r="X23" s="65"/>
      <c r="Y23" s="65"/>
      <c r="Z23" s="65"/>
      <c r="AA23" s="65"/>
      <c r="AB23" s="66"/>
      <c r="AC23" s="64"/>
      <c r="AD23" s="65"/>
      <c r="AE23" s="65"/>
      <c r="AF23" s="65"/>
      <c r="AG23" s="65"/>
      <c r="AH23" s="66"/>
      <c r="AI23" s="64"/>
      <c r="AJ23" s="65"/>
      <c r="AK23" s="65"/>
      <c r="AL23" s="65"/>
      <c r="AM23" s="65"/>
      <c r="AN23" s="66"/>
      <c r="AO23" s="64"/>
      <c r="AP23" s="65"/>
      <c r="AQ23" s="65"/>
      <c r="AR23" s="65"/>
      <c r="AS23" s="65"/>
      <c r="AT23" s="66"/>
      <c r="AU23" s="64"/>
      <c r="AV23" s="65"/>
      <c r="AW23" s="65"/>
      <c r="AX23" s="65"/>
      <c r="AY23" s="65"/>
      <c r="AZ23" s="66"/>
      <c r="BA23" s="67">
        <v>5</v>
      </c>
      <c r="BB23" s="75"/>
      <c r="BC23" s="76"/>
      <c r="BD23" s="77"/>
      <c r="BE23" s="71"/>
      <c r="BF23" s="72"/>
      <c r="BG23" s="64"/>
      <c r="BH23" s="65"/>
      <c r="BI23" s="65"/>
      <c r="BJ23" s="65"/>
      <c r="BK23" s="65"/>
      <c r="BL23" s="66"/>
      <c r="BN23" s="104">
        <v>2394</v>
      </c>
      <c r="BO23" s="105" t="s">
        <v>74</v>
      </c>
      <c r="BP23" s="106"/>
      <c r="BQ23" s="107">
        <v>71</v>
      </c>
      <c r="BR23" s="108" t="s">
        <v>24</v>
      </c>
      <c r="BS23" s="109"/>
      <c r="BT23" s="107"/>
      <c r="BU23" s="62">
        <v>1</v>
      </c>
      <c r="BV23" s="62"/>
      <c r="BW23" s="62"/>
      <c r="BX23" s="62">
        <v>1</v>
      </c>
    </row>
    <row r="24" spans="1:76" ht="15" customHeight="1" thickBot="1" x14ac:dyDescent="0.3">
      <c r="A24" s="36"/>
      <c r="B24" s="37"/>
      <c r="D24" s="63"/>
      <c r="E24" s="64"/>
      <c r="F24" s="65"/>
      <c r="G24" s="65"/>
      <c r="H24" s="65"/>
      <c r="I24" s="65"/>
      <c r="J24" s="66"/>
      <c r="K24" s="64"/>
      <c r="L24" s="65"/>
      <c r="M24" s="65"/>
      <c r="N24" s="65"/>
      <c r="O24" s="65"/>
      <c r="P24" s="66"/>
      <c r="Q24" s="64"/>
      <c r="R24" s="65"/>
      <c r="S24" s="65"/>
      <c r="T24" s="65"/>
      <c r="U24" s="65"/>
      <c r="V24" s="66"/>
      <c r="W24" s="64"/>
      <c r="X24" s="65"/>
      <c r="Y24" s="65"/>
      <c r="Z24" s="65"/>
      <c r="AA24" s="65"/>
      <c r="AB24" s="66"/>
      <c r="AC24" s="64"/>
      <c r="AD24" s="65"/>
      <c r="AE24" s="65"/>
      <c r="AF24" s="65"/>
      <c r="AG24" s="65"/>
      <c r="AH24" s="66"/>
      <c r="AI24" s="64"/>
      <c r="AJ24" s="65"/>
      <c r="AK24" s="65"/>
      <c r="AL24" s="65"/>
      <c r="AM24" s="65"/>
      <c r="AN24" s="66"/>
      <c r="AO24" s="64"/>
      <c r="AP24" s="65"/>
      <c r="AQ24" s="65"/>
      <c r="AR24" s="65"/>
      <c r="AS24" s="65"/>
      <c r="AT24" s="66"/>
      <c r="AU24" s="64"/>
      <c r="AV24" s="65"/>
      <c r="AW24" s="65"/>
      <c r="AX24" s="65"/>
      <c r="AY24" s="65"/>
      <c r="AZ24" s="66"/>
      <c r="BA24" s="93">
        <v>1070</v>
      </c>
      <c r="BB24" s="88" t="s">
        <v>75</v>
      </c>
      <c r="BC24" s="89"/>
      <c r="BD24" s="90"/>
      <c r="BE24" s="119" t="s">
        <v>76</v>
      </c>
      <c r="BF24" s="47"/>
      <c r="BG24" s="64"/>
      <c r="BH24" s="65"/>
      <c r="BI24" s="65"/>
      <c r="BJ24" s="65"/>
      <c r="BK24" s="65"/>
      <c r="BL24" s="66"/>
      <c r="BN24" s="131">
        <v>746</v>
      </c>
      <c r="BO24" s="116" t="s">
        <v>77</v>
      </c>
      <c r="BP24" s="57">
        <v>6</v>
      </c>
      <c r="BQ24" s="118">
        <v>69</v>
      </c>
      <c r="BR24" s="83" t="s">
        <v>24</v>
      </c>
      <c r="BS24" s="117"/>
      <c r="BT24" s="118"/>
      <c r="BU24" s="62">
        <v>1</v>
      </c>
      <c r="BV24" s="62"/>
      <c r="BW24" s="62"/>
      <c r="BX24" s="62">
        <v>1</v>
      </c>
    </row>
    <row r="25" spans="1:76" ht="15" customHeight="1" thickBot="1" x14ac:dyDescent="0.3">
      <c r="A25" s="36"/>
      <c r="B25" s="37"/>
      <c r="D25" s="63"/>
      <c r="E25" s="95"/>
      <c r="F25" s="96"/>
      <c r="G25" s="96"/>
      <c r="H25" s="96"/>
      <c r="I25" s="96"/>
      <c r="J25" s="97"/>
      <c r="K25" s="95"/>
      <c r="L25" s="96"/>
      <c r="M25" s="96"/>
      <c r="N25" s="96"/>
      <c r="O25" s="96"/>
      <c r="P25" s="97"/>
      <c r="Q25" s="95"/>
      <c r="R25" s="96"/>
      <c r="S25" s="96"/>
      <c r="T25" s="96"/>
      <c r="U25" s="96"/>
      <c r="V25" s="97"/>
      <c r="W25" s="95"/>
      <c r="X25" s="96"/>
      <c r="Y25" s="96"/>
      <c r="Z25" s="96"/>
      <c r="AA25" s="96"/>
      <c r="AB25" s="97"/>
      <c r="AC25" s="95"/>
      <c r="AD25" s="96"/>
      <c r="AE25" s="96"/>
      <c r="AF25" s="96"/>
      <c r="AG25" s="96"/>
      <c r="AH25" s="97"/>
      <c r="AI25" s="95"/>
      <c r="AJ25" s="96"/>
      <c r="AK25" s="96"/>
      <c r="AL25" s="96"/>
      <c r="AM25" s="96"/>
      <c r="AN25" s="97"/>
      <c r="AO25" s="95"/>
      <c r="AP25" s="96"/>
      <c r="AQ25" s="96"/>
      <c r="AR25" s="96"/>
      <c r="AS25" s="96"/>
      <c r="AT25" s="97"/>
      <c r="AU25" s="95"/>
      <c r="AV25" s="96"/>
      <c r="AW25" s="96"/>
      <c r="AX25" s="96"/>
      <c r="AY25" s="96"/>
      <c r="AZ25" s="97"/>
      <c r="BA25" s="98">
        <v>5</v>
      </c>
      <c r="BB25" s="99"/>
      <c r="BC25" s="100"/>
      <c r="BD25" s="101"/>
      <c r="BE25" s="136"/>
      <c r="BF25" s="137"/>
      <c r="BG25" s="95"/>
      <c r="BH25" s="96"/>
      <c r="BI25" s="96"/>
      <c r="BJ25" s="96"/>
      <c r="BK25" s="96"/>
      <c r="BL25" s="97"/>
      <c r="BN25" s="79">
        <v>94</v>
      </c>
      <c r="BO25" s="80" t="s">
        <v>78</v>
      </c>
      <c r="BP25" s="81">
        <v>3</v>
      </c>
      <c r="BQ25" s="82">
        <v>61</v>
      </c>
      <c r="BR25" s="83" t="s">
        <v>24</v>
      </c>
      <c r="BS25" s="84"/>
      <c r="BT25" s="82"/>
      <c r="BU25" s="62">
        <v>1</v>
      </c>
      <c r="BV25" s="62"/>
      <c r="BW25" s="62"/>
      <c r="BX25" s="62">
        <v>1</v>
      </c>
    </row>
    <row r="26" spans="1:76" ht="15" customHeight="1" thickTop="1" thickBot="1" x14ac:dyDescent="0.3">
      <c r="A26" s="36"/>
      <c r="B26" s="37"/>
      <c r="D26" s="63" t="s">
        <v>34</v>
      </c>
      <c r="E26" s="39"/>
      <c r="F26" s="40"/>
      <c r="G26" s="40"/>
      <c r="H26" s="40"/>
      <c r="I26" s="40"/>
      <c r="J26" s="41"/>
      <c r="K26" s="39"/>
      <c r="L26" s="40"/>
      <c r="M26" s="40"/>
      <c r="N26" s="40"/>
      <c r="O26" s="40"/>
      <c r="P26" s="41"/>
      <c r="Q26" s="39"/>
      <c r="R26" s="40"/>
      <c r="S26" s="40"/>
      <c r="T26" s="40"/>
      <c r="U26" s="40"/>
      <c r="V26" s="41"/>
      <c r="W26" s="39"/>
      <c r="X26" s="40"/>
      <c r="Y26" s="40"/>
      <c r="Z26" s="40"/>
      <c r="AA26" s="40"/>
      <c r="AB26" s="41"/>
      <c r="AC26" s="87">
        <v>678</v>
      </c>
      <c r="AD26" s="110" t="s">
        <v>79</v>
      </c>
      <c r="AE26" s="111"/>
      <c r="AF26" s="112"/>
      <c r="AG26" s="113">
        <v>147</v>
      </c>
      <c r="AH26" s="49"/>
      <c r="AI26" s="93">
        <v>679</v>
      </c>
      <c r="AJ26" s="110" t="s">
        <v>80</v>
      </c>
      <c r="AK26" s="111"/>
      <c r="AL26" s="112"/>
      <c r="AM26" s="113">
        <v>672</v>
      </c>
      <c r="AN26" s="47">
        <v>71</v>
      </c>
      <c r="AO26" s="39"/>
      <c r="AP26" s="40"/>
      <c r="AQ26" s="40"/>
      <c r="AR26" s="40"/>
      <c r="AS26" s="40"/>
      <c r="AT26" s="41"/>
      <c r="AU26" s="93">
        <v>799</v>
      </c>
      <c r="AV26" s="110" t="s">
        <v>81</v>
      </c>
      <c r="AW26" s="111"/>
      <c r="AX26" s="112"/>
      <c r="AY26" s="138" t="s">
        <v>82</v>
      </c>
      <c r="AZ26" s="50">
        <v>61</v>
      </c>
      <c r="BA26" s="93">
        <v>1066</v>
      </c>
      <c r="BB26" s="110" t="s">
        <v>83</v>
      </c>
      <c r="BC26" s="111"/>
      <c r="BD26" s="112"/>
      <c r="BE26" s="113">
        <v>932</v>
      </c>
      <c r="BF26" s="139"/>
      <c r="BG26" s="64"/>
      <c r="BH26" s="65"/>
      <c r="BI26" s="65"/>
      <c r="BJ26" s="65"/>
      <c r="BK26" s="65"/>
      <c r="BL26" s="66"/>
      <c r="BN26" s="79">
        <v>291</v>
      </c>
      <c r="BO26" s="80" t="s">
        <v>84</v>
      </c>
      <c r="BP26" s="81">
        <v>5</v>
      </c>
      <c r="BQ26" s="82">
        <v>61</v>
      </c>
      <c r="BR26" s="83" t="s">
        <v>24</v>
      </c>
      <c r="BS26" s="84"/>
      <c r="BT26" s="82"/>
      <c r="BU26" s="62">
        <v>1</v>
      </c>
      <c r="BV26" s="62"/>
      <c r="BW26" s="62"/>
      <c r="BX26" s="62">
        <v>1</v>
      </c>
    </row>
    <row r="27" spans="1:76" ht="15" customHeight="1" thickBot="1" x14ac:dyDescent="0.3">
      <c r="A27" s="36">
        <v>9</v>
      </c>
      <c r="B27" s="37"/>
      <c r="D27" s="63"/>
      <c r="E27" s="64"/>
      <c r="F27" s="65"/>
      <c r="G27" s="65"/>
      <c r="H27" s="65"/>
      <c r="I27" s="65"/>
      <c r="J27" s="66"/>
      <c r="K27" s="64"/>
      <c r="L27" s="65"/>
      <c r="M27" s="65"/>
      <c r="N27" s="65"/>
      <c r="O27" s="65"/>
      <c r="P27" s="66"/>
      <c r="Q27" s="64"/>
      <c r="R27" s="65"/>
      <c r="S27" s="65"/>
      <c r="T27" s="65"/>
      <c r="U27" s="65"/>
      <c r="V27" s="66"/>
      <c r="W27" s="64"/>
      <c r="X27" s="65"/>
      <c r="Y27" s="65"/>
      <c r="Z27" s="65"/>
      <c r="AA27" s="65"/>
      <c r="AB27" s="66"/>
      <c r="AC27" s="73">
        <v>5</v>
      </c>
      <c r="AD27" s="68"/>
      <c r="AE27" s="69"/>
      <c r="AF27" s="70"/>
      <c r="AG27" s="71"/>
      <c r="AH27" s="74"/>
      <c r="AI27" s="67">
        <v>6</v>
      </c>
      <c r="AJ27" s="68"/>
      <c r="AK27" s="69"/>
      <c r="AL27" s="70"/>
      <c r="AM27" s="71"/>
      <c r="AN27" s="72"/>
      <c r="AO27" s="64"/>
      <c r="AP27" s="65"/>
      <c r="AQ27" s="65"/>
      <c r="AR27" s="65"/>
      <c r="AS27" s="65"/>
      <c r="AT27" s="66"/>
      <c r="AU27" s="67">
        <v>5</v>
      </c>
      <c r="AV27" s="68"/>
      <c r="AW27" s="69"/>
      <c r="AX27" s="70"/>
      <c r="AY27" s="122"/>
      <c r="AZ27" s="74"/>
      <c r="BA27" s="67">
        <v>3</v>
      </c>
      <c r="BB27" s="68"/>
      <c r="BC27" s="69"/>
      <c r="BD27" s="70"/>
      <c r="BE27" s="71"/>
      <c r="BF27" s="72"/>
      <c r="BG27" s="64"/>
      <c r="BH27" s="65"/>
      <c r="BI27" s="65"/>
      <c r="BJ27" s="65"/>
      <c r="BK27" s="65"/>
      <c r="BL27" s="66"/>
      <c r="BN27" s="79">
        <v>292</v>
      </c>
      <c r="BO27" s="80" t="s">
        <v>85</v>
      </c>
      <c r="BP27" s="81">
        <v>5</v>
      </c>
      <c r="BQ27" s="82">
        <v>77</v>
      </c>
      <c r="BR27" s="83" t="s">
        <v>24</v>
      </c>
      <c r="BS27" s="84"/>
      <c r="BT27" s="82"/>
      <c r="BU27" s="62">
        <v>1</v>
      </c>
      <c r="BV27" s="62"/>
      <c r="BW27" s="62"/>
      <c r="BX27" s="62">
        <v>1</v>
      </c>
    </row>
    <row r="28" spans="1:76" ht="15" customHeight="1" thickBot="1" x14ac:dyDescent="0.3">
      <c r="A28" s="31"/>
      <c r="B28" s="33"/>
      <c r="D28" s="63"/>
      <c r="E28" s="64"/>
      <c r="F28" s="65"/>
      <c r="G28" s="65"/>
      <c r="H28" s="65"/>
      <c r="I28" s="65"/>
      <c r="J28" s="66"/>
      <c r="K28" s="64"/>
      <c r="L28" s="65"/>
      <c r="M28" s="65"/>
      <c r="N28" s="65"/>
      <c r="O28" s="65"/>
      <c r="P28" s="66"/>
      <c r="Q28" s="64"/>
      <c r="R28" s="65"/>
      <c r="S28" s="65"/>
      <c r="T28" s="65"/>
      <c r="U28" s="65"/>
      <c r="V28" s="66"/>
      <c r="W28" s="64"/>
      <c r="X28" s="65"/>
      <c r="Y28" s="65"/>
      <c r="Z28" s="65"/>
      <c r="AA28" s="65"/>
      <c r="AB28" s="66"/>
      <c r="AC28" s="64"/>
      <c r="AD28" s="65"/>
      <c r="AE28" s="65"/>
      <c r="AF28" s="65"/>
      <c r="AG28" s="65"/>
      <c r="AH28" s="66"/>
      <c r="AI28" s="93">
        <v>748</v>
      </c>
      <c r="AJ28" s="88" t="s">
        <v>86</v>
      </c>
      <c r="AK28" s="89"/>
      <c r="AL28" s="90"/>
      <c r="AM28" s="91">
        <v>672</v>
      </c>
      <c r="AN28" s="50">
        <v>76</v>
      </c>
      <c r="AO28" s="64"/>
      <c r="AP28" s="65"/>
      <c r="AQ28" s="65"/>
      <c r="AR28" s="65"/>
      <c r="AS28" s="65"/>
      <c r="AT28" s="66"/>
      <c r="AU28" s="93">
        <v>1067</v>
      </c>
      <c r="AV28" s="88" t="s">
        <v>87</v>
      </c>
      <c r="AW28" s="89"/>
      <c r="AX28" s="90"/>
      <c r="AY28" s="91">
        <v>940</v>
      </c>
      <c r="AZ28" s="50"/>
      <c r="BA28" s="93">
        <v>934</v>
      </c>
      <c r="BB28" s="88" t="s">
        <v>88</v>
      </c>
      <c r="BC28" s="89"/>
      <c r="BD28" s="90"/>
      <c r="BE28" s="91">
        <v>799</v>
      </c>
      <c r="BF28" s="50"/>
      <c r="BG28" s="64"/>
      <c r="BH28" s="65"/>
      <c r="BI28" s="65"/>
      <c r="BJ28" s="65"/>
      <c r="BK28" s="65"/>
      <c r="BL28" s="66"/>
      <c r="BN28" s="79">
        <v>147</v>
      </c>
      <c r="BO28" s="80" t="s">
        <v>89</v>
      </c>
      <c r="BP28" s="81">
        <v>6</v>
      </c>
      <c r="BQ28" s="82">
        <v>79</v>
      </c>
      <c r="BR28" s="83" t="s">
        <v>24</v>
      </c>
      <c r="BS28" s="84"/>
      <c r="BT28" s="82"/>
      <c r="BU28" s="62">
        <v>1</v>
      </c>
      <c r="BV28" s="62"/>
      <c r="BW28" s="62"/>
      <c r="BX28" s="62">
        <v>1</v>
      </c>
    </row>
    <row r="29" spans="1:76" ht="15" customHeight="1" thickBot="1" x14ac:dyDescent="0.3">
      <c r="A29" s="85" t="s">
        <v>90</v>
      </c>
      <c r="B29" s="86"/>
      <c r="D29" s="63"/>
      <c r="E29" s="95"/>
      <c r="F29" s="96"/>
      <c r="G29" s="96"/>
      <c r="H29" s="96"/>
      <c r="I29" s="96"/>
      <c r="J29" s="97"/>
      <c r="K29" s="95"/>
      <c r="L29" s="96"/>
      <c r="M29" s="96"/>
      <c r="N29" s="96"/>
      <c r="O29" s="96"/>
      <c r="P29" s="97"/>
      <c r="Q29" s="95"/>
      <c r="R29" s="96"/>
      <c r="S29" s="96"/>
      <c r="T29" s="96"/>
      <c r="U29" s="96"/>
      <c r="V29" s="97"/>
      <c r="W29" s="95"/>
      <c r="X29" s="96"/>
      <c r="Y29" s="96"/>
      <c r="Z29" s="96"/>
      <c r="AA29" s="96"/>
      <c r="AB29" s="97"/>
      <c r="AC29" s="95"/>
      <c r="AD29" s="96"/>
      <c r="AE29" s="96"/>
      <c r="AF29" s="96"/>
      <c r="AG29" s="96"/>
      <c r="AH29" s="97"/>
      <c r="AI29" s="98">
        <v>5</v>
      </c>
      <c r="AJ29" s="99"/>
      <c r="AK29" s="100"/>
      <c r="AL29" s="101"/>
      <c r="AM29" s="102"/>
      <c r="AN29" s="103"/>
      <c r="AO29" s="95"/>
      <c r="AP29" s="96"/>
      <c r="AQ29" s="96"/>
      <c r="AR29" s="96"/>
      <c r="AS29" s="96"/>
      <c r="AT29" s="97"/>
      <c r="AU29" s="98">
        <v>5</v>
      </c>
      <c r="AV29" s="99"/>
      <c r="AW29" s="100"/>
      <c r="AX29" s="101"/>
      <c r="AY29" s="102"/>
      <c r="AZ29" s="103"/>
      <c r="BA29" s="98">
        <v>4</v>
      </c>
      <c r="BB29" s="99"/>
      <c r="BC29" s="100"/>
      <c r="BD29" s="101"/>
      <c r="BE29" s="102"/>
      <c r="BF29" s="103"/>
      <c r="BG29" s="95"/>
      <c r="BH29" s="96"/>
      <c r="BI29" s="96"/>
      <c r="BJ29" s="96"/>
      <c r="BK29" s="96"/>
      <c r="BL29" s="97"/>
      <c r="BN29" s="79">
        <v>927</v>
      </c>
      <c r="BO29" s="80" t="s">
        <v>91</v>
      </c>
      <c r="BP29" s="81" t="s">
        <v>66</v>
      </c>
      <c r="BQ29" s="82" t="s">
        <v>66</v>
      </c>
      <c r="BR29" s="94"/>
      <c r="BS29" s="84"/>
      <c r="BT29" s="82"/>
      <c r="BU29" s="62"/>
      <c r="BV29" s="62"/>
      <c r="BW29" s="62"/>
      <c r="BX29" s="62" t="s">
        <v>66</v>
      </c>
    </row>
    <row r="30" spans="1:76" ht="15" customHeight="1" thickTop="1" thickBot="1" x14ac:dyDescent="0.3">
      <c r="A30" s="26"/>
      <c r="B30" s="27"/>
      <c r="D30" s="63" t="s">
        <v>92</v>
      </c>
      <c r="E30" s="39"/>
      <c r="F30" s="40"/>
      <c r="G30" s="40"/>
      <c r="H30" s="40"/>
      <c r="I30" s="40"/>
      <c r="J30" s="41"/>
      <c r="K30" s="39"/>
      <c r="L30" s="40"/>
      <c r="M30" s="40"/>
      <c r="N30" s="40"/>
      <c r="O30" s="40"/>
      <c r="P30" s="41"/>
      <c r="Q30" s="39"/>
      <c r="R30" s="40"/>
      <c r="S30" s="40"/>
      <c r="T30" s="40"/>
      <c r="U30" s="40"/>
      <c r="V30" s="41"/>
      <c r="W30" s="39"/>
      <c r="X30" s="40"/>
      <c r="Y30" s="40"/>
      <c r="Z30" s="40"/>
      <c r="AA30" s="40"/>
      <c r="AB30" s="41"/>
      <c r="AC30" s="87">
        <v>671</v>
      </c>
      <c r="AD30" s="110" t="s">
        <v>93</v>
      </c>
      <c r="AE30" s="111"/>
      <c r="AF30" s="112"/>
      <c r="AG30" s="113" t="s">
        <v>36</v>
      </c>
      <c r="AH30" s="49">
        <v>63</v>
      </c>
      <c r="AI30" s="93">
        <v>686</v>
      </c>
      <c r="AJ30" s="110" t="s">
        <v>94</v>
      </c>
      <c r="AK30" s="111"/>
      <c r="AL30" s="112"/>
      <c r="AM30" s="113">
        <v>671</v>
      </c>
      <c r="AN30" s="139">
        <v>61</v>
      </c>
      <c r="AO30" s="87">
        <v>749</v>
      </c>
      <c r="AP30" s="110" t="s">
        <v>95</v>
      </c>
      <c r="AQ30" s="111"/>
      <c r="AR30" s="112"/>
      <c r="AS30" s="113">
        <v>686</v>
      </c>
      <c r="AT30" s="47">
        <v>87</v>
      </c>
      <c r="AU30" s="48">
        <v>1052</v>
      </c>
      <c r="AV30" s="110" t="s">
        <v>96</v>
      </c>
      <c r="AW30" s="111"/>
      <c r="AX30" s="112"/>
      <c r="AY30" s="113">
        <v>749</v>
      </c>
      <c r="AZ30" s="114"/>
      <c r="BA30" s="48">
        <v>788</v>
      </c>
      <c r="BB30" s="110" t="s">
        <v>97</v>
      </c>
      <c r="BC30" s="111"/>
      <c r="BD30" s="112"/>
      <c r="BE30" s="138" t="s">
        <v>98</v>
      </c>
      <c r="BF30" s="49"/>
      <c r="BG30" s="93">
        <v>1069</v>
      </c>
      <c r="BH30" s="124" t="s">
        <v>99</v>
      </c>
      <c r="BI30" s="125"/>
      <c r="BJ30" s="126"/>
      <c r="BK30" s="138" t="s">
        <v>100</v>
      </c>
      <c r="BL30" s="47"/>
      <c r="BM30" s="121"/>
      <c r="BN30" s="79">
        <v>109</v>
      </c>
      <c r="BO30" s="80" t="s">
        <v>101</v>
      </c>
      <c r="BP30" s="81">
        <v>5</v>
      </c>
      <c r="BQ30" s="82">
        <v>68</v>
      </c>
      <c r="BR30" s="83" t="s">
        <v>24</v>
      </c>
      <c r="BS30" s="84"/>
      <c r="BT30" s="82"/>
      <c r="BU30" s="62">
        <v>1</v>
      </c>
      <c r="BV30" s="62"/>
      <c r="BW30" s="62"/>
      <c r="BX30" s="62">
        <v>1</v>
      </c>
    </row>
    <row r="31" spans="1:76" ht="15" customHeight="1" thickBot="1" x14ac:dyDescent="0.3">
      <c r="A31" s="26"/>
      <c r="B31" s="27"/>
      <c r="D31" s="63"/>
      <c r="E31" s="64"/>
      <c r="F31" s="65"/>
      <c r="G31" s="65"/>
      <c r="H31" s="65"/>
      <c r="I31" s="65"/>
      <c r="J31" s="66"/>
      <c r="K31" s="64"/>
      <c r="L31" s="65"/>
      <c r="M31" s="65"/>
      <c r="N31" s="65"/>
      <c r="O31" s="65"/>
      <c r="P31" s="66"/>
      <c r="Q31" s="64"/>
      <c r="R31" s="65"/>
      <c r="S31" s="65"/>
      <c r="T31" s="65"/>
      <c r="U31" s="65"/>
      <c r="V31" s="66"/>
      <c r="W31" s="64"/>
      <c r="X31" s="65"/>
      <c r="Y31" s="65"/>
      <c r="Z31" s="65"/>
      <c r="AA31" s="65"/>
      <c r="AB31" s="66"/>
      <c r="AC31" s="73">
        <v>6</v>
      </c>
      <c r="AD31" s="68"/>
      <c r="AE31" s="69"/>
      <c r="AF31" s="70"/>
      <c r="AG31" s="71"/>
      <c r="AH31" s="74"/>
      <c r="AI31" s="67">
        <v>6</v>
      </c>
      <c r="AJ31" s="68"/>
      <c r="AK31" s="69"/>
      <c r="AL31" s="70"/>
      <c r="AM31" s="71"/>
      <c r="AN31" s="72"/>
      <c r="AO31" s="73">
        <v>6</v>
      </c>
      <c r="AP31" s="68"/>
      <c r="AQ31" s="69"/>
      <c r="AR31" s="70"/>
      <c r="AS31" s="71"/>
      <c r="AT31" s="72"/>
      <c r="AU31" s="73">
        <v>5</v>
      </c>
      <c r="AV31" s="68"/>
      <c r="AW31" s="69"/>
      <c r="AX31" s="70"/>
      <c r="AY31" s="71"/>
      <c r="AZ31" s="74"/>
      <c r="BA31" s="67">
        <v>5</v>
      </c>
      <c r="BB31" s="68"/>
      <c r="BC31" s="69"/>
      <c r="BD31" s="70"/>
      <c r="BE31" s="122"/>
      <c r="BF31" s="74"/>
      <c r="BG31" s="67">
        <v>5</v>
      </c>
      <c r="BH31" s="75"/>
      <c r="BI31" s="76"/>
      <c r="BJ31" s="77"/>
      <c r="BK31" s="122"/>
      <c r="BL31" s="72"/>
      <c r="BM31" s="121"/>
      <c r="BN31" s="79">
        <v>680</v>
      </c>
      <c r="BO31" s="80" t="s">
        <v>102</v>
      </c>
      <c r="BP31" s="81">
        <v>3</v>
      </c>
      <c r="BQ31" s="82">
        <v>72</v>
      </c>
      <c r="BR31" s="83" t="s">
        <v>24</v>
      </c>
      <c r="BS31" s="84"/>
      <c r="BT31" s="82"/>
      <c r="BU31" s="62">
        <v>1</v>
      </c>
      <c r="BV31" s="62"/>
      <c r="BW31" s="62"/>
      <c r="BX31" s="62">
        <v>1</v>
      </c>
    </row>
    <row r="32" spans="1:76" ht="15" customHeight="1" thickBot="1" x14ac:dyDescent="0.3">
      <c r="A32" s="36">
        <v>59</v>
      </c>
      <c r="B32" s="37"/>
      <c r="D32" s="63"/>
      <c r="E32" s="64"/>
      <c r="F32" s="65"/>
      <c r="G32" s="65"/>
      <c r="H32" s="65"/>
      <c r="I32" s="65"/>
      <c r="J32" s="66"/>
      <c r="K32" s="64"/>
      <c r="L32" s="65"/>
      <c r="M32" s="65"/>
      <c r="N32" s="65"/>
      <c r="O32" s="65"/>
      <c r="P32" s="66"/>
      <c r="Q32" s="64"/>
      <c r="R32" s="65"/>
      <c r="S32" s="65"/>
      <c r="T32" s="65"/>
      <c r="U32" s="65"/>
      <c r="V32" s="66"/>
      <c r="W32" s="64"/>
      <c r="X32" s="65"/>
      <c r="Y32" s="65"/>
      <c r="Z32" s="65"/>
      <c r="AA32" s="65"/>
      <c r="AB32" s="66"/>
      <c r="AC32" s="87"/>
      <c r="AD32" s="88" t="s">
        <v>103</v>
      </c>
      <c r="AE32" s="89"/>
      <c r="AF32" s="90"/>
      <c r="AG32" s="91">
        <v>930</v>
      </c>
      <c r="AH32" s="47"/>
      <c r="AI32" s="64"/>
      <c r="AJ32" s="65"/>
      <c r="AK32" s="65"/>
      <c r="AL32" s="65"/>
      <c r="AM32" s="65"/>
      <c r="AN32" s="66"/>
      <c r="AO32" s="87">
        <v>1061</v>
      </c>
      <c r="AP32" s="88" t="s">
        <v>104</v>
      </c>
      <c r="AQ32" s="89"/>
      <c r="AR32" s="90"/>
      <c r="AS32" s="91">
        <v>686</v>
      </c>
      <c r="AT32" s="47"/>
      <c r="AU32" s="87">
        <v>920</v>
      </c>
      <c r="AV32" s="110" t="s">
        <v>105</v>
      </c>
      <c r="AW32" s="111"/>
      <c r="AX32" s="112"/>
      <c r="AY32" s="113">
        <v>749</v>
      </c>
      <c r="AZ32" s="50"/>
      <c r="BA32" s="93"/>
      <c r="BB32" s="124" t="s">
        <v>106</v>
      </c>
      <c r="BC32" s="125"/>
      <c r="BD32" s="126"/>
      <c r="BE32" s="140" t="s">
        <v>107</v>
      </c>
      <c r="BF32" s="47"/>
      <c r="BG32" s="64"/>
      <c r="BH32" s="65"/>
      <c r="BI32" s="65"/>
      <c r="BJ32" s="65"/>
      <c r="BK32" s="65"/>
      <c r="BL32" s="65"/>
      <c r="BM32" s="121"/>
      <c r="BN32" s="79">
        <v>949</v>
      </c>
      <c r="BO32" s="80" t="s">
        <v>108</v>
      </c>
      <c r="BP32" s="81">
        <v>5</v>
      </c>
      <c r="BQ32" s="82">
        <v>61</v>
      </c>
      <c r="BR32" s="83" t="s">
        <v>24</v>
      </c>
      <c r="BS32" s="84"/>
      <c r="BT32" s="82"/>
      <c r="BU32" s="62">
        <v>1</v>
      </c>
      <c r="BV32" s="62"/>
      <c r="BW32" s="62"/>
      <c r="BX32" s="62">
        <v>1</v>
      </c>
    </row>
    <row r="33" spans="1:76" ht="15" customHeight="1" thickBot="1" x14ac:dyDescent="0.3">
      <c r="A33" s="31"/>
      <c r="B33" s="33"/>
      <c r="D33" s="63"/>
      <c r="E33" s="64"/>
      <c r="F33" s="65"/>
      <c r="G33" s="65"/>
      <c r="H33" s="65"/>
      <c r="I33" s="65"/>
      <c r="J33" s="66"/>
      <c r="K33" s="64"/>
      <c r="L33" s="65"/>
      <c r="M33" s="65"/>
      <c r="N33" s="65"/>
      <c r="O33" s="65"/>
      <c r="P33" s="66"/>
      <c r="Q33" s="64"/>
      <c r="R33" s="65"/>
      <c r="S33" s="65"/>
      <c r="T33" s="65"/>
      <c r="U33" s="65"/>
      <c r="V33" s="66"/>
      <c r="W33" s="64"/>
      <c r="X33" s="65"/>
      <c r="Y33" s="65"/>
      <c r="Z33" s="65"/>
      <c r="AA33" s="65"/>
      <c r="AB33" s="66"/>
      <c r="AC33" s="73">
        <v>3</v>
      </c>
      <c r="AD33" s="68"/>
      <c r="AE33" s="69"/>
      <c r="AF33" s="70"/>
      <c r="AG33" s="71"/>
      <c r="AH33" s="72"/>
      <c r="AI33" s="64"/>
      <c r="AJ33" s="65"/>
      <c r="AK33" s="65"/>
      <c r="AL33" s="65"/>
      <c r="AM33" s="65"/>
      <c r="AN33" s="66"/>
      <c r="AO33" s="73">
        <v>5</v>
      </c>
      <c r="AP33" s="68"/>
      <c r="AQ33" s="69"/>
      <c r="AR33" s="70"/>
      <c r="AS33" s="71"/>
      <c r="AT33" s="72"/>
      <c r="AU33" s="73">
        <v>5</v>
      </c>
      <c r="AV33" s="68"/>
      <c r="AW33" s="69"/>
      <c r="AX33" s="70"/>
      <c r="AY33" s="71"/>
      <c r="AZ33" s="74"/>
      <c r="BA33" s="67">
        <v>4</v>
      </c>
      <c r="BB33" s="75"/>
      <c r="BC33" s="76"/>
      <c r="BD33" s="77"/>
      <c r="BE33" s="78"/>
      <c r="BF33" s="72"/>
      <c r="BG33" s="64"/>
      <c r="BH33" s="65"/>
      <c r="BI33" s="65"/>
      <c r="BJ33" s="65"/>
      <c r="BK33" s="65"/>
      <c r="BL33" s="65"/>
      <c r="BM33" s="121"/>
      <c r="BN33" s="79">
        <v>930</v>
      </c>
      <c r="BO33" s="80" t="s">
        <v>109</v>
      </c>
      <c r="BP33" s="81" t="s">
        <v>66</v>
      </c>
      <c r="BQ33" s="82" t="s">
        <v>66</v>
      </c>
      <c r="BR33" s="94"/>
      <c r="BS33" s="84"/>
      <c r="BT33" s="82"/>
      <c r="BU33" s="62"/>
      <c r="BV33" s="62"/>
      <c r="BW33" s="62"/>
      <c r="BX33" s="62" t="s">
        <v>66</v>
      </c>
    </row>
    <row r="34" spans="1:76" ht="15" customHeight="1" thickBot="1" x14ac:dyDescent="0.3">
      <c r="D34" s="63"/>
      <c r="E34" s="64"/>
      <c r="F34" s="65"/>
      <c r="G34" s="65"/>
      <c r="H34" s="65"/>
      <c r="I34" s="65"/>
      <c r="J34" s="66"/>
      <c r="K34" s="64"/>
      <c r="L34" s="65"/>
      <c r="M34" s="65"/>
      <c r="N34" s="65"/>
      <c r="O34" s="65"/>
      <c r="P34" s="66"/>
      <c r="Q34" s="64"/>
      <c r="R34" s="65"/>
      <c r="S34" s="65"/>
      <c r="T34" s="65"/>
      <c r="U34" s="65"/>
      <c r="V34" s="66"/>
      <c r="W34" s="64"/>
      <c r="X34" s="65"/>
      <c r="Y34" s="65"/>
      <c r="Z34" s="65"/>
      <c r="AA34" s="65"/>
      <c r="AB34" s="66"/>
      <c r="AC34" s="64"/>
      <c r="AD34" s="65"/>
      <c r="AE34" s="65"/>
      <c r="AF34" s="65"/>
      <c r="AG34" s="65"/>
      <c r="AH34" s="66"/>
      <c r="AI34" s="64"/>
      <c r="AJ34" s="65"/>
      <c r="AK34" s="65"/>
      <c r="AL34" s="65"/>
      <c r="AM34" s="65"/>
      <c r="AN34" s="66"/>
      <c r="AO34" s="87">
        <v>769</v>
      </c>
      <c r="AP34" s="88" t="s">
        <v>110</v>
      </c>
      <c r="AQ34" s="89"/>
      <c r="AR34" s="90"/>
      <c r="AS34" s="91">
        <v>686</v>
      </c>
      <c r="AT34" s="47"/>
      <c r="AU34" s="87">
        <v>791</v>
      </c>
      <c r="AV34" s="110" t="s">
        <v>111</v>
      </c>
      <c r="AW34" s="111"/>
      <c r="AX34" s="112"/>
      <c r="AY34" s="113">
        <v>749</v>
      </c>
      <c r="AZ34" s="47">
        <v>65</v>
      </c>
      <c r="BA34" s="64"/>
      <c r="BB34" s="65"/>
      <c r="BC34" s="65"/>
      <c r="BD34" s="65"/>
      <c r="BE34" s="65"/>
      <c r="BF34" s="66"/>
      <c r="BG34" s="64"/>
      <c r="BH34" s="65"/>
      <c r="BI34" s="65"/>
      <c r="BJ34" s="65"/>
      <c r="BK34" s="65"/>
      <c r="BL34" s="65"/>
      <c r="BM34" s="121"/>
      <c r="BN34" s="79"/>
      <c r="BO34" s="80" t="s">
        <v>112</v>
      </c>
      <c r="BP34" s="81" t="s">
        <v>66</v>
      </c>
      <c r="BQ34" s="82" t="s">
        <v>66</v>
      </c>
      <c r="BR34" s="94"/>
      <c r="BS34" s="84"/>
      <c r="BT34" s="82"/>
      <c r="BU34" s="62"/>
      <c r="BV34" s="62"/>
      <c r="BW34" s="62"/>
      <c r="BX34" s="62" t="s">
        <v>66</v>
      </c>
    </row>
    <row r="35" spans="1:76" ht="15" customHeight="1" thickBot="1" x14ac:dyDescent="0.3">
      <c r="D35" s="63"/>
      <c r="E35" s="64"/>
      <c r="F35" s="65"/>
      <c r="G35" s="65"/>
      <c r="H35" s="65"/>
      <c r="I35" s="65"/>
      <c r="J35" s="66"/>
      <c r="K35" s="64"/>
      <c r="L35" s="65"/>
      <c r="M35" s="65"/>
      <c r="N35" s="65"/>
      <c r="O35" s="65"/>
      <c r="P35" s="66"/>
      <c r="Q35" s="64"/>
      <c r="R35" s="65"/>
      <c r="S35" s="65"/>
      <c r="T35" s="65"/>
      <c r="U35" s="65"/>
      <c r="V35" s="66"/>
      <c r="W35" s="64"/>
      <c r="X35" s="65"/>
      <c r="Y35" s="65"/>
      <c r="Z35" s="65"/>
      <c r="AA35" s="65"/>
      <c r="AB35" s="66"/>
      <c r="AC35" s="64"/>
      <c r="AD35" s="65"/>
      <c r="AE35" s="65"/>
      <c r="AF35" s="65"/>
      <c r="AG35" s="65"/>
      <c r="AH35" s="66"/>
      <c r="AI35" s="64"/>
      <c r="AJ35" s="65"/>
      <c r="AK35" s="65"/>
      <c r="AL35" s="65"/>
      <c r="AM35" s="65"/>
      <c r="AN35" s="66"/>
      <c r="AO35" s="73">
        <v>4</v>
      </c>
      <c r="AP35" s="68"/>
      <c r="AQ35" s="69"/>
      <c r="AR35" s="70"/>
      <c r="AS35" s="71"/>
      <c r="AT35" s="72"/>
      <c r="AU35" s="73">
        <v>5</v>
      </c>
      <c r="AV35" s="68"/>
      <c r="AW35" s="69"/>
      <c r="AX35" s="70"/>
      <c r="AY35" s="71"/>
      <c r="AZ35" s="72"/>
      <c r="BA35" s="64"/>
      <c r="BB35" s="65"/>
      <c r="BC35" s="65"/>
      <c r="BD35" s="65"/>
      <c r="BE35" s="65"/>
      <c r="BF35" s="66"/>
      <c r="BG35" s="64"/>
      <c r="BH35" s="65"/>
      <c r="BI35" s="65"/>
      <c r="BJ35" s="65"/>
      <c r="BK35" s="65"/>
      <c r="BL35" s="65"/>
      <c r="BM35" s="121"/>
      <c r="BN35" s="79">
        <v>694</v>
      </c>
      <c r="BO35" s="80" t="s">
        <v>113</v>
      </c>
      <c r="BP35" s="81">
        <v>3</v>
      </c>
      <c r="BQ35" s="82">
        <v>70</v>
      </c>
      <c r="BR35" s="94"/>
      <c r="BS35" s="141" t="s">
        <v>24</v>
      </c>
      <c r="BT35" s="82"/>
      <c r="BU35" s="62"/>
      <c r="BV35" s="62">
        <v>1</v>
      </c>
      <c r="BW35" s="62">
        <v>1</v>
      </c>
      <c r="BX35" s="62">
        <v>1</v>
      </c>
    </row>
    <row r="36" spans="1:76" ht="15" customHeight="1" thickBot="1" x14ac:dyDescent="0.3">
      <c r="D36" s="63"/>
      <c r="E36" s="64"/>
      <c r="F36" s="65"/>
      <c r="G36" s="65"/>
      <c r="H36" s="65"/>
      <c r="I36" s="65"/>
      <c r="J36" s="66"/>
      <c r="K36" s="64"/>
      <c r="L36" s="65"/>
      <c r="M36" s="65"/>
      <c r="N36" s="65"/>
      <c r="O36" s="65"/>
      <c r="P36" s="66"/>
      <c r="Q36" s="64"/>
      <c r="R36" s="65"/>
      <c r="S36" s="65"/>
      <c r="T36" s="65"/>
      <c r="U36" s="65"/>
      <c r="V36" s="66"/>
      <c r="W36" s="64"/>
      <c r="X36" s="65"/>
      <c r="Y36" s="65"/>
      <c r="Z36" s="65"/>
      <c r="AA36" s="65"/>
      <c r="AB36" s="66"/>
      <c r="AC36" s="64"/>
      <c r="AD36" s="65"/>
      <c r="AE36" s="65"/>
      <c r="AF36" s="65"/>
      <c r="AG36" s="65"/>
      <c r="AH36" s="66"/>
      <c r="AI36" s="64"/>
      <c r="AJ36" s="65"/>
      <c r="AK36" s="65"/>
      <c r="AL36" s="65"/>
      <c r="AM36" s="65"/>
      <c r="AN36" s="66"/>
      <c r="AO36" s="64"/>
      <c r="AP36" s="65"/>
      <c r="AQ36" s="65"/>
      <c r="AR36" s="65"/>
      <c r="AS36" s="65"/>
      <c r="AT36" s="65"/>
      <c r="AU36" s="87">
        <v>798</v>
      </c>
      <c r="AV36" s="110" t="s">
        <v>114</v>
      </c>
      <c r="AW36" s="111"/>
      <c r="AX36" s="112"/>
      <c r="AY36" s="113">
        <v>749</v>
      </c>
      <c r="AZ36" s="47">
        <v>63</v>
      </c>
      <c r="BA36" s="64"/>
      <c r="BB36" s="65"/>
      <c r="BC36" s="65"/>
      <c r="BD36" s="65"/>
      <c r="BE36" s="65"/>
      <c r="BF36" s="66"/>
      <c r="BG36" s="64"/>
      <c r="BH36" s="65"/>
      <c r="BI36" s="65"/>
      <c r="BJ36" s="65"/>
      <c r="BK36" s="65"/>
      <c r="BL36" s="65"/>
      <c r="BM36" s="121"/>
      <c r="BN36" s="104">
        <v>925</v>
      </c>
      <c r="BO36" s="105" t="s">
        <v>115</v>
      </c>
      <c r="BP36" s="106" t="s">
        <v>66</v>
      </c>
      <c r="BQ36" s="107" t="s">
        <v>66</v>
      </c>
      <c r="BR36" s="142"/>
      <c r="BS36" s="143" t="s">
        <v>24</v>
      </c>
      <c r="BT36" s="107"/>
      <c r="BU36" s="62"/>
      <c r="BV36" s="62" t="s">
        <v>66</v>
      </c>
      <c r="BW36" s="62" t="s">
        <v>66</v>
      </c>
      <c r="BX36" s="62" t="s">
        <v>66</v>
      </c>
    </row>
    <row r="37" spans="1:76" ht="15" customHeight="1" thickBot="1" x14ac:dyDescent="0.3">
      <c r="D37" s="63"/>
      <c r="E37" s="95"/>
      <c r="F37" s="96"/>
      <c r="G37" s="96"/>
      <c r="H37" s="96"/>
      <c r="I37" s="96"/>
      <c r="J37" s="97"/>
      <c r="K37" s="95"/>
      <c r="L37" s="96"/>
      <c r="M37" s="96"/>
      <c r="N37" s="96"/>
      <c r="O37" s="96"/>
      <c r="P37" s="97"/>
      <c r="Q37" s="95"/>
      <c r="R37" s="96"/>
      <c r="S37" s="96"/>
      <c r="T37" s="96"/>
      <c r="U37" s="96"/>
      <c r="V37" s="97"/>
      <c r="W37" s="95"/>
      <c r="X37" s="96"/>
      <c r="Y37" s="96"/>
      <c r="Z37" s="96"/>
      <c r="AA37" s="96"/>
      <c r="AB37" s="97"/>
      <c r="AC37" s="95"/>
      <c r="AD37" s="96"/>
      <c r="AE37" s="96"/>
      <c r="AF37" s="96"/>
      <c r="AG37" s="96"/>
      <c r="AH37" s="97"/>
      <c r="AI37" s="95"/>
      <c r="AJ37" s="96"/>
      <c r="AK37" s="96"/>
      <c r="AL37" s="96"/>
      <c r="AM37" s="96"/>
      <c r="AN37" s="97"/>
      <c r="AO37" s="95"/>
      <c r="AP37" s="96"/>
      <c r="AQ37" s="96"/>
      <c r="AR37" s="96"/>
      <c r="AS37" s="96"/>
      <c r="AT37" s="97"/>
      <c r="AU37" s="98">
        <v>5</v>
      </c>
      <c r="AV37" s="99"/>
      <c r="AW37" s="100"/>
      <c r="AX37" s="101"/>
      <c r="AY37" s="102"/>
      <c r="AZ37" s="72"/>
      <c r="BA37" s="95"/>
      <c r="BB37" s="96"/>
      <c r="BC37" s="96"/>
      <c r="BD37" s="96"/>
      <c r="BE37" s="96"/>
      <c r="BF37" s="97"/>
      <c r="BG37" s="95"/>
      <c r="BH37" s="96"/>
      <c r="BI37" s="96"/>
      <c r="BJ37" s="96"/>
      <c r="BK37" s="96"/>
      <c r="BL37" s="96"/>
      <c r="BM37" s="121"/>
      <c r="BN37" s="131">
        <v>747</v>
      </c>
      <c r="BO37" s="116" t="s">
        <v>116</v>
      </c>
      <c r="BP37" s="81">
        <v>6</v>
      </c>
      <c r="BQ37" s="82">
        <v>82</v>
      </c>
      <c r="BR37" s="83" t="s">
        <v>24</v>
      </c>
      <c r="BS37" s="117"/>
      <c r="BT37" s="118"/>
      <c r="BU37" s="62">
        <v>1</v>
      </c>
      <c r="BV37" s="62"/>
      <c r="BW37" s="62"/>
      <c r="BX37" s="62">
        <v>1</v>
      </c>
    </row>
    <row r="38" spans="1:76" ht="15" customHeight="1" thickTop="1" thickBot="1" x14ac:dyDescent="0.3">
      <c r="D38" s="63" t="s">
        <v>117</v>
      </c>
      <c r="E38" s="39"/>
      <c r="F38" s="40"/>
      <c r="G38" s="40"/>
      <c r="H38" s="40"/>
      <c r="I38" s="40"/>
      <c r="J38" s="41"/>
      <c r="K38" s="39"/>
      <c r="L38" s="40"/>
      <c r="M38" s="40"/>
      <c r="N38" s="40"/>
      <c r="O38" s="40"/>
      <c r="P38" s="41"/>
      <c r="Q38" s="93">
        <v>681</v>
      </c>
      <c r="R38" s="110" t="s">
        <v>65</v>
      </c>
      <c r="S38" s="111"/>
      <c r="T38" s="112"/>
      <c r="U38" s="113">
        <v>72</v>
      </c>
      <c r="V38" s="47"/>
      <c r="W38" s="39"/>
      <c r="X38" s="40"/>
      <c r="Y38" s="40"/>
      <c r="Z38" s="40"/>
      <c r="AA38" s="40"/>
      <c r="AB38" s="41"/>
      <c r="AC38" s="87">
        <v>690</v>
      </c>
      <c r="AD38" s="110" t="s">
        <v>118</v>
      </c>
      <c r="AE38" s="111"/>
      <c r="AF38" s="112"/>
      <c r="AG38" s="113">
        <v>949</v>
      </c>
      <c r="AH38" s="49">
        <v>65</v>
      </c>
      <c r="AI38" s="93">
        <v>922</v>
      </c>
      <c r="AJ38" s="110" t="s">
        <v>119</v>
      </c>
      <c r="AK38" s="111"/>
      <c r="AL38" s="112"/>
      <c r="AM38" s="113">
        <v>690</v>
      </c>
      <c r="AN38" s="47"/>
      <c r="AO38" s="39"/>
      <c r="AP38" s="40"/>
      <c r="AQ38" s="40"/>
      <c r="AR38" s="40"/>
      <c r="AS38" s="40"/>
      <c r="AT38" s="41"/>
      <c r="AU38" s="39"/>
      <c r="AV38" s="40"/>
      <c r="AW38" s="40"/>
      <c r="AX38" s="40"/>
      <c r="AY38" s="40"/>
      <c r="AZ38" s="41"/>
      <c r="BA38" s="93">
        <v>911</v>
      </c>
      <c r="BB38" s="124" t="s">
        <v>120</v>
      </c>
      <c r="BC38" s="125"/>
      <c r="BD38" s="126"/>
      <c r="BE38" s="140" t="s">
        <v>107</v>
      </c>
      <c r="BF38" s="49">
        <v>62</v>
      </c>
      <c r="BG38" s="93">
        <v>933</v>
      </c>
      <c r="BH38" s="110" t="s">
        <v>121</v>
      </c>
      <c r="BI38" s="111"/>
      <c r="BJ38" s="112"/>
      <c r="BK38" s="140" t="s">
        <v>107</v>
      </c>
      <c r="BL38" s="47"/>
      <c r="BM38" s="121"/>
      <c r="BN38" s="79">
        <v>672</v>
      </c>
      <c r="BO38" s="80" t="s">
        <v>122</v>
      </c>
      <c r="BP38" s="81">
        <v>5</v>
      </c>
      <c r="BQ38" s="82">
        <v>81</v>
      </c>
      <c r="BR38" s="83" t="s">
        <v>24</v>
      </c>
      <c r="BS38" s="84"/>
      <c r="BT38" s="82"/>
      <c r="BU38" s="62">
        <v>1</v>
      </c>
      <c r="BV38" s="62"/>
      <c r="BW38" s="62"/>
      <c r="BX38" s="62">
        <v>1</v>
      </c>
    </row>
    <row r="39" spans="1:76" ht="15" customHeight="1" thickBot="1" x14ac:dyDescent="0.3">
      <c r="D39" s="63"/>
      <c r="E39" s="64"/>
      <c r="F39" s="65"/>
      <c r="G39" s="65"/>
      <c r="H39" s="65"/>
      <c r="I39" s="65"/>
      <c r="J39" s="66"/>
      <c r="K39" s="64"/>
      <c r="L39" s="65"/>
      <c r="M39" s="65"/>
      <c r="N39" s="65"/>
      <c r="O39" s="65"/>
      <c r="P39" s="66"/>
      <c r="Q39" s="67">
        <v>3</v>
      </c>
      <c r="R39" s="68"/>
      <c r="S39" s="69"/>
      <c r="T39" s="70"/>
      <c r="U39" s="71"/>
      <c r="V39" s="72"/>
      <c r="W39" s="64"/>
      <c r="X39" s="65"/>
      <c r="Y39" s="65"/>
      <c r="Z39" s="65"/>
      <c r="AA39" s="65"/>
      <c r="AB39" s="66"/>
      <c r="AC39" s="73">
        <v>5</v>
      </c>
      <c r="AD39" s="68"/>
      <c r="AE39" s="69"/>
      <c r="AF39" s="70"/>
      <c r="AG39" s="71"/>
      <c r="AH39" s="74"/>
      <c r="AI39" s="67">
        <v>4</v>
      </c>
      <c r="AJ39" s="68"/>
      <c r="AK39" s="69"/>
      <c r="AL39" s="70"/>
      <c r="AM39" s="71"/>
      <c r="AN39" s="72"/>
      <c r="AO39" s="64"/>
      <c r="AP39" s="65"/>
      <c r="AQ39" s="65"/>
      <c r="AR39" s="65"/>
      <c r="AS39" s="65"/>
      <c r="AT39" s="66"/>
      <c r="AU39" s="64"/>
      <c r="AV39" s="65"/>
      <c r="AW39" s="65"/>
      <c r="AX39" s="65"/>
      <c r="AY39" s="65"/>
      <c r="AZ39" s="66"/>
      <c r="BA39" s="67">
        <v>6</v>
      </c>
      <c r="BB39" s="75"/>
      <c r="BC39" s="76"/>
      <c r="BD39" s="77"/>
      <c r="BE39" s="78"/>
      <c r="BF39" s="74"/>
      <c r="BG39" s="67">
        <v>5</v>
      </c>
      <c r="BH39" s="68"/>
      <c r="BI39" s="69"/>
      <c r="BJ39" s="70"/>
      <c r="BK39" s="78"/>
      <c r="BL39" s="72"/>
      <c r="BM39" s="121"/>
      <c r="BN39" s="79"/>
      <c r="BO39" s="80" t="s">
        <v>123</v>
      </c>
      <c r="BP39" s="81" t="s">
        <v>66</v>
      </c>
      <c r="BQ39" s="82" t="s">
        <v>66</v>
      </c>
      <c r="BR39" s="94"/>
      <c r="BS39" s="84"/>
      <c r="BT39" s="82"/>
      <c r="BU39" s="62"/>
      <c r="BV39" s="62"/>
      <c r="BW39" s="62"/>
      <c r="BX39" s="62" t="s">
        <v>66</v>
      </c>
    </row>
    <row r="40" spans="1:76" ht="15" customHeight="1" thickBot="1" x14ac:dyDescent="0.3">
      <c r="D40" s="63"/>
      <c r="E40" s="64"/>
      <c r="F40" s="65"/>
      <c r="G40" s="65"/>
      <c r="H40" s="65"/>
      <c r="I40" s="65"/>
      <c r="J40" s="66"/>
      <c r="K40" s="64"/>
      <c r="L40" s="65"/>
      <c r="M40" s="65"/>
      <c r="N40" s="65"/>
      <c r="O40" s="65"/>
      <c r="P40" s="66"/>
      <c r="Q40" s="64"/>
      <c r="R40" s="65"/>
      <c r="S40" s="65"/>
      <c r="T40" s="65"/>
      <c r="U40" s="65"/>
      <c r="V40" s="66"/>
      <c r="W40" s="64"/>
      <c r="X40" s="65"/>
      <c r="Y40" s="65"/>
      <c r="Z40" s="65"/>
      <c r="AA40" s="65"/>
      <c r="AB40" s="66"/>
      <c r="AC40" s="64"/>
      <c r="AD40" s="65"/>
      <c r="AE40" s="65"/>
      <c r="AF40" s="65"/>
      <c r="AG40" s="65"/>
      <c r="AH40" s="66"/>
      <c r="AI40" s="64"/>
      <c r="AJ40" s="65"/>
      <c r="AK40" s="65"/>
      <c r="AL40" s="65"/>
      <c r="AM40" s="65"/>
      <c r="AN40" s="66"/>
      <c r="AO40" s="64"/>
      <c r="AP40" s="65"/>
      <c r="AQ40" s="65"/>
      <c r="AR40" s="65"/>
      <c r="AS40" s="65"/>
      <c r="AT40" s="66"/>
      <c r="AU40" s="64"/>
      <c r="AV40" s="65"/>
      <c r="AW40" s="65"/>
      <c r="AX40" s="65"/>
      <c r="AY40" s="65"/>
      <c r="AZ40" s="66"/>
      <c r="BA40" s="93">
        <v>909</v>
      </c>
      <c r="BB40" s="144" t="s">
        <v>124</v>
      </c>
      <c r="BC40" s="145"/>
      <c r="BD40" s="146"/>
      <c r="BE40" s="147" t="s">
        <v>125</v>
      </c>
      <c r="BF40" s="47"/>
      <c r="BG40" s="64"/>
      <c r="BH40" s="65"/>
      <c r="BI40" s="65"/>
      <c r="BJ40" s="65"/>
      <c r="BK40" s="65"/>
      <c r="BL40" s="65"/>
      <c r="BM40" s="121"/>
      <c r="BN40" s="79">
        <v>678</v>
      </c>
      <c r="BO40" s="80" t="s">
        <v>79</v>
      </c>
      <c r="BP40" s="81" t="s">
        <v>66</v>
      </c>
      <c r="BQ40" s="82" t="s">
        <v>66</v>
      </c>
      <c r="BR40" s="94"/>
      <c r="BS40" s="84"/>
      <c r="BT40" s="82"/>
      <c r="BU40" s="62"/>
      <c r="BV40" s="62"/>
      <c r="BW40" s="62"/>
      <c r="BX40" s="62" t="s">
        <v>66</v>
      </c>
    </row>
    <row r="41" spans="1:76" ht="15" customHeight="1" thickBot="1" x14ac:dyDescent="0.3">
      <c r="B41" s="148"/>
      <c r="D41" s="63"/>
      <c r="E41" s="64"/>
      <c r="F41" s="65"/>
      <c r="G41" s="65"/>
      <c r="H41" s="65"/>
      <c r="I41" s="65"/>
      <c r="J41" s="66"/>
      <c r="K41" s="64"/>
      <c r="L41" s="65"/>
      <c r="M41" s="65"/>
      <c r="N41" s="65"/>
      <c r="O41" s="65"/>
      <c r="P41" s="66"/>
      <c r="Q41" s="64"/>
      <c r="R41" s="65"/>
      <c r="S41" s="65"/>
      <c r="T41" s="65"/>
      <c r="U41" s="65"/>
      <c r="V41" s="66"/>
      <c r="W41" s="64"/>
      <c r="X41" s="65"/>
      <c r="Y41" s="65"/>
      <c r="Z41" s="65"/>
      <c r="AA41" s="65"/>
      <c r="AB41" s="66"/>
      <c r="AC41" s="64"/>
      <c r="AD41" s="65"/>
      <c r="AE41" s="65"/>
      <c r="AF41" s="65"/>
      <c r="AG41" s="65"/>
      <c r="AH41" s="66"/>
      <c r="AI41" s="64"/>
      <c r="AJ41" s="65"/>
      <c r="AK41" s="65"/>
      <c r="AL41" s="65"/>
      <c r="AM41" s="65"/>
      <c r="AN41" s="66"/>
      <c r="AO41" s="64"/>
      <c r="AP41" s="65"/>
      <c r="AQ41" s="65"/>
      <c r="AR41" s="65"/>
      <c r="AS41" s="65"/>
      <c r="AT41" s="66"/>
      <c r="AU41" s="64"/>
      <c r="AV41" s="65"/>
      <c r="AW41" s="65"/>
      <c r="AX41" s="65"/>
      <c r="AY41" s="65"/>
      <c r="AZ41" s="66"/>
      <c r="BA41" s="67">
        <v>4</v>
      </c>
      <c r="BB41" s="75"/>
      <c r="BC41" s="76"/>
      <c r="BD41" s="77"/>
      <c r="BE41" s="78"/>
      <c r="BF41" s="72"/>
      <c r="BG41" s="64"/>
      <c r="BH41" s="65"/>
      <c r="BI41" s="65"/>
      <c r="BJ41" s="65"/>
      <c r="BK41" s="65"/>
      <c r="BL41" s="66"/>
      <c r="BN41" s="79">
        <v>671</v>
      </c>
      <c r="BO41" s="80" t="s">
        <v>126</v>
      </c>
      <c r="BP41" s="81">
        <v>6</v>
      </c>
      <c r="BQ41" s="82">
        <v>63</v>
      </c>
      <c r="BR41" s="83" t="s">
        <v>24</v>
      </c>
      <c r="BS41" s="84"/>
      <c r="BT41" s="92" t="s">
        <v>24</v>
      </c>
      <c r="BU41" s="62">
        <v>1</v>
      </c>
      <c r="BV41" s="62"/>
      <c r="BW41" s="62">
        <v>1</v>
      </c>
      <c r="BX41" s="62">
        <v>1</v>
      </c>
    </row>
    <row r="42" spans="1:76" ht="15" customHeight="1" thickBot="1" x14ac:dyDescent="0.3">
      <c r="B42" s="149"/>
      <c r="D42" s="63"/>
      <c r="E42" s="64"/>
      <c r="F42" s="65"/>
      <c r="G42" s="65"/>
      <c r="H42" s="65"/>
      <c r="I42" s="65"/>
      <c r="J42" s="66"/>
      <c r="K42" s="64"/>
      <c r="L42" s="65"/>
      <c r="M42" s="65"/>
      <c r="N42" s="65"/>
      <c r="O42" s="65"/>
      <c r="P42" s="66"/>
      <c r="Q42" s="64"/>
      <c r="R42" s="65"/>
      <c r="S42" s="65"/>
      <c r="T42" s="65"/>
      <c r="U42" s="65"/>
      <c r="V42" s="66"/>
      <c r="W42" s="64"/>
      <c r="X42" s="65"/>
      <c r="Y42" s="65"/>
      <c r="Z42" s="65"/>
      <c r="AA42" s="65"/>
      <c r="AB42" s="66"/>
      <c r="AC42" s="64"/>
      <c r="AD42" s="65"/>
      <c r="AE42" s="65"/>
      <c r="AF42" s="65"/>
      <c r="AG42" s="65"/>
      <c r="AH42" s="66"/>
      <c r="AI42" s="64"/>
      <c r="AJ42" s="65"/>
      <c r="AK42" s="65"/>
      <c r="AL42" s="65"/>
      <c r="AM42" s="65"/>
      <c r="AN42" s="66"/>
      <c r="AO42" s="64"/>
      <c r="AP42" s="65"/>
      <c r="AQ42" s="65"/>
      <c r="AR42" s="65"/>
      <c r="AS42" s="65"/>
      <c r="AT42" s="66"/>
      <c r="AU42" s="64"/>
      <c r="AV42" s="65"/>
      <c r="AW42" s="65"/>
      <c r="AX42" s="65"/>
      <c r="AY42" s="65"/>
      <c r="AZ42" s="66"/>
      <c r="BA42" s="93">
        <v>912</v>
      </c>
      <c r="BB42" s="88" t="s">
        <v>127</v>
      </c>
      <c r="BC42" s="89"/>
      <c r="BD42" s="90"/>
      <c r="BE42" s="147" t="s">
        <v>107</v>
      </c>
      <c r="BF42" s="47">
        <v>79</v>
      </c>
      <c r="BG42" s="64"/>
      <c r="BH42" s="65"/>
      <c r="BI42" s="65"/>
      <c r="BJ42" s="65"/>
      <c r="BK42" s="65"/>
      <c r="BL42" s="66"/>
      <c r="BN42" s="79"/>
      <c r="BO42" s="80" t="s">
        <v>128</v>
      </c>
      <c r="BP42" s="81" t="s">
        <v>66</v>
      </c>
      <c r="BQ42" s="82" t="s">
        <v>66</v>
      </c>
      <c r="BR42" s="94"/>
      <c r="BS42" s="84"/>
      <c r="BT42" s="82"/>
      <c r="BU42" s="62"/>
      <c r="BV42" s="62"/>
      <c r="BW42" s="62"/>
      <c r="BX42" s="62" t="s">
        <v>66</v>
      </c>
    </row>
    <row r="43" spans="1:76" ht="15" customHeight="1" thickBot="1" x14ac:dyDescent="0.3">
      <c r="B43" s="148"/>
      <c r="D43" s="63"/>
      <c r="E43" s="95"/>
      <c r="F43" s="96"/>
      <c r="G43" s="96"/>
      <c r="H43" s="96"/>
      <c r="I43" s="96"/>
      <c r="J43" s="97"/>
      <c r="K43" s="95"/>
      <c r="L43" s="96"/>
      <c r="M43" s="96"/>
      <c r="N43" s="96"/>
      <c r="O43" s="96"/>
      <c r="P43" s="97"/>
      <c r="Q43" s="95"/>
      <c r="R43" s="96"/>
      <c r="S43" s="96"/>
      <c r="T43" s="96"/>
      <c r="U43" s="96"/>
      <c r="V43" s="97"/>
      <c r="W43" s="95"/>
      <c r="X43" s="96"/>
      <c r="Y43" s="96"/>
      <c r="Z43" s="96"/>
      <c r="AA43" s="96"/>
      <c r="AB43" s="97"/>
      <c r="AC43" s="95"/>
      <c r="AD43" s="96"/>
      <c r="AE43" s="96"/>
      <c r="AF43" s="96"/>
      <c r="AG43" s="96"/>
      <c r="AH43" s="97"/>
      <c r="AI43" s="95"/>
      <c r="AJ43" s="96"/>
      <c r="AK43" s="96"/>
      <c r="AL43" s="96"/>
      <c r="AM43" s="96"/>
      <c r="AN43" s="97"/>
      <c r="AO43" s="95"/>
      <c r="AP43" s="96"/>
      <c r="AQ43" s="96"/>
      <c r="AR43" s="96"/>
      <c r="AS43" s="96"/>
      <c r="AT43" s="97"/>
      <c r="AU43" s="95"/>
      <c r="AV43" s="96"/>
      <c r="AW43" s="96"/>
      <c r="AX43" s="96"/>
      <c r="AY43" s="96"/>
      <c r="AZ43" s="97"/>
      <c r="BA43" s="98">
        <v>6</v>
      </c>
      <c r="BB43" s="99"/>
      <c r="BC43" s="100"/>
      <c r="BD43" s="101"/>
      <c r="BE43" s="150"/>
      <c r="BF43" s="72"/>
      <c r="BG43" s="95"/>
      <c r="BH43" s="96"/>
      <c r="BI43" s="96"/>
      <c r="BJ43" s="96"/>
      <c r="BK43" s="96"/>
      <c r="BL43" s="97"/>
      <c r="BN43" s="79">
        <v>690</v>
      </c>
      <c r="BO43" s="80" t="s">
        <v>129</v>
      </c>
      <c r="BP43" s="81">
        <v>5</v>
      </c>
      <c r="BQ43" s="82">
        <v>65</v>
      </c>
      <c r="BR43" s="94"/>
      <c r="BS43" s="141" t="s">
        <v>24</v>
      </c>
      <c r="BT43" s="82"/>
      <c r="BU43" s="62"/>
      <c r="BV43" s="62">
        <v>1</v>
      </c>
      <c r="BW43" s="62"/>
      <c r="BX43" s="62">
        <v>1</v>
      </c>
    </row>
    <row r="44" spans="1:76" ht="15" customHeight="1" thickTop="1" thickBot="1" x14ac:dyDescent="0.3">
      <c r="B44" s="151"/>
      <c r="D44" s="63" t="s">
        <v>130</v>
      </c>
      <c r="E44" s="152" t="s">
        <v>22</v>
      </c>
      <c r="F44" s="153" t="s">
        <v>131</v>
      </c>
      <c r="G44" s="65"/>
      <c r="H44" s="154"/>
      <c r="I44" s="113"/>
      <c r="J44" s="50">
        <v>69</v>
      </c>
      <c r="K44" s="155" t="s">
        <v>41</v>
      </c>
      <c r="L44" s="110" t="s">
        <v>132</v>
      </c>
      <c r="M44" s="111"/>
      <c r="N44" s="112"/>
      <c r="O44" s="156" t="s">
        <v>22</v>
      </c>
      <c r="P44" s="50">
        <v>63</v>
      </c>
      <c r="Q44" s="93">
        <v>85</v>
      </c>
      <c r="R44" s="110" t="s">
        <v>67</v>
      </c>
      <c r="S44" s="111"/>
      <c r="T44" s="112"/>
      <c r="U44" s="156" t="s">
        <v>41</v>
      </c>
      <c r="V44" s="47">
        <v>65</v>
      </c>
      <c r="W44" s="48">
        <v>94</v>
      </c>
      <c r="X44" s="110" t="s">
        <v>133</v>
      </c>
      <c r="Y44" s="111"/>
      <c r="Z44" s="112"/>
      <c r="AA44" s="113" t="s">
        <v>134</v>
      </c>
      <c r="AB44" s="47">
        <v>61</v>
      </c>
      <c r="AC44" s="39"/>
      <c r="AD44" s="40"/>
      <c r="AE44" s="40"/>
      <c r="AF44" s="40"/>
      <c r="AG44" s="40"/>
      <c r="AH44" s="41"/>
      <c r="AI44" s="39"/>
      <c r="AJ44" s="40"/>
      <c r="AK44" s="40"/>
      <c r="AL44" s="40"/>
      <c r="AM44" s="40"/>
      <c r="AN44" s="41"/>
      <c r="AO44" s="39"/>
      <c r="AP44" s="40"/>
      <c r="AQ44" s="40"/>
      <c r="AR44" s="40"/>
      <c r="AS44" s="40"/>
      <c r="AT44" s="41"/>
      <c r="AU44" s="39"/>
      <c r="AV44" s="40"/>
      <c r="AW44" s="40"/>
      <c r="AX44" s="40"/>
      <c r="AY44" s="40"/>
      <c r="AZ44" s="41"/>
      <c r="BA44" s="39"/>
      <c r="BB44" s="40"/>
      <c r="BC44" s="40"/>
      <c r="BD44" s="40"/>
      <c r="BE44" s="40"/>
      <c r="BF44" s="41"/>
      <c r="BG44" s="39"/>
      <c r="BH44" s="40"/>
      <c r="BI44" s="40"/>
      <c r="BJ44" s="40"/>
      <c r="BK44" s="40"/>
      <c r="BL44" s="41"/>
      <c r="BN44" s="79">
        <v>674</v>
      </c>
      <c r="BO44" s="80" t="s">
        <v>135</v>
      </c>
      <c r="BP44" s="81">
        <v>5</v>
      </c>
      <c r="BQ44" s="82">
        <v>64</v>
      </c>
      <c r="BR44" s="94"/>
      <c r="BS44" s="84"/>
      <c r="BT44" s="82"/>
      <c r="BU44" s="62"/>
      <c r="BV44" s="62"/>
      <c r="BW44" s="62"/>
      <c r="BX44" s="62">
        <v>1</v>
      </c>
    </row>
    <row r="45" spans="1:76" ht="15" customHeight="1" thickBot="1" x14ac:dyDescent="0.3">
      <c r="D45" s="63"/>
      <c r="E45" s="157">
        <v>4</v>
      </c>
      <c r="F45" s="133"/>
      <c r="G45" s="134"/>
      <c r="H45" s="135"/>
      <c r="I45" s="71"/>
      <c r="J45" s="74"/>
      <c r="K45" s="158">
        <v>4</v>
      </c>
      <c r="L45" s="68"/>
      <c r="M45" s="69"/>
      <c r="N45" s="70"/>
      <c r="O45" s="159"/>
      <c r="P45" s="74"/>
      <c r="Q45" s="158">
        <v>2</v>
      </c>
      <c r="R45" s="68"/>
      <c r="S45" s="69"/>
      <c r="T45" s="70"/>
      <c r="U45" s="159"/>
      <c r="V45" s="72"/>
      <c r="W45" s="73">
        <v>3</v>
      </c>
      <c r="X45" s="68"/>
      <c r="Y45" s="69"/>
      <c r="Z45" s="70"/>
      <c r="AA45" s="71"/>
      <c r="AB45" s="72"/>
      <c r="AC45" s="64"/>
      <c r="AD45" s="65"/>
      <c r="AE45" s="65"/>
      <c r="AF45" s="65"/>
      <c r="AG45" s="65"/>
      <c r="AH45" s="66"/>
      <c r="AI45" s="64"/>
      <c r="AJ45" s="65"/>
      <c r="AK45" s="65"/>
      <c r="AL45" s="65"/>
      <c r="AM45" s="65"/>
      <c r="AN45" s="66"/>
      <c r="AO45" s="64"/>
      <c r="AP45" s="65"/>
      <c r="AQ45" s="65"/>
      <c r="AR45" s="65"/>
      <c r="AS45" s="65"/>
      <c r="AT45" s="66"/>
      <c r="AU45" s="64"/>
      <c r="AV45" s="65"/>
      <c r="AW45" s="65"/>
      <c r="AX45" s="65"/>
      <c r="AY45" s="65"/>
      <c r="AZ45" s="66"/>
      <c r="BA45" s="64"/>
      <c r="BB45" s="65"/>
      <c r="BC45" s="65"/>
      <c r="BD45" s="65"/>
      <c r="BE45" s="65"/>
      <c r="BF45" s="66"/>
      <c r="BG45" s="64"/>
      <c r="BH45" s="65"/>
      <c r="BI45" s="65"/>
      <c r="BJ45" s="65"/>
      <c r="BK45" s="65"/>
      <c r="BL45" s="66"/>
      <c r="BN45" s="79">
        <v>673</v>
      </c>
      <c r="BO45" s="80" t="s">
        <v>136</v>
      </c>
      <c r="BP45" s="81">
        <v>6</v>
      </c>
      <c r="BQ45" s="82">
        <v>68</v>
      </c>
      <c r="BR45" s="83" t="s">
        <v>24</v>
      </c>
      <c r="BS45" s="84"/>
      <c r="BT45" s="82"/>
      <c r="BU45" s="62">
        <v>1</v>
      </c>
      <c r="BV45" s="62"/>
      <c r="BW45" s="62"/>
      <c r="BX45" s="62">
        <v>1</v>
      </c>
    </row>
    <row r="46" spans="1:76" ht="15" customHeight="1" thickBot="1" x14ac:dyDescent="0.3">
      <c r="D46" s="63"/>
      <c r="E46" s="87">
        <v>169</v>
      </c>
      <c r="F46" s="128" t="s">
        <v>137</v>
      </c>
      <c r="G46" s="129"/>
      <c r="H46" s="130"/>
      <c r="I46" s="91"/>
      <c r="J46" s="50">
        <v>61</v>
      </c>
      <c r="K46" s="93">
        <v>170</v>
      </c>
      <c r="L46" s="88" t="s">
        <v>138</v>
      </c>
      <c r="M46" s="89"/>
      <c r="N46" s="90"/>
      <c r="O46" s="91">
        <v>169</v>
      </c>
      <c r="P46" s="50">
        <v>61</v>
      </c>
      <c r="Q46" s="93">
        <v>290</v>
      </c>
      <c r="R46" s="88" t="s">
        <v>139</v>
      </c>
      <c r="S46" s="89"/>
      <c r="T46" s="90"/>
      <c r="U46" s="91">
        <v>170</v>
      </c>
      <c r="V46" s="47">
        <v>61</v>
      </c>
      <c r="W46" s="87">
        <v>291</v>
      </c>
      <c r="X46" s="88" t="s">
        <v>140</v>
      </c>
      <c r="Y46" s="89"/>
      <c r="Z46" s="90"/>
      <c r="AA46" s="91">
        <v>290</v>
      </c>
      <c r="AB46" s="47">
        <v>61</v>
      </c>
      <c r="AC46" s="160">
        <v>674</v>
      </c>
      <c r="AD46" s="88" t="s">
        <v>135</v>
      </c>
      <c r="AE46" s="89"/>
      <c r="AF46" s="90"/>
      <c r="AG46" s="91" t="s">
        <v>141</v>
      </c>
      <c r="AH46" s="50">
        <v>64</v>
      </c>
      <c r="AI46" s="120">
        <v>905</v>
      </c>
      <c r="AJ46" s="88" t="s">
        <v>142</v>
      </c>
      <c r="AK46" s="89"/>
      <c r="AL46" s="90"/>
      <c r="AM46" s="91">
        <v>673</v>
      </c>
      <c r="AN46" s="47"/>
      <c r="AO46" s="64"/>
      <c r="AP46" s="65"/>
      <c r="AQ46" s="65"/>
      <c r="AR46" s="65"/>
      <c r="AS46" s="65"/>
      <c r="AT46" s="66"/>
      <c r="AU46" s="64"/>
      <c r="AV46" s="65"/>
      <c r="AW46" s="65"/>
      <c r="AX46" s="65"/>
      <c r="AY46" s="65"/>
      <c r="AZ46" s="66"/>
      <c r="BA46" s="64"/>
      <c r="BB46" s="65"/>
      <c r="BC46" s="65"/>
      <c r="BD46" s="65"/>
      <c r="BE46" s="65"/>
      <c r="BF46" s="66"/>
      <c r="BG46" s="64"/>
      <c r="BH46" s="65"/>
      <c r="BI46" s="65"/>
      <c r="BJ46" s="65"/>
      <c r="BK46" s="65"/>
      <c r="BL46" s="66"/>
      <c r="BN46" s="79">
        <v>87</v>
      </c>
      <c r="BO46" s="80" t="s">
        <v>143</v>
      </c>
      <c r="BP46" s="81">
        <v>3</v>
      </c>
      <c r="BQ46" s="82">
        <v>63</v>
      </c>
      <c r="BR46" s="83" t="s">
        <v>24</v>
      </c>
      <c r="BS46" s="84"/>
      <c r="BT46" s="82"/>
      <c r="BU46" s="62">
        <v>1</v>
      </c>
      <c r="BV46" s="62"/>
      <c r="BW46" s="62"/>
      <c r="BX46" s="62">
        <v>1</v>
      </c>
    </row>
    <row r="47" spans="1:76" ht="15" customHeight="1" thickBot="1" x14ac:dyDescent="0.3">
      <c r="D47" s="63"/>
      <c r="E47" s="73">
        <v>7</v>
      </c>
      <c r="F47" s="133"/>
      <c r="G47" s="134"/>
      <c r="H47" s="135"/>
      <c r="I47" s="71"/>
      <c r="J47" s="74"/>
      <c r="K47" s="67">
        <v>7</v>
      </c>
      <c r="L47" s="68"/>
      <c r="M47" s="69"/>
      <c r="N47" s="70"/>
      <c r="O47" s="71"/>
      <c r="P47" s="74"/>
      <c r="Q47" s="67">
        <v>10</v>
      </c>
      <c r="R47" s="68"/>
      <c r="S47" s="69"/>
      <c r="T47" s="70"/>
      <c r="U47" s="71"/>
      <c r="V47" s="72"/>
      <c r="W47" s="73">
        <v>5</v>
      </c>
      <c r="X47" s="68"/>
      <c r="Y47" s="69"/>
      <c r="Z47" s="70"/>
      <c r="AA47" s="71"/>
      <c r="AB47" s="72"/>
      <c r="AC47" s="73">
        <v>5</v>
      </c>
      <c r="AD47" s="68"/>
      <c r="AE47" s="69"/>
      <c r="AF47" s="70"/>
      <c r="AG47" s="71"/>
      <c r="AH47" s="74"/>
      <c r="AI47" s="67">
        <v>4</v>
      </c>
      <c r="AJ47" s="68"/>
      <c r="AK47" s="69"/>
      <c r="AL47" s="70"/>
      <c r="AM47" s="71"/>
      <c r="AN47" s="72"/>
      <c r="AO47" s="64"/>
      <c r="AP47" s="65"/>
      <c r="AQ47" s="65"/>
      <c r="AR47" s="65"/>
      <c r="AS47" s="65"/>
      <c r="AT47" s="66"/>
      <c r="AU47" s="64"/>
      <c r="AV47" s="65"/>
      <c r="AW47" s="65"/>
      <c r="AX47" s="65"/>
      <c r="AY47" s="65"/>
      <c r="AZ47" s="66"/>
      <c r="BA47" s="64"/>
      <c r="BB47" s="65"/>
      <c r="BC47" s="65"/>
      <c r="BD47" s="65"/>
      <c r="BE47" s="65"/>
      <c r="BF47" s="66"/>
      <c r="BG47" s="64"/>
      <c r="BH47" s="65"/>
      <c r="BI47" s="65"/>
      <c r="BJ47" s="65"/>
      <c r="BK47" s="65"/>
      <c r="BL47" s="66"/>
      <c r="BN47" s="79">
        <v>764</v>
      </c>
      <c r="BO47" s="80" t="s">
        <v>144</v>
      </c>
      <c r="BP47" s="81">
        <v>3</v>
      </c>
      <c r="BQ47" s="82">
        <v>76</v>
      </c>
      <c r="BR47" s="94"/>
      <c r="BS47" s="84"/>
      <c r="BT47" s="82"/>
      <c r="BU47" s="62"/>
      <c r="BV47" s="62"/>
      <c r="BW47" s="62"/>
      <c r="BX47" s="62">
        <v>1</v>
      </c>
    </row>
    <row r="48" spans="1:76" ht="15" customHeight="1" thickBot="1" x14ac:dyDescent="0.3">
      <c r="D48" s="63"/>
      <c r="E48" s="152"/>
      <c r="F48" s="128" t="s">
        <v>145</v>
      </c>
      <c r="G48" s="129"/>
      <c r="H48" s="130"/>
      <c r="I48" s="91"/>
      <c r="J48" s="50">
        <v>72</v>
      </c>
      <c r="K48" s="93">
        <v>72</v>
      </c>
      <c r="L48" s="88" t="s">
        <v>146</v>
      </c>
      <c r="M48" s="89"/>
      <c r="N48" s="90"/>
      <c r="O48" s="91">
        <v>169</v>
      </c>
      <c r="P48" s="50">
        <v>82</v>
      </c>
      <c r="Q48" s="93">
        <v>146</v>
      </c>
      <c r="R48" s="88" t="s">
        <v>147</v>
      </c>
      <c r="S48" s="89"/>
      <c r="T48" s="90"/>
      <c r="U48" s="91" t="s">
        <v>148</v>
      </c>
      <c r="V48" s="47">
        <v>63</v>
      </c>
      <c r="W48" s="87">
        <v>292</v>
      </c>
      <c r="X48" s="88" t="s">
        <v>149</v>
      </c>
      <c r="Y48" s="89"/>
      <c r="Z48" s="90"/>
      <c r="AA48" s="91">
        <v>290</v>
      </c>
      <c r="AB48" s="47">
        <v>77</v>
      </c>
      <c r="AC48" s="160">
        <v>673</v>
      </c>
      <c r="AD48" s="88" t="s">
        <v>150</v>
      </c>
      <c r="AE48" s="89"/>
      <c r="AF48" s="90"/>
      <c r="AG48" s="91" t="s">
        <v>141</v>
      </c>
      <c r="AH48" s="50">
        <v>68</v>
      </c>
      <c r="AI48" s="120">
        <v>904</v>
      </c>
      <c r="AJ48" s="88" t="s">
        <v>151</v>
      </c>
      <c r="AK48" s="89"/>
      <c r="AL48" s="90"/>
      <c r="AM48" s="91">
        <v>673</v>
      </c>
      <c r="AN48" s="47"/>
      <c r="AO48" s="64"/>
      <c r="AP48" s="65"/>
      <c r="AQ48" s="65"/>
      <c r="AR48" s="65"/>
      <c r="AS48" s="65"/>
      <c r="AT48" s="66"/>
      <c r="AU48" s="64"/>
      <c r="AV48" s="65"/>
      <c r="AW48" s="65"/>
      <c r="AX48" s="65"/>
      <c r="AY48" s="65"/>
      <c r="AZ48" s="66"/>
      <c r="BA48" s="64"/>
      <c r="BB48" s="65"/>
      <c r="BC48" s="65"/>
      <c r="BD48" s="65"/>
      <c r="BE48" s="65"/>
      <c r="BF48" s="66"/>
      <c r="BG48" s="64"/>
      <c r="BH48" s="65"/>
      <c r="BI48" s="65"/>
      <c r="BJ48" s="65"/>
      <c r="BK48" s="65"/>
      <c r="BL48" s="66"/>
      <c r="BN48" s="79">
        <v>670</v>
      </c>
      <c r="BO48" s="80" t="s">
        <v>152</v>
      </c>
      <c r="BP48" s="81">
        <v>5</v>
      </c>
      <c r="BQ48" s="82">
        <v>80</v>
      </c>
      <c r="BR48" s="83" t="s">
        <v>24</v>
      </c>
      <c r="BS48" s="84"/>
      <c r="BT48" s="82"/>
      <c r="BU48" s="62">
        <v>1</v>
      </c>
      <c r="BV48" s="62"/>
      <c r="BW48" s="62"/>
      <c r="BX48" s="62">
        <v>1</v>
      </c>
    </row>
    <row r="49" spans="4:76" ht="15" customHeight="1" thickBot="1" x14ac:dyDescent="0.3">
      <c r="D49" s="63"/>
      <c r="E49" s="73">
        <v>1</v>
      </c>
      <c r="F49" s="133"/>
      <c r="G49" s="134"/>
      <c r="H49" s="135"/>
      <c r="I49" s="71"/>
      <c r="J49" s="74"/>
      <c r="K49" s="67">
        <v>5</v>
      </c>
      <c r="L49" s="68"/>
      <c r="M49" s="69"/>
      <c r="N49" s="70"/>
      <c r="O49" s="71"/>
      <c r="P49" s="74"/>
      <c r="Q49" s="67">
        <v>6</v>
      </c>
      <c r="R49" s="68"/>
      <c r="S49" s="69"/>
      <c r="T49" s="70"/>
      <c r="U49" s="71"/>
      <c r="V49" s="72"/>
      <c r="W49" s="73">
        <v>5</v>
      </c>
      <c r="X49" s="68"/>
      <c r="Y49" s="69"/>
      <c r="Z49" s="70"/>
      <c r="AA49" s="71"/>
      <c r="AB49" s="72"/>
      <c r="AC49" s="73">
        <v>6</v>
      </c>
      <c r="AD49" s="68"/>
      <c r="AE49" s="69"/>
      <c r="AF49" s="70"/>
      <c r="AG49" s="71"/>
      <c r="AH49" s="74"/>
      <c r="AI49" s="67">
        <v>6</v>
      </c>
      <c r="AJ49" s="68"/>
      <c r="AK49" s="69"/>
      <c r="AL49" s="70"/>
      <c r="AM49" s="71"/>
      <c r="AN49" s="72"/>
      <c r="AO49" s="64"/>
      <c r="AP49" s="65"/>
      <c r="AQ49" s="65"/>
      <c r="AR49" s="65"/>
      <c r="AS49" s="65"/>
      <c r="AT49" s="66"/>
      <c r="AU49" s="64"/>
      <c r="AV49" s="65"/>
      <c r="AW49" s="65"/>
      <c r="AX49" s="65"/>
      <c r="AY49" s="65"/>
      <c r="AZ49" s="66"/>
      <c r="BA49" s="64"/>
      <c r="BB49" s="65"/>
      <c r="BC49" s="65"/>
      <c r="BD49" s="65"/>
      <c r="BE49" s="65"/>
      <c r="BF49" s="66"/>
      <c r="BG49" s="64"/>
      <c r="BH49" s="65"/>
      <c r="BI49" s="65"/>
      <c r="BJ49" s="65"/>
      <c r="BK49" s="65"/>
      <c r="BL49" s="66"/>
      <c r="BN49" s="79">
        <v>1060</v>
      </c>
      <c r="BO49" s="80" t="s">
        <v>153</v>
      </c>
      <c r="BP49" s="81" t="s">
        <v>66</v>
      </c>
      <c r="BQ49" s="82" t="s">
        <v>66</v>
      </c>
      <c r="BR49" s="94"/>
      <c r="BS49" s="84"/>
      <c r="BT49" s="82"/>
      <c r="BU49" s="62"/>
      <c r="BV49" s="62"/>
      <c r="BW49" s="62"/>
      <c r="BX49" s="62" t="s">
        <v>66</v>
      </c>
    </row>
    <row r="50" spans="4:76" ht="15" customHeight="1" thickBot="1" x14ac:dyDescent="0.3">
      <c r="D50" s="63"/>
      <c r="E50" s="87">
        <v>216</v>
      </c>
      <c r="F50" s="128" t="s">
        <v>154</v>
      </c>
      <c r="G50" s="129"/>
      <c r="H50" s="130"/>
      <c r="I50" s="91"/>
      <c r="J50" s="50">
        <v>64</v>
      </c>
      <c r="K50" s="127" t="s">
        <v>51</v>
      </c>
      <c r="L50" s="161" t="s">
        <v>155</v>
      </c>
      <c r="M50" s="162"/>
      <c r="N50" s="163"/>
      <c r="O50" s="91"/>
      <c r="P50" s="50">
        <v>61</v>
      </c>
      <c r="Q50" s="93">
        <v>217</v>
      </c>
      <c r="R50" s="88" t="s">
        <v>156</v>
      </c>
      <c r="S50" s="89"/>
      <c r="T50" s="90"/>
      <c r="U50" s="119" t="s">
        <v>157</v>
      </c>
      <c r="V50" s="47">
        <v>68</v>
      </c>
      <c r="W50" s="87">
        <v>147</v>
      </c>
      <c r="X50" s="88" t="s">
        <v>158</v>
      </c>
      <c r="Y50" s="89"/>
      <c r="Z50" s="90"/>
      <c r="AA50" s="91" t="s">
        <v>159</v>
      </c>
      <c r="AB50" s="47">
        <v>79</v>
      </c>
      <c r="AC50" s="160">
        <v>87</v>
      </c>
      <c r="AD50" s="144" t="s">
        <v>160</v>
      </c>
      <c r="AE50" s="145"/>
      <c r="AF50" s="146"/>
      <c r="AG50" s="91" t="s">
        <v>161</v>
      </c>
      <c r="AH50" s="50">
        <v>63</v>
      </c>
      <c r="AI50" s="120">
        <v>794</v>
      </c>
      <c r="AJ50" s="88" t="s">
        <v>162</v>
      </c>
      <c r="AK50" s="89"/>
      <c r="AL50" s="90"/>
      <c r="AM50" s="91">
        <v>87</v>
      </c>
      <c r="AN50" s="47"/>
      <c r="AO50" s="64"/>
      <c r="AP50" s="65"/>
      <c r="AQ50" s="65"/>
      <c r="AR50" s="65"/>
      <c r="AS50" s="65"/>
      <c r="AT50" s="66"/>
      <c r="AU50" s="64"/>
      <c r="AV50" s="65"/>
      <c r="AW50" s="65"/>
      <c r="AX50" s="65"/>
      <c r="AY50" s="65"/>
      <c r="AZ50" s="66"/>
      <c r="BA50" s="64"/>
      <c r="BB50" s="65"/>
      <c r="BC50" s="65"/>
      <c r="BD50" s="65"/>
      <c r="BE50" s="65"/>
      <c r="BF50" s="66"/>
      <c r="BG50" s="64"/>
      <c r="BH50" s="65"/>
      <c r="BI50" s="65"/>
      <c r="BJ50" s="65"/>
      <c r="BK50" s="65"/>
      <c r="BL50" s="66"/>
      <c r="BN50" s="79">
        <v>920</v>
      </c>
      <c r="BO50" s="80" t="s">
        <v>163</v>
      </c>
      <c r="BP50" s="81" t="s">
        <v>66</v>
      </c>
      <c r="BQ50" s="82" t="s">
        <v>66</v>
      </c>
      <c r="BR50" s="94"/>
      <c r="BS50" s="84"/>
      <c r="BT50" s="82"/>
      <c r="BU50" s="62"/>
      <c r="BV50" s="62"/>
      <c r="BW50" s="62"/>
      <c r="BX50" s="62" t="s">
        <v>66</v>
      </c>
    </row>
    <row r="51" spans="4:76" ht="15" customHeight="1" thickBot="1" x14ac:dyDescent="0.3">
      <c r="D51" s="63"/>
      <c r="E51" s="73">
        <v>3</v>
      </c>
      <c r="F51" s="133"/>
      <c r="G51" s="134"/>
      <c r="H51" s="135"/>
      <c r="I51" s="71"/>
      <c r="J51" s="74"/>
      <c r="K51" s="67">
        <v>3</v>
      </c>
      <c r="L51" s="164"/>
      <c r="M51" s="165"/>
      <c r="N51" s="166"/>
      <c r="O51" s="71"/>
      <c r="P51" s="74"/>
      <c r="Q51" s="67">
        <v>4</v>
      </c>
      <c r="R51" s="68"/>
      <c r="S51" s="69"/>
      <c r="T51" s="70"/>
      <c r="U51" s="122"/>
      <c r="V51" s="72"/>
      <c r="W51" s="73">
        <v>6</v>
      </c>
      <c r="X51" s="68"/>
      <c r="Y51" s="69"/>
      <c r="Z51" s="70"/>
      <c r="AA51" s="71"/>
      <c r="AB51" s="72"/>
      <c r="AC51" s="73">
        <v>3</v>
      </c>
      <c r="AD51" s="75"/>
      <c r="AE51" s="76"/>
      <c r="AF51" s="77"/>
      <c r="AG51" s="71"/>
      <c r="AH51" s="74"/>
      <c r="AI51" s="67">
        <v>4</v>
      </c>
      <c r="AJ51" s="68"/>
      <c r="AK51" s="69"/>
      <c r="AL51" s="70"/>
      <c r="AM51" s="71"/>
      <c r="AN51" s="72"/>
      <c r="AO51" s="64"/>
      <c r="AP51" s="65"/>
      <c r="AQ51" s="65"/>
      <c r="AR51" s="65"/>
      <c r="AS51" s="65"/>
      <c r="AT51" s="66"/>
      <c r="AU51" s="64"/>
      <c r="AV51" s="65"/>
      <c r="AW51" s="65"/>
      <c r="AX51" s="65"/>
      <c r="AY51" s="65"/>
      <c r="AZ51" s="66"/>
      <c r="BA51" s="64"/>
      <c r="BB51" s="65"/>
      <c r="BC51" s="65"/>
      <c r="BD51" s="65"/>
      <c r="BE51" s="65"/>
      <c r="BF51" s="66"/>
      <c r="BG51" s="64"/>
      <c r="BH51" s="65"/>
      <c r="BI51" s="65"/>
      <c r="BJ51" s="65"/>
      <c r="BK51" s="65"/>
      <c r="BL51" s="66"/>
      <c r="BN51" s="79">
        <v>1068</v>
      </c>
      <c r="BO51" s="80" t="s">
        <v>164</v>
      </c>
      <c r="BP51" s="81" t="s">
        <v>66</v>
      </c>
      <c r="BQ51" s="82" t="s">
        <v>66</v>
      </c>
      <c r="BR51" s="94"/>
      <c r="BS51" s="84"/>
      <c r="BT51" s="82"/>
      <c r="BU51" s="62"/>
      <c r="BV51" s="62"/>
      <c r="BW51" s="62"/>
      <c r="BX51" s="62" t="s">
        <v>66</v>
      </c>
    </row>
    <row r="52" spans="4:76" ht="15" customHeight="1" thickBot="1" x14ac:dyDescent="0.3">
      <c r="D52" s="63"/>
      <c r="E52" s="87">
        <v>177</v>
      </c>
      <c r="F52" s="128" t="s">
        <v>31</v>
      </c>
      <c r="G52" s="129"/>
      <c r="H52" s="130"/>
      <c r="I52" s="91"/>
      <c r="J52" s="50">
        <v>75</v>
      </c>
      <c r="K52" s="93">
        <v>178</v>
      </c>
      <c r="L52" s="88" t="s">
        <v>58</v>
      </c>
      <c r="M52" s="89"/>
      <c r="N52" s="90"/>
      <c r="O52" s="91">
        <v>177</v>
      </c>
      <c r="P52" s="47">
        <v>68</v>
      </c>
      <c r="Q52" s="64"/>
      <c r="R52" s="65"/>
      <c r="S52" s="65"/>
      <c r="T52" s="65"/>
      <c r="U52" s="65"/>
      <c r="V52" s="65"/>
      <c r="W52" s="87">
        <v>927</v>
      </c>
      <c r="X52" s="144" t="s">
        <v>165</v>
      </c>
      <c r="Y52" s="145"/>
      <c r="Z52" s="146"/>
      <c r="AA52" s="119" t="s">
        <v>166</v>
      </c>
      <c r="AB52" s="47"/>
      <c r="AC52" s="64"/>
      <c r="AD52" s="65"/>
      <c r="AE52" s="65"/>
      <c r="AF52" s="65"/>
      <c r="AG52" s="65"/>
      <c r="AH52" s="66"/>
      <c r="AI52" s="64"/>
      <c r="AJ52" s="65"/>
      <c r="AK52" s="65"/>
      <c r="AL52" s="65"/>
      <c r="AM52" s="65"/>
      <c r="AN52" s="66"/>
      <c r="AO52" s="64"/>
      <c r="AP52" s="65"/>
      <c r="AQ52" s="65"/>
      <c r="AR52" s="65"/>
      <c r="AS52" s="65"/>
      <c r="AT52" s="66"/>
      <c r="AU52" s="64"/>
      <c r="AV52" s="65"/>
      <c r="AW52" s="65"/>
      <c r="AX52" s="65"/>
      <c r="AY52" s="65"/>
      <c r="AZ52" s="66"/>
      <c r="BA52" s="64"/>
      <c r="BB52" s="65"/>
      <c r="BC52" s="65"/>
      <c r="BD52" s="65"/>
      <c r="BE52" s="65"/>
      <c r="BF52" s="66"/>
      <c r="BG52" s="64"/>
      <c r="BH52" s="65"/>
      <c r="BI52" s="65"/>
      <c r="BJ52" s="65"/>
      <c r="BK52" s="65"/>
      <c r="BL52" s="66"/>
      <c r="BN52" s="79">
        <v>792</v>
      </c>
      <c r="BO52" s="80" t="s">
        <v>167</v>
      </c>
      <c r="BP52" s="81" t="s">
        <v>66</v>
      </c>
      <c r="BQ52" s="82" t="s">
        <v>66</v>
      </c>
      <c r="BR52" s="94"/>
      <c r="BS52" s="84"/>
      <c r="BT52" s="82"/>
      <c r="BU52" s="62"/>
      <c r="BV52" s="62"/>
      <c r="BW52" s="62"/>
      <c r="BX52" s="62" t="s">
        <v>66</v>
      </c>
    </row>
    <row r="53" spans="4:76" ht="15" customHeight="1" thickBot="1" x14ac:dyDescent="0.3">
      <c r="D53" s="63"/>
      <c r="E53" s="73">
        <v>1</v>
      </c>
      <c r="F53" s="133"/>
      <c r="G53" s="134"/>
      <c r="H53" s="135"/>
      <c r="I53" s="71"/>
      <c r="J53" s="74"/>
      <c r="K53" s="67">
        <v>1</v>
      </c>
      <c r="L53" s="68"/>
      <c r="M53" s="69"/>
      <c r="N53" s="70"/>
      <c r="O53" s="71"/>
      <c r="P53" s="72"/>
      <c r="Q53" s="64"/>
      <c r="R53" s="65"/>
      <c r="S53" s="65"/>
      <c r="T53" s="65"/>
      <c r="U53" s="65"/>
      <c r="V53" s="66"/>
      <c r="W53" s="67">
        <v>3</v>
      </c>
      <c r="X53" s="75"/>
      <c r="Y53" s="76"/>
      <c r="Z53" s="77"/>
      <c r="AA53" s="122"/>
      <c r="AB53" s="72"/>
      <c r="AC53" s="64"/>
      <c r="AD53" s="65"/>
      <c r="AE53" s="65"/>
      <c r="AF53" s="65"/>
      <c r="AG53" s="65"/>
      <c r="AH53" s="66"/>
      <c r="AI53" s="64"/>
      <c r="AJ53" s="65"/>
      <c r="AK53" s="65"/>
      <c r="AL53" s="65"/>
      <c r="AM53" s="65"/>
      <c r="AN53" s="66"/>
      <c r="AO53" s="64"/>
      <c r="AP53" s="65"/>
      <c r="AQ53" s="65"/>
      <c r="AR53" s="65"/>
      <c r="AS53" s="65"/>
      <c r="AT53" s="66"/>
      <c r="AU53" s="64"/>
      <c r="AV53" s="65"/>
      <c r="AW53" s="65"/>
      <c r="AX53" s="65"/>
      <c r="AY53" s="65"/>
      <c r="AZ53" s="66"/>
      <c r="BA53" s="64"/>
      <c r="BB53" s="65"/>
      <c r="BC53" s="65"/>
      <c r="BD53" s="65"/>
      <c r="BE53" s="65"/>
      <c r="BF53" s="66"/>
      <c r="BG53" s="64"/>
      <c r="BH53" s="65"/>
      <c r="BI53" s="65"/>
      <c r="BJ53" s="65"/>
      <c r="BK53" s="65"/>
      <c r="BL53" s="66"/>
      <c r="BN53" s="79">
        <v>926</v>
      </c>
      <c r="BO53" s="80" t="s">
        <v>168</v>
      </c>
      <c r="BP53" s="81" t="s">
        <v>66</v>
      </c>
      <c r="BQ53" s="82" t="s">
        <v>66</v>
      </c>
      <c r="BR53" s="94"/>
      <c r="BS53" s="84"/>
      <c r="BT53" s="82"/>
      <c r="BU53" s="62"/>
      <c r="BV53" s="62"/>
      <c r="BW53" s="62"/>
      <c r="BX53" s="62" t="s">
        <v>66</v>
      </c>
    </row>
    <row r="54" spans="4:76" ht="15" customHeight="1" thickBot="1" x14ac:dyDescent="0.3">
      <c r="D54" s="63"/>
      <c r="E54" s="87">
        <v>119</v>
      </c>
      <c r="F54" s="153" t="s">
        <v>169</v>
      </c>
      <c r="G54" s="65"/>
      <c r="H54" s="154"/>
      <c r="I54" s="113"/>
      <c r="J54" s="50">
        <v>63</v>
      </c>
      <c r="K54" s="93">
        <v>121</v>
      </c>
      <c r="L54" s="167" t="s">
        <v>170</v>
      </c>
      <c r="M54" s="168"/>
      <c r="N54" s="169"/>
      <c r="O54" s="91">
        <v>119</v>
      </c>
      <c r="P54" s="47">
        <v>66</v>
      </c>
      <c r="Q54" s="64"/>
      <c r="R54" s="65"/>
      <c r="S54" s="65"/>
      <c r="T54" s="65"/>
      <c r="U54" s="65"/>
      <c r="V54" s="66"/>
      <c r="W54" s="93">
        <v>109</v>
      </c>
      <c r="X54" s="88" t="s">
        <v>171</v>
      </c>
      <c r="Y54" s="89"/>
      <c r="Z54" s="90"/>
      <c r="AA54" s="91" t="s">
        <v>159</v>
      </c>
      <c r="AB54" s="47">
        <v>68</v>
      </c>
      <c r="AC54" s="64"/>
      <c r="AD54" s="65"/>
      <c r="AE54" s="65"/>
      <c r="AF54" s="65"/>
      <c r="AG54" s="65"/>
      <c r="AH54" s="66"/>
      <c r="AI54" s="64"/>
      <c r="AJ54" s="65"/>
      <c r="AK54" s="65"/>
      <c r="AL54" s="65"/>
      <c r="AM54" s="65"/>
      <c r="AN54" s="66"/>
      <c r="AO54" s="64"/>
      <c r="AP54" s="65"/>
      <c r="AQ54" s="65"/>
      <c r="AR54" s="65"/>
      <c r="AS54" s="65"/>
      <c r="AT54" s="66"/>
      <c r="AU54" s="64"/>
      <c r="AV54" s="65"/>
      <c r="AW54" s="65"/>
      <c r="AX54" s="65"/>
      <c r="AY54" s="65"/>
      <c r="AZ54" s="66"/>
      <c r="BA54" s="64"/>
      <c r="BB54" s="65"/>
      <c r="BC54" s="65"/>
      <c r="BD54" s="65"/>
      <c r="BE54" s="65"/>
      <c r="BF54" s="66"/>
      <c r="BG54" s="64"/>
      <c r="BH54" s="65"/>
      <c r="BI54" s="65"/>
      <c r="BJ54" s="65"/>
      <c r="BK54" s="65"/>
      <c r="BL54" s="66"/>
      <c r="BN54" s="79">
        <v>779</v>
      </c>
      <c r="BO54" s="80" t="s">
        <v>172</v>
      </c>
      <c r="BP54" s="81" t="s">
        <v>66</v>
      </c>
      <c r="BQ54" s="82" t="s">
        <v>66</v>
      </c>
      <c r="BR54" s="94"/>
      <c r="BS54" s="84"/>
      <c r="BT54" s="82"/>
      <c r="BU54" s="62"/>
      <c r="BV54" s="62"/>
      <c r="BW54" s="62"/>
      <c r="BX54" s="62" t="s">
        <v>66</v>
      </c>
    </row>
    <row r="55" spans="4:76" ht="15" customHeight="1" thickBot="1" x14ac:dyDescent="0.3">
      <c r="D55" s="63"/>
      <c r="E55" s="157">
        <v>3</v>
      </c>
      <c r="F55" s="133"/>
      <c r="G55" s="134"/>
      <c r="H55" s="135"/>
      <c r="I55" s="71"/>
      <c r="J55" s="74"/>
      <c r="K55" s="67">
        <v>3</v>
      </c>
      <c r="L55" s="170"/>
      <c r="M55" s="171"/>
      <c r="N55" s="172"/>
      <c r="O55" s="71"/>
      <c r="P55" s="72"/>
      <c r="Q55" s="64"/>
      <c r="R55" s="65"/>
      <c r="S55" s="65"/>
      <c r="T55" s="65"/>
      <c r="U55" s="65"/>
      <c r="V55" s="66"/>
      <c r="W55" s="67">
        <v>5</v>
      </c>
      <c r="X55" s="68"/>
      <c r="Y55" s="69"/>
      <c r="Z55" s="70"/>
      <c r="AA55" s="71"/>
      <c r="AB55" s="72"/>
      <c r="AC55" s="64"/>
      <c r="AD55" s="65"/>
      <c r="AE55" s="65"/>
      <c r="AF55" s="65"/>
      <c r="AG55" s="65"/>
      <c r="AH55" s="66"/>
      <c r="AI55" s="64"/>
      <c r="AJ55" s="65"/>
      <c r="AK55" s="65"/>
      <c r="AL55" s="65"/>
      <c r="AM55" s="65"/>
      <c r="AN55" s="66"/>
      <c r="AO55" s="64"/>
      <c r="AP55" s="65"/>
      <c r="AQ55" s="65"/>
      <c r="AR55" s="65"/>
      <c r="AS55" s="65"/>
      <c r="AT55" s="66"/>
      <c r="AU55" s="64"/>
      <c r="AV55" s="65"/>
      <c r="AW55" s="65"/>
      <c r="AX55" s="65"/>
      <c r="AY55" s="65"/>
      <c r="AZ55" s="66"/>
      <c r="BA55" s="64"/>
      <c r="BB55" s="65"/>
      <c r="BC55" s="65"/>
      <c r="BD55" s="65"/>
      <c r="BE55" s="65"/>
      <c r="BF55" s="66"/>
      <c r="BG55" s="64"/>
      <c r="BH55" s="65"/>
      <c r="BI55" s="65"/>
      <c r="BJ55" s="65"/>
      <c r="BK55" s="65"/>
      <c r="BL55" s="66"/>
      <c r="BN55" s="79">
        <v>950</v>
      </c>
      <c r="BO55" s="80" t="s">
        <v>173</v>
      </c>
      <c r="BP55" s="81" t="s">
        <v>66</v>
      </c>
      <c r="BQ55" s="82" t="s">
        <v>66</v>
      </c>
      <c r="BR55" s="94"/>
      <c r="BS55" s="84"/>
      <c r="BT55" s="82"/>
      <c r="BU55" s="62"/>
      <c r="BV55" s="62"/>
      <c r="BW55" s="62"/>
      <c r="BX55" s="62" t="s">
        <v>66</v>
      </c>
    </row>
    <row r="56" spans="4:76" ht="15" customHeight="1" thickBot="1" x14ac:dyDescent="0.3">
      <c r="D56" s="63"/>
      <c r="E56" s="64"/>
      <c r="F56" s="65"/>
      <c r="G56" s="65"/>
      <c r="H56" s="65"/>
      <c r="I56" s="65"/>
      <c r="J56" s="66"/>
      <c r="K56" s="64"/>
      <c r="L56" s="65"/>
      <c r="M56" s="65"/>
      <c r="N56" s="65"/>
      <c r="O56" s="65"/>
      <c r="P56" s="66"/>
      <c r="Q56" s="64"/>
      <c r="R56" s="65"/>
      <c r="S56" s="65"/>
      <c r="T56" s="65"/>
      <c r="U56" s="65"/>
      <c r="V56" s="66"/>
      <c r="W56" s="93">
        <v>680</v>
      </c>
      <c r="X56" s="88" t="s">
        <v>174</v>
      </c>
      <c r="Y56" s="89"/>
      <c r="Z56" s="90"/>
      <c r="AA56" s="91" t="s">
        <v>134</v>
      </c>
      <c r="AB56" s="47">
        <v>72</v>
      </c>
      <c r="AC56" s="160">
        <v>764</v>
      </c>
      <c r="AD56" s="88" t="s">
        <v>144</v>
      </c>
      <c r="AE56" s="89"/>
      <c r="AF56" s="90"/>
      <c r="AG56" s="91">
        <v>680</v>
      </c>
      <c r="AH56" s="47">
        <v>76</v>
      </c>
      <c r="AI56" s="64"/>
      <c r="AJ56" s="65"/>
      <c r="AK56" s="65"/>
      <c r="AL56" s="65"/>
      <c r="AM56" s="65"/>
      <c r="AN56" s="66"/>
      <c r="AO56" s="64"/>
      <c r="AP56" s="65"/>
      <c r="AQ56" s="65"/>
      <c r="AR56" s="65"/>
      <c r="AS56" s="65"/>
      <c r="AT56" s="66"/>
      <c r="AU56" s="160">
        <v>906</v>
      </c>
      <c r="AV56" s="88" t="s">
        <v>175</v>
      </c>
      <c r="AW56" s="89"/>
      <c r="AX56" s="90"/>
      <c r="AY56" s="91" t="s">
        <v>176</v>
      </c>
      <c r="AZ56" s="47">
        <v>62</v>
      </c>
      <c r="BA56" s="64"/>
      <c r="BB56" s="65"/>
      <c r="BC56" s="65"/>
      <c r="BD56" s="65"/>
      <c r="BE56" s="65"/>
      <c r="BF56" s="66"/>
      <c r="BG56" s="64"/>
      <c r="BH56" s="65"/>
      <c r="BI56" s="65"/>
      <c r="BJ56" s="65"/>
      <c r="BK56" s="65"/>
      <c r="BL56" s="66"/>
      <c r="BN56" s="104">
        <v>928</v>
      </c>
      <c r="BO56" s="105" t="s">
        <v>177</v>
      </c>
      <c r="BP56" s="106" t="s">
        <v>66</v>
      </c>
      <c r="BQ56" s="107" t="s">
        <v>66</v>
      </c>
      <c r="BR56" s="142"/>
      <c r="BS56" s="109"/>
      <c r="BT56" s="107"/>
      <c r="BU56" s="62"/>
      <c r="BV56" s="62"/>
      <c r="BW56" s="62"/>
      <c r="BX56" s="62" t="s">
        <v>66</v>
      </c>
    </row>
    <row r="57" spans="4:76" ht="15" customHeight="1" thickBot="1" x14ac:dyDescent="0.3">
      <c r="D57" s="63"/>
      <c r="E57" s="64"/>
      <c r="F57" s="65"/>
      <c r="G57" s="65"/>
      <c r="H57" s="65"/>
      <c r="I57" s="65"/>
      <c r="J57" s="66"/>
      <c r="K57" s="64"/>
      <c r="L57" s="65"/>
      <c r="M57" s="65"/>
      <c r="N57" s="65"/>
      <c r="O57" s="65"/>
      <c r="P57" s="66"/>
      <c r="Q57" s="64"/>
      <c r="R57" s="65"/>
      <c r="S57" s="65"/>
      <c r="T57" s="65"/>
      <c r="U57" s="65"/>
      <c r="V57" s="66"/>
      <c r="W57" s="67">
        <v>3</v>
      </c>
      <c r="X57" s="68"/>
      <c r="Y57" s="69"/>
      <c r="Z57" s="70"/>
      <c r="AA57" s="71"/>
      <c r="AB57" s="72"/>
      <c r="AC57" s="73">
        <v>3</v>
      </c>
      <c r="AD57" s="68"/>
      <c r="AE57" s="69"/>
      <c r="AF57" s="70"/>
      <c r="AG57" s="71"/>
      <c r="AH57" s="72"/>
      <c r="AI57" s="64"/>
      <c r="AJ57" s="65"/>
      <c r="AK57" s="65"/>
      <c r="AL57" s="65"/>
      <c r="AM57" s="65"/>
      <c r="AN57" s="66"/>
      <c r="AO57" s="64"/>
      <c r="AP57" s="65"/>
      <c r="AQ57" s="65"/>
      <c r="AR57" s="65"/>
      <c r="AS57" s="65"/>
      <c r="AT57" s="66"/>
      <c r="AU57" s="67">
        <v>6</v>
      </c>
      <c r="AV57" s="68"/>
      <c r="AW57" s="69"/>
      <c r="AX57" s="70"/>
      <c r="AY57" s="71"/>
      <c r="AZ57" s="72"/>
      <c r="BA57" s="64"/>
      <c r="BB57" s="65"/>
      <c r="BC57" s="65"/>
      <c r="BD57" s="65"/>
      <c r="BE57" s="65"/>
      <c r="BF57" s="66"/>
      <c r="BG57" s="64"/>
      <c r="BH57" s="65"/>
      <c r="BI57" s="65"/>
      <c r="BJ57" s="65"/>
      <c r="BK57" s="65"/>
      <c r="BL57" s="66"/>
      <c r="BN57" s="131">
        <v>1073</v>
      </c>
      <c r="BO57" s="116" t="s">
        <v>16</v>
      </c>
      <c r="BP57" s="81" t="s">
        <v>66</v>
      </c>
      <c r="BQ57" s="82" t="s">
        <v>66</v>
      </c>
      <c r="BR57" s="132"/>
      <c r="BS57" s="117"/>
      <c r="BT57" s="118"/>
      <c r="BU57" s="62"/>
      <c r="BV57" s="62"/>
      <c r="BW57" s="62"/>
      <c r="BX57" s="62" t="s">
        <v>66</v>
      </c>
    </row>
    <row r="58" spans="4:76" ht="15" customHeight="1" thickBot="1" x14ac:dyDescent="0.3">
      <c r="D58" s="63"/>
      <c r="E58" s="64"/>
      <c r="F58" s="65"/>
      <c r="G58" s="65"/>
      <c r="H58" s="65"/>
      <c r="I58" s="65"/>
      <c r="J58" s="66"/>
      <c r="K58" s="64"/>
      <c r="L58" s="65"/>
      <c r="M58" s="65"/>
      <c r="N58" s="65"/>
      <c r="O58" s="65"/>
      <c r="P58" s="66"/>
      <c r="Q58" s="64"/>
      <c r="R58" s="65"/>
      <c r="S58" s="65"/>
      <c r="T58" s="65"/>
      <c r="U58" s="65"/>
      <c r="V58" s="66"/>
      <c r="W58" s="93">
        <v>949</v>
      </c>
      <c r="X58" s="88" t="s">
        <v>178</v>
      </c>
      <c r="Y58" s="89"/>
      <c r="Z58" s="90"/>
      <c r="AA58" s="91" t="s">
        <v>179</v>
      </c>
      <c r="AB58" s="50">
        <v>61</v>
      </c>
      <c r="AC58" s="160">
        <v>670</v>
      </c>
      <c r="AD58" s="88" t="s">
        <v>180</v>
      </c>
      <c r="AE58" s="89"/>
      <c r="AF58" s="90"/>
      <c r="AG58" s="91" t="s">
        <v>181</v>
      </c>
      <c r="AH58" s="50">
        <v>80</v>
      </c>
      <c r="AI58" s="120">
        <v>676</v>
      </c>
      <c r="AJ58" s="88" t="s">
        <v>182</v>
      </c>
      <c r="AK58" s="89"/>
      <c r="AL58" s="90"/>
      <c r="AM58" s="91">
        <v>670</v>
      </c>
      <c r="AN58" s="47"/>
      <c r="AO58" s="160">
        <v>945</v>
      </c>
      <c r="AP58" s="88" t="s">
        <v>183</v>
      </c>
      <c r="AQ58" s="89"/>
      <c r="AR58" s="90"/>
      <c r="AS58" s="147" t="s">
        <v>184</v>
      </c>
      <c r="AT58" s="47">
        <v>88</v>
      </c>
      <c r="AU58" s="64"/>
      <c r="AV58" s="65"/>
      <c r="AW58" s="65"/>
      <c r="AX58" s="65"/>
      <c r="AY58" s="65"/>
      <c r="AZ58" s="66"/>
      <c r="BA58" s="160">
        <v>2570</v>
      </c>
      <c r="BB58" s="88" t="s">
        <v>185</v>
      </c>
      <c r="BC58" s="89"/>
      <c r="BD58" s="90"/>
      <c r="BE58" s="147" t="s">
        <v>21</v>
      </c>
      <c r="BF58" s="47"/>
      <c r="BG58" s="64"/>
      <c r="BH58" s="65"/>
      <c r="BI58" s="65"/>
      <c r="BJ58" s="65"/>
      <c r="BK58" s="65"/>
      <c r="BL58" s="66"/>
      <c r="BN58" s="79">
        <v>677</v>
      </c>
      <c r="BO58" s="80" t="s">
        <v>186</v>
      </c>
      <c r="BP58" s="81">
        <v>5</v>
      </c>
      <c r="BQ58" s="82">
        <v>63</v>
      </c>
      <c r="BR58" s="83" t="s">
        <v>24</v>
      </c>
      <c r="BS58" s="84"/>
      <c r="BT58" s="82"/>
      <c r="BU58" s="62">
        <v>1</v>
      </c>
      <c r="BV58" s="62"/>
      <c r="BW58" s="62"/>
      <c r="BX58" s="62">
        <v>1</v>
      </c>
    </row>
    <row r="59" spans="4:76" ht="15" customHeight="1" thickBot="1" x14ac:dyDescent="0.3">
      <c r="D59" s="63"/>
      <c r="E59" s="95"/>
      <c r="F59" s="96"/>
      <c r="G59" s="96"/>
      <c r="H59" s="96"/>
      <c r="I59" s="96"/>
      <c r="J59" s="97"/>
      <c r="K59" s="95"/>
      <c r="L59" s="96"/>
      <c r="M59" s="96"/>
      <c r="N59" s="96"/>
      <c r="O59" s="96"/>
      <c r="P59" s="97"/>
      <c r="Q59" s="95"/>
      <c r="R59" s="96"/>
      <c r="S59" s="96"/>
      <c r="T59" s="96"/>
      <c r="U59" s="96"/>
      <c r="V59" s="97"/>
      <c r="W59" s="98">
        <v>5</v>
      </c>
      <c r="X59" s="99"/>
      <c r="Y59" s="100"/>
      <c r="Z59" s="101"/>
      <c r="AA59" s="102"/>
      <c r="AB59" s="103"/>
      <c r="AC59" s="173">
        <v>5</v>
      </c>
      <c r="AD59" s="99"/>
      <c r="AE59" s="100"/>
      <c r="AF59" s="101"/>
      <c r="AG59" s="102"/>
      <c r="AH59" s="103"/>
      <c r="AI59" s="98">
        <v>5</v>
      </c>
      <c r="AJ59" s="99"/>
      <c r="AK59" s="100"/>
      <c r="AL59" s="101"/>
      <c r="AM59" s="102"/>
      <c r="AN59" s="72"/>
      <c r="AO59" s="173">
        <v>5</v>
      </c>
      <c r="AP59" s="99"/>
      <c r="AQ59" s="100"/>
      <c r="AR59" s="101"/>
      <c r="AS59" s="150"/>
      <c r="AT59" s="72"/>
      <c r="AU59" s="95"/>
      <c r="AV59" s="96"/>
      <c r="AW59" s="96"/>
      <c r="AX59" s="96"/>
      <c r="AY59" s="96"/>
      <c r="AZ59" s="97"/>
      <c r="BA59" s="98">
        <v>4</v>
      </c>
      <c r="BB59" s="99"/>
      <c r="BC59" s="100"/>
      <c r="BD59" s="101"/>
      <c r="BE59" s="150"/>
      <c r="BF59" s="72"/>
      <c r="BG59" s="95"/>
      <c r="BH59" s="96"/>
      <c r="BI59" s="96"/>
      <c r="BJ59" s="96"/>
      <c r="BK59" s="96"/>
      <c r="BL59" s="97"/>
      <c r="BN59" s="79">
        <v>679</v>
      </c>
      <c r="BO59" s="80" t="s">
        <v>187</v>
      </c>
      <c r="BP59" s="81">
        <v>6</v>
      </c>
      <c r="BQ59" s="82">
        <v>71</v>
      </c>
      <c r="BR59" s="83" t="s">
        <v>24</v>
      </c>
      <c r="BS59" s="84"/>
      <c r="BT59" s="82"/>
      <c r="BU59" s="62">
        <v>1</v>
      </c>
      <c r="BV59" s="62"/>
      <c r="BW59" s="62"/>
      <c r="BX59" s="62">
        <v>1</v>
      </c>
    </row>
    <row r="60" spans="4:76" ht="15" customHeight="1" thickTop="1" thickBot="1" x14ac:dyDescent="0.3">
      <c r="D60" s="63" t="s">
        <v>188</v>
      </c>
      <c r="E60" s="39"/>
      <c r="F60" s="40"/>
      <c r="G60" s="40"/>
      <c r="H60" s="40"/>
      <c r="I60" s="40"/>
      <c r="J60" s="41"/>
      <c r="K60" s="39"/>
      <c r="L60" s="40"/>
      <c r="M60" s="40"/>
      <c r="N60" s="40"/>
      <c r="O60" s="40"/>
      <c r="P60" s="41"/>
      <c r="Q60" s="39"/>
      <c r="R60" s="40"/>
      <c r="S60" s="40"/>
      <c r="T60" s="40"/>
      <c r="U60" s="40"/>
      <c r="V60" s="41"/>
      <c r="W60" s="93">
        <v>930</v>
      </c>
      <c r="X60" s="110" t="s">
        <v>189</v>
      </c>
      <c r="Y60" s="111"/>
      <c r="Z60" s="112"/>
      <c r="AA60" s="113" t="s">
        <v>190</v>
      </c>
      <c r="AB60" s="139"/>
      <c r="AC60" s="87">
        <v>1060</v>
      </c>
      <c r="AD60" s="110" t="s">
        <v>191</v>
      </c>
      <c r="AE60" s="111"/>
      <c r="AF60" s="112"/>
      <c r="AG60" s="113">
        <v>930</v>
      </c>
      <c r="AH60" s="139"/>
      <c r="AI60" s="64"/>
      <c r="AJ60" s="40"/>
      <c r="AK60" s="40"/>
      <c r="AL60" s="40"/>
      <c r="AM60" s="40"/>
      <c r="AN60" s="41"/>
      <c r="AO60" s="39"/>
      <c r="AP60" s="40"/>
      <c r="AQ60" s="40"/>
      <c r="AR60" s="40"/>
      <c r="AS60" s="40"/>
      <c r="AT60" s="41"/>
      <c r="AU60" s="39"/>
      <c r="AV60" s="40"/>
      <c r="AW60" s="40"/>
      <c r="AX60" s="40"/>
      <c r="AY60" s="40"/>
      <c r="AZ60" s="41"/>
      <c r="BA60" s="39"/>
      <c r="BB60" s="40"/>
      <c r="BC60" s="40"/>
      <c r="BD60" s="40"/>
      <c r="BE60" s="40"/>
      <c r="BF60" s="41"/>
      <c r="BG60" s="39"/>
      <c r="BH60" s="40"/>
      <c r="BI60" s="40"/>
      <c r="BJ60" s="40"/>
      <c r="BK60" s="40"/>
      <c r="BL60" s="41"/>
      <c r="BN60" s="79">
        <v>748</v>
      </c>
      <c r="BO60" s="80" t="s">
        <v>192</v>
      </c>
      <c r="BP60" s="81">
        <v>5</v>
      </c>
      <c r="BQ60" s="82">
        <v>76</v>
      </c>
      <c r="BR60" s="83" t="s">
        <v>24</v>
      </c>
      <c r="BS60" s="84"/>
      <c r="BT60" s="82"/>
      <c r="BU60" s="62">
        <v>1</v>
      </c>
      <c r="BV60" s="62"/>
      <c r="BW60" s="62"/>
      <c r="BX60" s="62">
        <v>1</v>
      </c>
    </row>
    <row r="61" spans="4:76" ht="15" customHeight="1" thickBot="1" x14ac:dyDescent="0.3">
      <c r="D61" s="63"/>
      <c r="E61" s="64"/>
      <c r="F61" s="65"/>
      <c r="G61" s="65"/>
      <c r="H61" s="65"/>
      <c r="I61" s="65"/>
      <c r="J61" s="66"/>
      <c r="K61" s="64"/>
      <c r="L61" s="65"/>
      <c r="M61" s="65"/>
      <c r="N61" s="65"/>
      <c r="O61" s="65"/>
      <c r="P61" s="66"/>
      <c r="Q61" s="64"/>
      <c r="R61" s="65"/>
      <c r="S61" s="65"/>
      <c r="T61" s="65"/>
      <c r="U61" s="65"/>
      <c r="V61" s="66"/>
      <c r="W61" s="67">
        <v>3</v>
      </c>
      <c r="X61" s="68"/>
      <c r="Y61" s="69"/>
      <c r="Z61" s="70"/>
      <c r="AA61" s="71"/>
      <c r="AB61" s="72"/>
      <c r="AC61" s="73">
        <v>5</v>
      </c>
      <c r="AD61" s="68"/>
      <c r="AE61" s="69"/>
      <c r="AF61" s="70"/>
      <c r="AG61" s="71"/>
      <c r="AH61" s="72"/>
      <c r="AI61" s="64"/>
      <c r="AJ61" s="65"/>
      <c r="AK61" s="65"/>
      <c r="AL61" s="65"/>
      <c r="AM61" s="65"/>
      <c r="AN61" s="66"/>
      <c r="AO61" s="64"/>
      <c r="AP61" s="65"/>
      <c r="AQ61" s="65"/>
      <c r="AR61" s="65"/>
      <c r="AS61" s="65"/>
      <c r="AT61" s="66"/>
      <c r="AU61" s="64"/>
      <c r="AV61" s="65"/>
      <c r="AW61" s="65"/>
      <c r="AX61" s="65"/>
      <c r="AY61" s="65"/>
      <c r="AZ61" s="66"/>
      <c r="BA61" s="64"/>
      <c r="BB61" s="65"/>
      <c r="BC61" s="65"/>
      <c r="BD61" s="65"/>
      <c r="BE61" s="65"/>
      <c r="BF61" s="66"/>
      <c r="BG61" s="64"/>
      <c r="BH61" s="65"/>
      <c r="BI61" s="65"/>
      <c r="BJ61" s="65"/>
      <c r="BK61" s="65"/>
      <c r="BL61" s="66"/>
      <c r="BN61" s="79">
        <v>686</v>
      </c>
      <c r="BO61" s="80" t="s">
        <v>193</v>
      </c>
      <c r="BP61" s="81">
        <v>6</v>
      </c>
      <c r="BQ61" s="82">
        <v>61</v>
      </c>
      <c r="BR61" s="83" t="s">
        <v>24</v>
      </c>
      <c r="BS61" s="84"/>
      <c r="BT61" s="92" t="s">
        <v>24</v>
      </c>
      <c r="BU61" s="62">
        <v>1</v>
      </c>
      <c r="BV61" s="62"/>
      <c r="BW61" s="62">
        <v>1</v>
      </c>
      <c r="BX61" s="62">
        <v>1</v>
      </c>
    </row>
    <row r="62" spans="4:76" ht="15" customHeight="1" thickBot="1" x14ac:dyDescent="0.3">
      <c r="D62" s="63"/>
      <c r="E62" s="64"/>
      <c r="F62" s="65"/>
      <c r="G62" s="65"/>
      <c r="H62" s="65"/>
      <c r="I62" s="65"/>
      <c r="J62" s="66"/>
      <c r="K62" s="64"/>
      <c r="L62" s="65"/>
      <c r="M62" s="65"/>
      <c r="N62" s="65"/>
      <c r="O62" s="65"/>
      <c r="P62" s="66"/>
      <c r="Q62" s="64"/>
      <c r="R62" s="65"/>
      <c r="S62" s="65"/>
      <c r="T62" s="65"/>
      <c r="U62" s="65"/>
      <c r="V62" s="66"/>
      <c r="W62" s="93"/>
      <c r="X62" s="144" t="s">
        <v>112</v>
      </c>
      <c r="Y62" s="145"/>
      <c r="Z62" s="146"/>
      <c r="AA62" s="91">
        <v>290</v>
      </c>
      <c r="AB62" s="47"/>
      <c r="AC62" s="87">
        <v>920</v>
      </c>
      <c r="AD62" s="88" t="s">
        <v>194</v>
      </c>
      <c r="AE62" s="89"/>
      <c r="AF62" s="90"/>
      <c r="AG62" s="119" t="s">
        <v>195</v>
      </c>
      <c r="AH62" s="47"/>
      <c r="AI62" s="64"/>
      <c r="AJ62" s="65"/>
      <c r="AK62" s="65"/>
      <c r="AL62" s="65"/>
      <c r="AM62" s="65"/>
      <c r="AN62" s="66"/>
      <c r="AO62" s="64"/>
      <c r="AP62" s="65"/>
      <c r="AQ62" s="65"/>
      <c r="AR62" s="65"/>
      <c r="AS62" s="65"/>
      <c r="AT62" s="66"/>
      <c r="AU62" s="64"/>
      <c r="AV62" s="65"/>
      <c r="AW62" s="65"/>
      <c r="AX62" s="65"/>
      <c r="AY62" s="65"/>
      <c r="AZ62" s="66"/>
      <c r="BA62" s="64"/>
      <c r="BB62" s="65"/>
      <c r="BC62" s="65"/>
      <c r="BD62" s="65"/>
      <c r="BE62" s="65"/>
      <c r="BF62" s="66"/>
      <c r="BG62" s="64"/>
      <c r="BH62" s="65"/>
      <c r="BI62" s="65"/>
      <c r="BJ62" s="65"/>
      <c r="BK62" s="65"/>
      <c r="BL62" s="66"/>
      <c r="BN62" s="79">
        <v>922</v>
      </c>
      <c r="BO62" s="80" t="s">
        <v>119</v>
      </c>
      <c r="BP62" s="81" t="s">
        <v>66</v>
      </c>
      <c r="BQ62" s="82" t="s">
        <v>66</v>
      </c>
      <c r="BR62" s="94"/>
      <c r="BS62" s="84"/>
      <c r="BT62" s="82"/>
      <c r="BU62" s="62"/>
      <c r="BV62" s="62"/>
      <c r="BW62" s="62"/>
      <c r="BX62" s="62" t="s">
        <v>66</v>
      </c>
    </row>
    <row r="63" spans="4:76" ht="15" customHeight="1" thickBot="1" x14ac:dyDescent="0.3">
      <c r="D63" s="63"/>
      <c r="E63" s="64"/>
      <c r="F63" s="65"/>
      <c r="G63" s="65"/>
      <c r="H63" s="65"/>
      <c r="I63" s="65"/>
      <c r="J63" s="66"/>
      <c r="K63" s="64"/>
      <c r="L63" s="65"/>
      <c r="M63" s="65"/>
      <c r="N63" s="65"/>
      <c r="O63" s="65"/>
      <c r="P63" s="66"/>
      <c r="Q63" s="64"/>
      <c r="R63" s="65"/>
      <c r="S63" s="65"/>
      <c r="T63" s="65"/>
      <c r="U63" s="65"/>
      <c r="V63" s="66"/>
      <c r="W63" s="67">
        <v>6</v>
      </c>
      <c r="X63" s="75"/>
      <c r="Y63" s="76"/>
      <c r="Z63" s="77"/>
      <c r="AA63" s="71"/>
      <c r="AB63" s="72"/>
      <c r="AC63" s="73">
        <v>4</v>
      </c>
      <c r="AD63" s="68"/>
      <c r="AE63" s="69"/>
      <c r="AF63" s="70"/>
      <c r="AG63" s="122"/>
      <c r="AH63" s="72"/>
      <c r="AI63" s="64"/>
      <c r="AJ63" s="65"/>
      <c r="AK63" s="65"/>
      <c r="AL63" s="65"/>
      <c r="AM63" s="65"/>
      <c r="AN63" s="66"/>
      <c r="AO63" s="64"/>
      <c r="AP63" s="65"/>
      <c r="AQ63" s="65"/>
      <c r="AR63" s="65"/>
      <c r="AS63" s="65"/>
      <c r="AT63" s="66"/>
      <c r="AU63" s="64"/>
      <c r="AV63" s="65"/>
      <c r="AW63" s="65"/>
      <c r="AX63" s="65"/>
      <c r="AY63" s="65"/>
      <c r="AZ63" s="66"/>
      <c r="BA63" s="64"/>
      <c r="BB63" s="65"/>
      <c r="BC63" s="65"/>
      <c r="BD63" s="65"/>
      <c r="BE63" s="65"/>
      <c r="BF63" s="66"/>
      <c r="BG63" s="64"/>
      <c r="BH63" s="65"/>
      <c r="BI63" s="65"/>
      <c r="BJ63" s="65"/>
      <c r="BK63" s="65"/>
      <c r="BL63" s="66"/>
      <c r="BN63" s="79">
        <v>905</v>
      </c>
      <c r="BO63" s="80" t="s">
        <v>142</v>
      </c>
      <c r="BP63" s="81" t="s">
        <v>66</v>
      </c>
      <c r="BQ63" s="82" t="s">
        <v>66</v>
      </c>
      <c r="BR63" s="94"/>
      <c r="BS63" s="84"/>
      <c r="BT63" s="82"/>
      <c r="BU63" s="62"/>
      <c r="BV63" s="62"/>
      <c r="BW63" s="62"/>
      <c r="BX63" s="62" t="s">
        <v>66</v>
      </c>
    </row>
    <row r="64" spans="4:76" ht="15" customHeight="1" thickBot="1" x14ac:dyDescent="0.3">
      <c r="D64" s="63"/>
      <c r="E64" s="64"/>
      <c r="F64" s="65"/>
      <c r="G64" s="65"/>
      <c r="H64" s="65"/>
      <c r="I64" s="65"/>
      <c r="J64" s="66"/>
      <c r="K64" s="64"/>
      <c r="L64" s="65"/>
      <c r="M64" s="65"/>
      <c r="N64" s="65"/>
      <c r="O64" s="65"/>
      <c r="P64" s="66"/>
      <c r="Q64" s="64"/>
      <c r="R64" s="65"/>
      <c r="S64" s="65"/>
      <c r="T64" s="65"/>
      <c r="U64" s="65"/>
      <c r="V64" s="66"/>
      <c r="W64" s="64"/>
      <c r="X64" s="65"/>
      <c r="Y64" s="65"/>
      <c r="Z64" s="65"/>
      <c r="AA64" s="65"/>
      <c r="AB64" s="66"/>
      <c r="AC64" s="87">
        <v>1068</v>
      </c>
      <c r="AD64" s="110" t="s">
        <v>196</v>
      </c>
      <c r="AE64" s="111"/>
      <c r="AF64" s="112"/>
      <c r="AG64" s="113">
        <v>930</v>
      </c>
      <c r="AH64" s="47"/>
      <c r="AI64" s="64"/>
      <c r="AJ64" s="65"/>
      <c r="AK64" s="65"/>
      <c r="AL64" s="65"/>
      <c r="AM64" s="65"/>
      <c r="AN64" s="66"/>
      <c r="AO64" s="64"/>
      <c r="AP64" s="65"/>
      <c r="AQ64" s="65"/>
      <c r="AR64" s="65"/>
      <c r="AS64" s="65"/>
      <c r="AT64" s="66"/>
      <c r="AU64" s="64"/>
      <c r="AV64" s="65"/>
      <c r="AW64" s="65"/>
      <c r="AX64" s="65"/>
      <c r="AY64" s="65"/>
      <c r="AZ64" s="66"/>
      <c r="BA64" s="64"/>
      <c r="BB64" s="65"/>
      <c r="BC64" s="65"/>
      <c r="BD64" s="65"/>
      <c r="BE64" s="65"/>
      <c r="BF64" s="66"/>
      <c r="BG64" s="64"/>
      <c r="BH64" s="65"/>
      <c r="BI64" s="65"/>
      <c r="BJ64" s="65"/>
      <c r="BK64" s="65"/>
      <c r="BL64" s="66"/>
      <c r="BN64" s="79">
        <v>904</v>
      </c>
      <c r="BO64" s="80" t="s">
        <v>151</v>
      </c>
      <c r="BP64" s="81" t="s">
        <v>66</v>
      </c>
      <c r="BQ64" s="82" t="s">
        <v>66</v>
      </c>
      <c r="BR64" s="94"/>
      <c r="BS64" s="84"/>
      <c r="BT64" s="82"/>
      <c r="BU64" s="62"/>
      <c r="BV64" s="62"/>
      <c r="BW64" s="62"/>
      <c r="BX64" s="62" t="s">
        <v>66</v>
      </c>
    </row>
    <row r="65" spans="4:76" ht="15" customHeight="1" thickBot="1" x14ac:dyDescent="0.3">
      <c r="D65" s="63"/>
      <c r="E65" s="64"/>
      <c r="F65" s="65"/>
      <c r="G65" s="65"/>
      <c r="H65" s="65"/>
      <c r="I65" s="65"/>
      <c r="J65" s="66"/>
      <c r="K65" s="64"/>
      <c r="L65" s="65"/>
      <c r="M65" s="65"/>
      <c r="N65" s="65"/>
      <c r="O65" s="65"/>
      <c r="P65" s="66"/>
      <c r="Q65" s="64"/>
      <c r="R65" s="65"/>
      <c r="S65" s="65"/>
      <c r="T65" s="65"/>
      <c r="U65" s="65"/>
      <c r="V65" s="66"/>
      <c r="W65" s="64"/>
      <c r="X65" s="65"/>
      <c r="Y65" s="65"/>
      <c r="Z65" s="65"/>
      <c r="AA65" s="65"/>
      <c r="AB65" s="66"/>
      <c r="AC65" s="73">
        <v>4</v>
      </c>
      <c r="AD65" s="68"/>
      <c r="AE65" s="69"/>
      <c r="AF65" s="70"/>
      <c r="AG65" s="71"/>
      <c r="AH65" s="72"/>
      <c r="AI65" s="64"/>
      <c r="AJ65" s="65"/>
      <c r="AK65" s="65"/>
      <c r="AL65" s="65"/>
      <c r="AM65" s="65"/>
      <c r="AN65" s="66"/>
      <c r="AO65" s="64"/>
      <c r="AP65" s="65"/>
      <c r="AQ65" s="65"/>
      <c r="AR65" s="65"/>
      <c r="AS65" s="65"/>
      <c r="AT65" s="66"/>
      <c r="AU65" s="64"/>
      <c r="AV65" s="65"/>
      <c r="AW65" s="65"/>
      <c r="AX65" s="65"/>
      <c r="AY65" s="65"/>
      <c r="AZ65" s="66"/>
      <c r="BA65" s="64"/>
      <c r="BB65" s="65"/>
      <c r="BC65" s="65"/>
      <c r="BD65" s="65"/>
      <c r="BE65" s="65"/>
      <c r="BF65" s="66"/>
      <c r="BG65" s="64"/>
      <c r="BH65" s="65"/>
      <c r="BI65" s="65"/>
      <c r="BJ65" s="65"/>
      <c r="BK65" s="65"/>
      <c r="BL65" s="66"/>
      <c r="BN65" s="79">
        <v>794</v>
      </c>
      <c r="BO65" s="80" t="s">
        <v>162</v>
      </c>
      <c r="BP65" s="81" t="s">
        <v>66</v>
      </c>
      <c r="BQ65" s="82" t="s">
        <v>66</v>
      </c>
      <c r="BR65" s="94"/>
      <c r="BS65" s="84"/>
      <c r="BT65" s="82"/>
      <c r="BU65" s="62"/>
      <c r="BV65" s="62"/>
      <c r="BW65" s="62"/>
      <c r="BX65" s="62" t="s">
        <v>66</v>
      </c>
    </row>
    <row r="66" spans="4:76" ht="15" customHeight="1" thickBot="1" x14ac:dyDescent="0.3">
      <c r="D66" s="63"/>
      <c r="E66" s="64"/>
      <c r="F66" s="65"/>
      <c r="G66" s="65"/>
      <c r="H66" s="65"/>
      <c r="I66" s="65"/>
      <c r="J66" s="66"/>
      <c r="K66" s="64"/>
      <c r="L66" s="65"/>
      <c r="M66" s="65"/>
      <c r="N66" s="65"/>
      <c r="O66" s="65"/>
      <c r="P66" s="66"/>
      <c r="Q66" s="64"/>
      <c r="R66" s="65"/>
      <c r="S66" s="65"/>
      <c r="T66" s="65"/>
      <c r="U66" s="65"/>
      <c r="V66" s="66"/>
      <c r="W66" s="64"/>
      <c r="X66" s="65"/>
      <c r="Y66" s="65"/>
      <c r="Z66" s="65"/>
      <c r="AA66" s="65"/>
      <c r="AB66" s="66"/>
      <c r="AC66" s="160">
        <v>792</v>
      </c>
      <c r="AD66" s="88" t="s">
        <v>197</v>
      </c>
      <c r="AE66" s="89"/>
      <c r="AF66" s="90"/>
      <c r="AG66" s="91" t="s">
        <v>198</v>
      </c>
      <c r="AH66" s="47"/>
      <c r="AI66" s="64"/>
      <c r="AJ66" s="65"/>
      <c r="AK66" s="65"/>
      <c r="AL66" s="65"/>
      <c r="AM66" s="65"/>
      <c r="AN66" s="66"/>
      <c r="AO66" s="64"/>
      <c r="AP66" s="65"/>
      <c r="AQ66" s="65"/>
      <c r="AR66" s="65"/>
      <c r="AS66" s="65"/>
      <c r="AT66" s="66"/>
      <c r="AU66" s="64"/>
      <c r="AV66" s="65"/>
      <c r="AW66" s="65"/>
      <c r="AX66" s="65"/>
      <c r="AY66" s="65"/>
      <c r="AZ66" s="66"/>
      <c r="BA66" s="64"/>
      <c r="BB66" s="65"/>
      <c r="BC66" s="65"/>
      <c r="BD66" s="65"/>
      <c r="BE66" s="65"/>
      <c r="BF66" s="66"/>
      <c r="BG66" s="64"/>
      <c r="BH66" s="65"/>
      <c r="BI66" s="65"/>
      <c r="BJ66" s="65"/>
      <c r="BK66" s="65"/>
      <c r="BL66" s="66"/>
      <c r="BN66" s="79">
        <v>676</v>
      </c>
      <c r="BO66" s="80" t="s">
        <v>182</v>
      </c>
      <c r="BP66" s="81" t="s">
        <v>66</v>
      </c>
      <c r="BQ66" s="82" t="s">
        <v>66</v>
      </c>
      <c r="BR66" s="94"/>
      <c r="BS66" s="84"/>
      <c r="BT66" s="82"/>
      <c r="BU66" s="62"/>
      <c r="BV66" s="62"/>
      <c r="BW66" s="62"/>
      <c r="BX66" s="62" t="s">
        <v>66</v>
      </c>
    </row>
    <row r="67" spans="4:76" ht="15" customHeight="1" thickBot="1" x14ac:dyDescent="0.3">
      <c r="D67" s="63"/>
      <c r="E67" s="64"/>
      <c r="F67" s="65"/>
      <c r="G67" s="65"/>
      <c r="H67" s="65"/>
      <c r="I67" s="65"/>
      <c r="J67" s="66"/>
      <c r="K67" s="64"/>
      <c r="L67" s="65"/>
      <c r="M67" s="65"/>
      <c r="N67" s="65"/>
      <c r="O67" s="65"/>
      <c r="P67" s="66"/>
      <c r="Q67" s="64"/>
      <c r="R67" s="65"/>
      <c r="S67" s="65"/>
      <c r="T67" s="65"/>
      <c r="U67" s="65"/>
      <c r="V67" s="66"/>
      <c r="W67" s="64"/>
      <c r="X67" s="65"/>
      <c r="Y67" s="65"/>
      <c r="Z67" s="65"/>
      <c r="AA67" s="65"/>
      <c r="AB67" s="66"/>
      <c r="AC67" s="73">
        <v>5</v>
      </c>
      <c r="AD67" s="68"/>
      <c r="AE67" s="69"/>
      <c r="AF67" s="70"/>
      <c r="AG67" s="71"/>
      <c r="AH67" s="72"/>
      <c r="AI67" s="64"/>
      <c r="AJ67" s="65"/>
      <c r="AK67" s="65"/>
      <c r="AL67" s="65"/>
      <c r="AM67" s="65"/>
      <c r="AN67" s="66"/>
      <c r="AO67" s="64"/>
      <c r="AP67" s="65"/>
      <c r="AQ67" s="65"/>
      <c r="AR67" s="65"/>
      <c r="AS67" s="65"/>
      <c r="AT67" s="66"/>
      <c r="AU67" s="64"/>
      <c r="AV67" s="65"/>
      <c r="AW67" s="65"/>
      <c r="AX67" s="65"/>
      <c r="AY67" s="65"/>
      <c r="AZ67" s="66"/>
      <c r="BA67" s="64"/>
      <c r="BB67" s="65"/>
      <c r="BC67" s="65"/>
      <c r="BD67" s="65"/>
      <c r="BE67" s="65"/>
      <c r="BF67" s="66"/>
      <c r="BG67" s="64"/>
      <c r="BH67" s="65"/>
      <c r="BI67" s="65"/>
      <c r="BJ67" s="65"/>
      <c r="BK67" s="65"/>
      <c r="BL67" s="66"/>
      <c r="BN67" s="104">
        <v>685</v>
      </c>
      <c r="BO67" s="105" t="s">
        <v>199</v>
      </c>
      <c r="BP67" s="106" t="s">
        <v>66</v>
      </c>
      <c r="BQ67" s="107" t="s">
        <v>66</v>
      </c>
      <c r="BR67" s="142"/>
      <c r="BS67" s="109"/>
      <c r="BT67" s="107"/>
      <c r="BU67" s="62"/>
      <c r="BV67" s="62"/>
      <c r="BW67" s="62"/>
      <c r="BX67" s="62" t="s">
        <v>66</v>
      </c>
    </row>
    <row r="68" spans="4:76" ht="15" customHeight="1" thickBot="1" x14ac:dyDescent="0.3">
      <c r="D68" s="63"/>
      <c r="E68" s="64"/>
      <c r="F68" s="65"/>
      <c r="G68" s="65"/>
      <c r="H68" s="65"/>
      <c r="I68" s="65"/>
      <c r="J68" s="66"/>
      <c r="K68" s="64"/>
      <c r="L68" s="65"/>
      <c r="M68" s="65"/>
      <c r="N68" s="65"/>
      <c r="O68" s="65"/>
      <c r="P68" s="66"/>
      <c r="Q68" s="64"/>
      <c r="R68" s="65"/>
      <c r="S68" s="65"/>
      <c r="T68" s="65"/>
      <c r="U68" s="65"/>
      <c r="V68" s="66"/>
      <c r="W68" s="64"/>
      <c r="X68" s="65"/>
      <c r="Y68" s="65"/>
      <c r="Z68" s="65"/>
      <c r="AA68" s="65"/>
      <c r="AB68" s="66"/>
      <c r="AC68" s="87">
        <v>926</v>
      </c>
      <c r="AD68" s="110" t="s">
        <v>200</v>
      </c>
      <c r="AE68" s="111"/>
      <c r="AF68" s="112"/>
      <c r="AG68" s="113">
        <v>930</v>
      </c>
      <c r="AH68" s="50"/>
      <c r="AI68" s="64"/>
      <c r="AJ68" s="65"/>
      <c r="AK68" s="65"/>
      <c r="AL68" s="65"/>
      <c r="AM68" s="65"/>
      <c r="AN68" s="66"/>
      <c r="AO68" s="64"/>
      <c r="AP68" s="65"/>
      <c r="AQ68" s="65"/>
      <c r="AR68" s="65"/>
      <c r="AS68" s="65"/>
      <c r="AT68" s="66"/>
      <c r="AU68" s="64"/>
      <c r="AV68" s="65"/>
      <c r="AW68" s="65"/>
      <c r="AX68" s="65"/>
      <c r="AY68" s="65"/>
      <c r="AZ68" s="66"/>
      <c r="BA68" s="64"/>
      <c r="BB68" s="65"/>
      <c r="BC68" s="65"/>
      <c r="BD68" s="65"/>
      <c r="BE68" s="65"/>
      <c r="BF68" s="66"/>
      <c r="BG68" s="64"/>
      <c r="BH68" s="65"/>
      <c r="BI68" s="65"/>
      <c r="BJ68" s="65"/>
      <c r="BK68" s="65"/>
      <c r="BL68" s="66"/>
      <c r="BN68" s="131">
        <v>940</v>
      </c>
      <c r="BO68" s="116" t="s">
        <v>201</v>
      </c>
      <c r="BP68" s="81">
        <v>6</v>
      </c>
      <c r="BQ68" s="82">
        <v>81</v>
      </c>
      <c r="BR68" s="83" t="s">
        <v>24</v>
      </c>
      <c r="BS68" s="117"/>
      <c r="BT68" s="118"/>
      <c r="BU68" s="62">
        <v>1</v>
      </c>
      <c r="BV68" s="62"/>
      <c r="BW68" s="62"/>
      <c r="BX68" s="62">
        <v>1</v>
      </c>
    </row>
    <row r="69" spans="4:76" ht="15" customHeight="1" thickBot="1" x14ac:dyDescent="0.3">
      <c r="D69" s="63"/>
      <c r="E69" s="95"/>
      <c r="F69" s="96"/>
      <c r="G69" s="96"/>
      <c r="H69" s="96"/>
      <c r="I69" s="96"/>
      <c r="J69" s="97"/>
      <c r="K69" s="95"/>
      <c r="L69" s="96"/>
      <c r="M69" s="96"/>
      <c r="N69" s="96"/>
      <c r="O69" s="96"/>
      <c r="P69" s="97"/>
      <c r="Q69" s="95"/>
      <c r="R69" s="96"/>
      <c r="S69" s="96"/>
      <c r="T69" s="96"/>
      <c r="U69" s="96"/>
      <c r="V69" s="97"/>
      <c r="W69" s="95"/>
      <c r="X69" s="96"/>
      <c r="Y69" s="96"/>
      <c r="Z69" s="96"/>
      <c r="AA69" s="96"/>
      <c r="AB69" s="97"/>
      <c r="AC69" s="173">
        <v>3</v>
      </c>
      <c r="AD69" s="99"/>
      <c r="AE69" s="100"/>
      <c r="AF69" s="101"/>
      <c r="AG69" s="102"/>
      <c r="AH69" s="103"/>
      <c r="AI69" s="95"/>
      <c r="AJ69" s="96"/>
      <c r="AK69" s="96"/>
      <c r="AL69" s="96"/>
      <c r="AM69" s="96"/>
      <c r="AN69" s="97"/>
      <c r="AO69" s="95"/>
      <c r="AP69" s="96"/>
      <c r="AQ69" s="96"/>
      <c r="AR69" s="96"/>
      <c r="AS69" s="96"/>
      <c r="AT69" s="97"/>
      <c r="AU69" s="95"/>
      <c r="AV69" s="96"/>
      <c r="AW69" s="96"/>
      <c r="AX69" s="96"/>
      <c r="AY69" s="96"/>
      <c r="AZ69" s="97"/>
      <c r="BA69" s="95"/>
      <c r="BB69" s="96"/>
      <c r="BC69" s="96"/>
      <c r="BD69" s="96"/>
      <c r="BE69" s="96"/>
      <c r="BF69" s="97"/>
      <c r="BG69" s="95"/>
      <c r="BH69" s="96"/>
      <c r="BI69" s="96"/>
      <c r="BJ69" s="96"/>
      <c r="BK69" s="96"/>
      <c r="BL69" s="97"/>
      <c r="BN69" s="79">
        <v>924</v>
      </c>
      <c r="BO69" s="80" t="s">
        <v>38</v>
      </c>
      <c r="BP69" s="81" t="s">
        <v>66</v>
      </c>
      <c r="BQ69" s="82" t="s">
        <v>66</v>
      </c>
      <c r="BR69" s="94"/>
      <c r="BS69" s="84"/>
      <c r="BT69" s="82"/>
      <c r="BU69" s="62"/>
      <c r="BV69" s="62"/>
      <c r="BW69" s="62"/>
      <c r="BX69" s="62" t="s">
        <v>66</v>
      </c>
    </row>
    <row r="70" spans="4:76" ht="15" customHeight="1" thickTop="1" thickBot="1" x14ac:dyDescent="0.3">
      <c r="D70" s="63" t="s">
        <v>202</v>
      </c>
      <c r="E70" s="39"/>
      <c r="F70" s="40"/>
      <c r="G70" s="40"/>
      <c r="H70" s="40"/>
      <c r="I70" s="40"/>
      <c r="J70" s="41"/>
      <c r="K70" s="39"/>
      <c r="L70" s="40"/>
      <c r="M70" s="40"/>
      <c r="N70" s="40"/>
      <c r="O70" s="40"/>
      <c r="P70" s="41"/>
      <c r="Q70" s="39"/>
      <c r="R70" s="40"/>
      <c r="S70" s="40"/>
      <c r="T70" s="40"/>
      <c r="U70" s="40"/>
      <c r="V70" s="41"/>
      <c r="W70" s="93">
        <v>694</v>
      </c>
      <c r="X70" s="110" t="s">
        <v>203</v>
      </c>
      <c r="Y70" s="111"/>
      <c r="Z70" s="112"/>
      <c r="AA70" s="113" t="s">
        <v>134</v>
      </c>
      <c r="AB70" s="47">
        <v>70</v>
      </c>
      <c r="AC70" s="87">
        <v>779</v>
      </c>
      <c r="AD70" s="110" t="s">
        <v>172</v>
      </c>
      <c r="AE70" s="111"/>
      <c r="AF70" s="112"/>
      <c r="AG70" s="113">
        <v>694</v>
      </c>
      <c r="AH70" s="139"/>
      <c r="AI70" s="39"/>
      <c r="AJ70" s="40"/>
      <c r="AK70" s="40"/>
      <c r="AL70" s="40"/>
      <c r="AM70" s="40"/>
      <c r="AN70" s="41"/>
      <c r="AO70" s="87">
        <v>943</v>
      </c>
      <c r="AP70" s="174" t="s">
        <v>204</v>
      </c>
      <c r="AQ70" s="175"/>
      <c r="AR70" s="176"/>
      <c r="AS70" s="140" t="s">
        <v>205</v>
      </c>
      <c r="AT70" s="50">
        <v>68</v>
      </c>
      <c r="AU70" s="93">
        <v>944</v>
      </c>
      <c r="AV70" s="110" t="s">
        <v>206</v>
      </c>
      <c r="AW70" s="111"/>
      <c r="AX70" s="112"/>
      <c r="AY70" s="113">
        <v>943</v>
      </c>
      <c r="AZ70" s="47"/>
      <c r="BA70" s="39"/>
      <c r="BB70" s="40"/>
      <c r="BC70" s="40"/>
      <c r="BD70" s="40"/>
      <c r="BE70" s="40"/>
      <c r="BF70" s="41"/>
      <c r="BG70" s="93"/>
      <c r="BH70" s="153" t="s">
        <v>207</v>
      </c>
      <c r="BI70" s="65"/>
      <c r="BJ70" s="154"/>
      <c r="BK70" s="113"/>
      <c r="BL70" s="50"/>
      <c r="BN70" s="79">
        <v>745</v>
      </c>
      <c r="BO70" s="80" t="s">
        <v>208</v>
      </c>
      <c r="BP70" s="81">
        <v>6</v>
      </c>
      <c r="BQ70" s="82">
        <v>79</v>
      </c>
      <c r="BR70" s="83" t="s">
        <v>24</v>
      </c>
      <c r="BS70" s="84"/>
      <c r="BT70" s="82"/>
      <c r="BU70" s="62">
        <v>1</v>
      </c>
      <c r="BV70" s="62"/>
      <c r="BW70" s="62"/>
      <c r="BX70" s="62">
        <v>1</v>
      </c>
    </row>
    <row r="71" spans="4:76" ht="15" customHeight="1" thickBot="1" x14ac:dyDescent="0.3">
      <c r="D71" s="63"/>
      <c r="E71" s="64"/>
      <c r="F71" s="65"/>
      <c r="G71" s="65"/>
      <c r="H71" s="65"/>
      <c r="I71" s="65"/>
      <c r="J71" s="66"/>
      <c r="K71" s="64"/>
      <c r="L71" s="65"/>
      <c r="M71" s="65"/>
      <c r="N71" s="65"/>
      <c r="O71" s="65"/>
      <c r="P71" s="66"/>
      <c r="Q71" s="64"/>
      <c r="R71" s="65"/>
      <c r="S71" s="65"/>
      <c r="T71" s="65"/>
      <c r="U71" s="65"/>
      <c r="V71" s="66"/>
      <c r="W71" s="67">
        <v>3</v>
      </c>
      <c r="X71" s="68"/>
      <c r="Y71" s="69"/>
      <c r="Z71" s="70"/>
      <c r="AA71" s="71"/>
      <c r="AB71" s="72"/>
      <c r="AC71" s="73">
        <v>3</v>
      </c>
      <c r="AD71" s="68"/>
      <c r="AE71" s="69"/>
      <c r="AF71" s="70"/>
      <c r="AG71" s="71"/>
      <c r="AH71" s="72"/>
      <c r="AI71" s="64"/>
      <c r="AJ71" s="65"/>
      <c r="AK71" s="65"/>
      <c r="AL71" s="65"/>
      <c r="AM71" s="65"/>
      <c r="AN71" s="66"/>
      <c r="AO71" s="73">
        <v>5</v>
      </c>
      <c r="AP71" s="170"/>
      <c r="AQ71" s="171"/>
      <c r="AR71" s="172"/>
      <c r="AS71" s="78"/>
      <c r="AT71" s="74"/>
      <c r="AU71" s="67">
        <v>3</v>
      </c>
      <c r="AV71" s="68"/>
      <c r="AW71" s="69"/>
      <c r="AX71" s="70"/>
      <c r="AY71" s="71"/>
      <c r="AZ71" s="72"/>
      <c r="BA71" s="64"/>
      <c r="BB71" s="65"/>
      <c r="BC71" s="65"/>
      <c r="BD71" s="65"/>
      <c r="BE71" s="65"/>
      <c r="BF71" s="66"/>
      <c r="BG71" s="67"/>
      <c r="BH71" s="133"/>
      <c r="BI71" s="134"/>
      <c r="BJ71" s="135"/>
      <c r="BK71" s="71"/>
      <c r="BL71" s="74"/>
      <c r="BN71" s="79">
        <v>935</v>
      </c>
      <c r="BO71" s="80" t="s">
        <v>209</v>
      </c>
      <c r="BP71" s="81">
        <v>5</v>
      </c>
      <c r="BQ71" s="82">
        <v>83</v>
      </c>
      <c r="BR71" s="83" t="s">
        <v>24</v>
      </c>
      <c r="BS71" s="84"/>
      <c r="BT71" s="82"/>
      <c r="BU71" s="62">
        <v>1</v>
      </c>
      <c r="BV71" s="62"/>
      <c r="BW71" s="62"/>
      <c r="BX71" s="62">
        <v>1</v>
      </c>
    </row>
    <row r="72" spans="4:76" ht="15" customHeight="1" thickBot="1" x14ac:dyDescent="0.3">
      <c r="D72" s="63"/>
      <c r="E72" s="64"/>
      <c r="F72" s="65"/>
      <c r="G72" s="65"/>
      <c r="H72" s="65"/>
      <c r="I72" s="65"/>
      <c r="J72" s="66"/>
      <c r="K72" s="64"/>
      <c r="L72" s="65"/>
      <c r="M72" s="65"/>
      <c r="N72" s="65"/>
      <c r="O72" s="65"/>
      <c r="P72" s="66"/>
      <c r="Q72" s="64"/>
      <c r="R72" s="65"/>
      <c r="S72" s="65"/>
      <c r="T72" s="65"/>
      <c r="U72" s="65"/>
      <c r="V72" s="66"/>
      <c r="W72" s="93">
        <v>925</v>
      </c>
      <c r="X72" s="88" t="s">
        <v>210</v>
      </c>
      <c r="Y72" s="89"/>
      <c r="Z72" s="90"/>
      <c r="AA72" s="91" t="s">
        <v>134</v>
      </c>
      <c r="AB72" s="47"/>
      <c r="AC72" s="160">
        <v>950</v>
      </c>
      <c r="AD72" s="88" t="s">
        <v>173</v>
      </c>
      <c r="AE72" s="89"/>
      <c r="AF72" s="90"/>
      <c r="AG72" s="91">
        <v>949</v>
      </c>
      <c r="AH72" s="50"/>
      <c r="AI72" s="120">
        <v>685</v>
      </c>
      <c r="AJ72" s="88" t="s">
        <v>199</v>
      </c>
      <c r="AK72" s="89"/>
      <c r="AL72" s="90"/>
      <c r="AM72" s="177" t="s">
        <v>211</v>
      </c>
      <c r="AN72" s="47"/>
      <c r="AO72" s="160">
        <v>795</v>
      </c>
      <c r="AP72" s="88" t="s">
        <v>212</v>
      </c>
      <c r="AQ72" s="89"/>
      <c r="AR72" s="90"/>
      <c r="AS72" s="91">
        <v>685</v>
      </c>
      <c r="AT72" s="50"/>
      <c r="AU72" s="65"/>
      <c r="AV72" s="65"/>
      <c r="AW72" s="65"/>
      <c r="AX72" s="65"/>
      <c r="AY72" s="65"/>
      <c r="AZ72" s="66"/>
      <c r="BA72" s="64"/>
      <c r="BB72" s="65"/>
      <c r="BC72" s="65"/>
      <c r="BD72" s="65"/>
      <c r="BE72" s="65"/>
      <c r="BF72" s="66"/>
      <c r="BG72" s="93"/>
      <c r="BH72" s="178" t="s">
        <v>213</v>
      </c>
      <c r="BI72" s="129"/>
      <c r="BJ72" s="130"/>
      <c r="BK72" s="91"/>
      <c r="BL72" s="50"/>
      <c r="BN72" s="79">
        <v>749</v>
      </c>
      <c r="BO72" s="80" t="s">
        <v>214</v>
      </c>
      <c r="BP72" s="81">
        <v>6</v>
      </c>
      <c r="BQ72" s="82">
        <v>87</v>
      </c>
      <c r="BR72" s="83" t="s">
        <v>24</v>
      </c>
      <c r="BS72" s="84"/>
      <c r="BT72" s="82"/>
      <c r="BU72" s="62">
        <v>1</v>
      </c>
      <c r="BV72" s="62"/>
      <c r="BW72" s="62"/>
      <c r="BX72" s="62">
        <v>1</v>
      </c>
    </row>
    <row r="73" spans="4:76" ht="15" customHeight="1" thickBot="1" x14ac:dyDescent="0.3">
      <c r="D73" s="63"/>
      <c r="E73" s="64"/>
      <c r="F73" s="65"/>
      <c r="G73" s="65"/>
      <c r="H73" s="65"/>
      <c r="I73" s="65"/>
      <c r="J73" s="66"/>
      <c r="K73" s="64"/>
      <c r="L73" s="65"/>
      <c r="M73" s="65"/>
      <c r="N73" s="65"/>
      <c r="O73" s="65"/>
      <c r="P73" s="66"/>
      <c r="Q73" s="64"/>
      <c r="R73" s="65"/>
      <c r="S73" s="65"/>
      <c r="T73" s="65"/>
      <c r="U73" s="65"/>
      <c r="V73" s="66"/>
      <c r="W73" s="67">
        <v>3</v>
      </c>
      <c r="X73" s="68"/>
      <c r="Y73" s="69"/>
      <c r="Z73" s="70"/>
      <c r="AA73" s="71"/>
      <c r="AB73" s="72"/>
      <c r="AC73" s="73">
        <v>5</v>
      </c>
      <c r="AD73" s="68"/>
      <c r="AE73" s="69"/>
      <c r="AF73" s="70"/>
      <c r="AG73" s="71"/>
      <c r="AH73" s="74"/>
      <c r="AI73" s="67">
        <v>5</v>
      </c>
      <c r="AJ73" s="68"/>
      <c r="AK73" s="69"/>
      <c r="AL73" s="70"/>
      <c r="AM73" s="159"/>
      <c r="AN73" s="72"/>
      <c r="AO73" s="73">
        <v>5</v>
      </c>
      <c r="AP73" s="68"/>
      <c r="AQ73" s="69"/>
      <c r="AR73" s="70"/>
      <c r="AS73" s="71"/>
      <c r="AT73" s="74"/>
      <c r="AU73" s="65"/>
      <c r="AV73" s="65"/>
      <c r="AW73" s="65"/>
      <c r="AX73" s="65"/>
      <c r="AY73" s="65"/>
      <c r="AZ73" s="66"/>
      <c r="BA73" s="64"/>
      <c r="BB73" s="65"/>
      <c r="BC73" s="65"/>
      <c r="BD73" s="65"/>
      <c r="BE73" s="65"/>
      <c r="BF73" s="66"/>
      <c r="BG73" s="67"/>
      <c r="BH73" s="133"/>
      <c r="BI73" s="134"/>
      <c r="BJ73" s="135"/>
      <c r="BK73" s="71"/>
      <c r="BL73" s="74"/>
      <c r="BN73" s="79">
        <v>1061</v>
      </c>
      <c r="BO73" s="80" t="s">
        <v>104</v>
      </c>
      <c r="BP73" s="81" t="s">
        <v>66</v>
      </c>
      <c r="BQ73" s="82" t="s">
        <v>66</v>
      </c>
      <c r="BR73" s="94"/>
      <c r="BS73" s="84"/>
      <c r="BT73" s="82"/>
      <c r="BU73" s="62"/>
      <c r="BV73" s="62"/>
      <c r="BW73" s="62"/>
      <c r="BX73" s="62" t="s">
        <v>66</v>
      </c>
    </row>
    <row r="74" spans="4:76" ht="15" customHeight="1" thickBot="1" x14ac:dyDescent="0.3">
      <c r="D74" s="63"/>
      <c r="E74" s="64"/>
      <c r="F74" s="65"/>
      <c r="G74" s="65"/>
      <c r="H74" s="65"/>
      <c r="I74" s="65"/>
      <c r="J74" s="66"/>
      <c r="K74" s="64"/>
      <c r="L74" s="65"/>
      <c r="M74" s="65"/>
      <c r="N74" s="65"/>
      <c r="O74" s="65"/>
      <c r="P74" s="66"/>
      <c r="Q74" s="64"/>
      <c r="R74" s="65"/>
      <c r="S74" s="65"/>
      <c r="T74" s="65"/>
      <c r="U74" s="65"/>
      <c r="V74" s="66"/>
      <c r="W74" s="64"/>
      <c r="X74" s="65"/>
      <c r="Y74" s="65"/>
      <c r="Z74" s="65"/>
      <c r="AA74" s="65"/>
      <c r="AB74" s="66"/>
      <c r="AC74" s="160">
        <v>928</v>
      </c>
      <c r="AD74" s="88" t="s">
        <v>215</v>
      </c>
      <c r="AE74" s="89"/>
      <c r="AF74" s="90"/>
      <c r="AG74" s="91">
        <v>925</v>
      </c>
      <c r="AH74" s="47"/>
      <c r="AI74" s="64"/>
      <c r="AJ74" s="65"/>
      <c r="AK74" s="65"/>
      <c r="AL74" s="65"/>
      <c r="AM74" s="65"/>
      <c r="AN74" s="66"/>
      <c r="AO74" s="64"/>
      <c r="AP74" s="65"/>
      <c r="AQ74" s="65"/>
      <c r="AR74" s="65"/>
      <c r="AS74" s="65"/>
      <c r="AT74" s="66"/>
      <c r="AU74" s="64"/>
      <c r="AV74" s="65"/>
      <c r="AW74" s="65"/>
      <c r="AX74" s="65"/>
      <c r="AY74" s="65"/>
      <c r="AZ74" s="66"/>
      <c r="BA74" s="64"/>
      <c r="BB74" s="65"/>
      <c r="BC74" s="65"/>
      <c r="BD74" s="65"/>
      <c r="BE74" s="65"/>
      <c r="BF74" s="66"/>
      <c r="BG74" s="93">
        <v>918</v>
      </c>
      <c r="BH74" s="144" t="s">
        <v>216</v>
      </c>
      <c r="BI74" s="145"/>
      <c r="BJ74" s="146"/>
      <c r="BK74" s="91">
        <v>909</v>
      </c>
      <c r="BL74" s="50"/>
      <c r="BN74" s="79">
        <v>769</v>
      </c>
      <c r="BO74" s="80" t="s">
        <v>110</v>
      </c>
      <c r="BP74" s="81" t="s">
        <v>66</v>
      </c>
      <c r="BQ74" s="82" t="s">
        <v>66</v>
      </c>
      <c r="BR74" s="94"/>
      <c r="BS74" s="84"/>
      <c r="BT74" s="82"/>
      <c r="BU74" s="62"/>
      <c r="BV74" s="62"/>
      <c r="BW74" s="62"/>
      <c r="BX74" s="62" t="s">
        <v>66</v>
      </c>
    </row>
    <row r="75" spans="4:76" ht="15" customHeight="1" thickBot="1" x14ac:dyDescent="0.3">
      <c r="D75" s="63"/>
      <c r="E75" s="95"/>
      <c r="F75" s="96"/>
      <c r="G75" s="96"/>
      <c r="H75" s="96"/>
      <c r="I75" s="96"/>
      <c r="J75" s="97"/>
      <c r="K75" s="95"/>
      <c r="L75" s="96"/>
      <c r="M75" s="96"/>
      <c r="N75" s="96"/>
      <c r="O75" s="96"/>
      <c r="P75" s="97"/>
      <c r="Q75" s="95"/>
      <c r="R75" s="96"/>
      <c r="S75" s="96"/>
      <c r="T75" s="96"/>
      <c r="U75" s="96"/>
      <c r="V75" s="97"/>
      <c r="W75" s="95"/>
      <c r="X75" s="96"/>
      <c r="Y75" s="96"/>
      <c r="Z75" s="96"/>
      <c r="AA75" s="96"/>
      <c r="AB75" s="97"/>
      <c r="AC75" s="173">
        <v>3</v>
      </c>
      <c r="AD75" s="99"/>
      <c r="AE75" s="100"/>
      <c r="AF75" s="101"/>
      <c r="AG75" s="102"/>
      <c r="AH75" s="72"/>
      <c r="AI75" s="95"/>
      <c r="AJ75" s="96"/>
      <c r="AK75" s="96"/>
      <c r="AL75" s="96"/>
      <c r="AM75" s="96"/>
      <c r="AN75" s="97"/>
      <c r="AO75" s="95"/>
      <c r="AP75" s="96"/>
      <c r="AQ75" s="96"/>
      <c r="AR75" s="96"/>
      <c r="AS75" s="96"/>
      <c r="AT75" s="97"/>
      <c r="AU75" s="95"/>
      <c r="AV75" s="96"/>
      <c r="AW75" s="96"/>
      <c r="AX75" s="96"/>
      <c r="AY75" s="96"/>
      <c r="AZ75" s="97"/>
      <c r="BA75" s="95"/>
      <c r="BB75" s="96"/>
      <c r="BC75" s="96"/>
      <c r="BD75" s="96"/>
      <c r="BE75" s="96"/>
      <c r="BF75" s="97"/>
      <c r="BG75" s="98">
        <v>4</v>
      </c>
      <c r="BH75" s="179"/>
      <c r="BI75" s="180"/>
      <c r="BJ75" s="181"/>
      <c r="BK75" s="102"/>
      <c r="BL75" s="103"/>
      <c r="BN75" s="79">
        <v>945</v>
      </c>
      <c r="BO75" s="80" t="s">
        <v>217</v>
      </c>
      <c r="BP75" s="81">
        <v>5</v>
      </c>
      <c r="BQ75" s="82">
        <v>88</v>
      </c>
      <c r="BR75" s="83" t="s">
        <v>24</v>
      </c>
      <c r="BS75" s="84"/>
      <c r="BT75" s="82"/>
      <c r="BU75" s="62">
        <v>1</v>
      </c>
      <c r="BV75" s="62"/>
      <c r="BW75" s="62"/>
      <c r="BX75" s="62">
        <v>1</v>
      </c>
    </row>
    <row r="76" spans="4:76" ht="15" customHeight="1" thickTop="1" thickBot="1" x14ac:dyDescent="0.3">
      <c r="D76" s="63" t="s">
        <v>218</v>
      </c>
      <c r="E76" s="39"/>
      <c r="F76" s="40"/>
      <c r="G76" s="40"/>
      <c r="H76" s="40"/>
      <c r="I76" s="40"/>
      <c r="J76" s="41"/>
      <c r="K76" s="39"/>
      <c r="L76" s="40"/>
      <c r="M76" s="40"/>
      <c r="N76" s="40"/>
      <c r="O76" s="40"/>
      <c r="P76" s="41"/>
      <c r="Q76" s="93">
        <v>2394</v>
      </c>
      <c r="R76" s="182" t="s">
        <v>219</v>
      </c>
      <c r="S76" s="183"/>
      <c r="T76" s="184"/>
      <c r="U76" s="113">
        <v>170</v>
      </c>
      <c r="V76" s="49">
        <v>71</v>
      </c>
      <c r="W76" s="39"/>
      <c r="X76" s="40"/>
      <c r="Y76" s="40"/>
      <c r="Z76" s="40"/>
      <c r="AA76" s="40"/>
      <c r="AB76" s="41"/>
      <c r="AC76" s="39"/>
      <c r="AD76" s="40"/>
      <c r="AE76" s="40"/>
      <c r="AF76" s="40"/>
      <c r="AG76" s="40"/>
      <c r="AH76" s="41"/>
      <c r="AI76" s="39"/>
      <c r="AJ76" s="40"/>
      <c r="AK76" s="40"/>
      <c r="AL76" s="40"/>
      <c r="AM76" s="40"/>
      <c r="AN76" s="41"/>
      <c r="AO76" s="87">
        <v>2585</v>
      </c>
      <c r="AP76" s="182" t="s">
        <v>220</v>
      </c>
      <c r="AQ76" s="183"/>
      <c r="AR76" s="184"/>
      <c r="AS76" s="140" t="s">
        <v>221</v>
      </c>
      <c r="AT76" s="47">
        <v>89</v>
      </c>
      <c r="AU76" s="39"/>
      <c r="AV76" s="40"/>
      <c r="AW76" s="40"/>
      <c r="AX76" s="40"/>
      <c r="AY76" s="40"/>
      <c r="AZ76" s="41"/>
      <c r="BA76" s="39"/>
      <c r="BB76" s="40"/>
      <c r="BC76" s="40"/>
      <c r="BD76" s="40"/>
      <c r="BE76" s="40"/>
      <c r="BF76" s="41"/>
      <c r="BG76" s="93">
        <v>2586</v>
      </c>
      <c r="BH76" s="182" t="s">
        <v>222</v>
      </c>
      <c r="BI76" s="183"/>
      <c r="BJ76" s="184"/>
      <c r="BK76" s="140" t="s">
        <v>223</v>
      </c>
      <c r="BL76" s="114">
        <v>69</v>
      </c>
      <c r="BN76" s="79">
        <v>943</v>
      </c>
      <c r="BO76" s="80" t="s">
        <v>224</v>
      </c>
      <c r="BP76" s="81">
        <v>5</v>
      </c>
      <c r="BQ76" s="82">
        <v>68</v>
      </c>
      <c r="BR76" s="94"/>
      <c r="BS76" s="141" t="s">
        <v>24</v>
      </c>
      <c r="BT76" s="82"/>
      <c r="BU76" s="62"/>
      <c r="BV76" s="62">
        <v>1</v>
      </c>
      <c r="BW76" s="62"/>
      <c r="BX76" s="62">
        <v>1</v>
      </c>
    </row>
    <row r="77" spans="4:76" ht="15" customHeight="1" thickBot="1" x14ac:dyDescent="0.3">
      <c r="D77" s="185"/>
      <c r="E77" s="95"/>
      <c r="F77" s="96"/>
      <c r="G77" s="96"/>
      <c r="H77" s="96"/>
      <c r="I77" s="96"/>
      <c r="J77" s="97"/>
      <c r="K77" s="95"/>
      <c r="L77" s="96"/>
      <c r="M77" s="96"/>
      <c r="N77" s="96"/>
      <c r="O77" s="96"/>
      <c r="P77" s="97"/>
      <c r="Q77" s="98"/>
      <c r="R77" s="186"/>
      <c r="S77" s="187"/>
      <c r="T77" s="188"/>
      <c r="U77" s="102"/>
      <c r="V77" s="103"/>
      <c r="W77" s="95"/>
      <c r="X77" s="96"/>
      <c r="Y77" s="96"/>
      <c r="Z77" s="96"/>
      <c r="AA77" s="96"/>
      <c r="AB77" s="97"/>
      <c r="AC77" s="95"/>
      <c r="AD77" s="96"/>
      <c r="AE77" s="96"/>
      <c r="AF77" s="96"/>
      <c r="AG77" s="96"/>
      <c r="AH77" s="97"/>
      <c r="AI77" s="95"/>
      <c r="AJ77" s="96"/>
      <c r="AK77" s="96"/>
      <c r="AL77" s="96"/>
      <c r="AM77" s="96"/>
      <c r="AN77" s="97"/>
      <c r="AO77" s="173"/>
      <c r="AP77" s="186"/>
      <c r="AQ77" s="187"/>
      <c r="AR77" s="188"/>
      <c r="AS77" s="150"/>
      <c r="AT77" s="139"/>
      <c r="AU77" s="95"/>
      <c r="AV77" s="96"/>
      <c r="AW77" s="96"/>
      <c r="AX77" s="96"/>
      <c r="AY77" s="96"/>
      <c r="AZ77" s="97"/>
      <c r="BA77" s="95"/>
      <c r="BB77" s="96"/>
      <c r="BC77" s="96"/>
      <c r="BD77" s="96"/>
      <c r="BE77" s="96"/>
      <c r="BF77" s="97"/>
      <c r="BG77" s="98"/>
      <c r="BH77" s="186"/>
      <c r="BI77" s="187"/>
      <c r="BJ77" s="188"/>
      <c r="BK77" s="150"/>
      <c r="BL77" s="103"/>
      <c r="BN77" s="79">
        <v>795</v>
      </c>
      <c r="BO77" s="80" t="s">
        <v>225</v>
      </c>
      <c r="BP77" s="81" t="s">
        <v>66</v>
      </c>
      <c r="BQ77" s="82" t="s">
        <v>66</v>
      </c>
      <c r="BR77" s="94"/>
      <c r="BS77" s="84"/>
      <c r="BT77" s="82"/>
      <c r="BU77" s="62"/>
      <c r="BV77" s="62"/>
      <c r="BW77" s="62"/>
      <c r="BX77" s="62" t="s">
        <v>66</v>
      </c>
    </row>
    <row r="78" spans="4:76" ht="15" customHeight="1" thickTop="1" thickBot="1" x14ac:dyDescent="0.3">
      <c r="AT78" s="189"/>
      <c r="BL78" s="189"/>
      <c r="BN78" s="104">
        <v>2585</v>
      </c>
      <c r="BO78" s="105" t="s">
        <v>226</v>
      </c>
      <c r="BP78" s="106"/>
      <c r="BQ78" s="107">
        <v>89</v>
      </c>
      <c r="BR78" s="108" t="s">
        <v>24</v>
      </c>
      <c r="BS78" s="109"/>
      <c r="BT78" s="107"/>
      <c r="BU78" s="62">
        <v>1</v>
      </c>
      <c r="BV78" s="62"/>
      <c r="BW78" s="62"/>
      <c r="BX78" s="62">
        <v>1</v>
      </c>
    </row>
    <row r="79" spans="4:76" ht="15" customHeight="1" x14ac:dyDescent="0.25">
      <c r="BN79" s="131">
        <v>1074</v>
      </c>
      <c r="BO79" s="116" t="s">
        <v>19</v>
      </c>
      <c r="BP79" s="81" t="s">
        <v>66</v>
      </c>
      <c r="BQ79" s="82" t="s">
        <v>66</v>
      </c>
      <c r="BR79" s="132"/>
      <c r="BS79" s="117"/>
      <c r="BT79" s="118"/>
      <c r="BU79" s="62"/>
      <c r="BV79" s="62"/>
      <c r="BW79" s="62"/>
      <c r="BX79" s="62" t="s">
        <v>66</v>
      </c>
    </row>
    <row r="80" spans="4:76" ht="15" customHeight="1" x14ac:dyDescent="0.25">
      <c r="BN80" s="79">
        <v>1075</v>
      </c>
      <c r="BO80" s="80" t="s">
        <v>27</v>
      </c>
      <c r="BP80" s="81" t="s">
        <v>66</v>
      </c>
      <c r="BQ80" s="82" t="s">
        <v>66</v>
      </c>
      <c r="BR80" s="94"/>
      <c r="BS80" s="84"/>
      <c r="BT80" s="82"/>
      <c r="BU80" s="62"/>
      <c r="BV80" s="62"/>
      <c r="BW80" s="62"/>
      <c r="BX80" s="62" t="s">
        <v>66</v>
      </c>
    </row>
    <row r="81" spans="66:76" ht="15" customHeight="1" x14ac:dyDescent="0.25">
      <c r="BN81" s="79">
        <v>1063</v>
      </c>
      <c r="BO81" s="80" t="s">
        <v>30</v>
      </c>
      <c r="BP81" s="81" t="s">
        <v>66</v>
      </c>
      <c r="BQ81" s="82" t="s">
        <v>66</v>
      </c>
      <c r="BR81" s="94"/>
      <c r="BS81" s="84"/>
      <c r="BT81" s="82"/>
      <c r="BU81" s="62"/>
      <c r="BV81" s="62"/>
      <c r="BW81" s="62"/>
      <c r="BX81" s="62" t="s">
        <v>66</v>
      </c>
    </row>
    <row r="82" spans="66:76" ht="15" customHeight="1" x14ac:dyDescent="0.25">
      <c r="BN82" s="79">
        <v>1053</v>
      </c>
      <c r="BO82" s="80" t="s">
        <v>39</v>
      </c>
      <c r="BP82" s="81" t="s">
        <v>66</v>
      </c>
      <c r="BQ82" s="82" t="s">
        <v>66</v>
      </c>
      <c r="BR82" s="94"/>
      <c r="BS82" s="84"/>
      <c r="BT82" s="82"/>
      <c r="BU82" s="62"/>
      <c r="BV82" s="62"/>
      <c r="BW82" s="62"/>
      <c r="BX82" s="62" t="s">
        <v>66</v>
      </c>
    </row>
    <row r="83" spans="66:76" ht="15" customHeight="1" x14ac:dyDescent="0.25">
      <c r="BN83" s="79">
        <v>1072</v>
      </c>
      <c r="BO83" s="80" t="s">
        <v>47</v>
      </c>
      <c r="BP83" s="81" t="s">
        <v>66</v>
      </c>
      <c r="BQ83" s="82" t="s">
        <v>66</v>
      </c>
      <c r="BR83" s="94"/>
      <c r="BS83" s="84"/>
      <c r="BT83" s="82"/>
      <c r="BU83" s="62"/>
      <c r="BV83" s="62"/>
      <c r="BW83" s="62"/>
      <c r="BX83" s="62" t="s">
        <v>66</v>
      </c>
    </row>
    <row r="84" spans="66:76" ht="15" customHeight="1" x14ac:dyDescent="0.25">
      <c r="BN84" s="79">
        <v>936</v>
      </c>
      <c r="BO84" s="80" t="s">
        <v>227</v>
      </c>
      <c r="BP84" s="81">
        <v>5</v>
      </c>
      <c r="BQ84" s="82">
        <v>84</v>
      </c>
      <c r="BR84" s="83" t="s">
        <v>24</v>
      </c>
      <c r="BS84" s="84"/>
      <c r="BT84" s="82"/>
      <c r="BU84" s="62">
        <v>1</v>
      </c>
      <c r="BV84" s="62"/>
      <c r="BW84" s="62"/>
      <c r="BX84" s="62">
        <v>1</v>
      </c>
    </row>
    <row r="85" spans="66:76" ht="15" customHeight="1" x14ac:dyDescent="0.25">
      <c r="BN85" s="79">
        <v>932</v>
      </c>
      <c r="BO85" s="80" t="s">
        <v>228</v>
      </c>
      <c r="BP85" s="81">
        <v>5</v>
      </c>
      <c r="BQ85" s="82">
        <v>61</v>
      </c>
      <c r="BR85" s="83" t="s">
        <v>24</v>
      </c>
      <c r="BS85" s="84"/>
      <c r="BT85" s="82"/>
      <c r="BU85" s="62">
        <v>1</v>
      </c>
      <c r="BV85" s="62"/>
      <c r="BW85" s="62"/>
      <c r="BX85" s="62">
        <v>1</v>
      </c>
    </row>
    <row r="86" spans="66:76" ht="15" customHeight="1" x14ac:dyDescent="0.25">
      <c r="BN86" s="79">
        <v>799</v>
      </c>
      <c r="BO86" s="80" t="s">
        <v>229</v>
      </c>
      <c r="BP86" s="81">
        <v>5</v>
      </c>
      <c r="BQ86" s="82">
        <v>61</v>
      </c>
      <c r="BR86" s="83" t="s">
        <v>24</v>
      </c>
      <c r="BS86" s="84"/>
      <c r="BT86" s="82"/>
      <c r="BU86" s="62">
        <v>1</v>
      </c>
      <c r="BV86" s="62"/>
      <c r="BW86" s="62"/>
      <c r="BX86" s="62">
        <v>1</v>
      </c>
    </row>
    <row r="87" spans="66:76" ht="15" customHeight="1" x14ac:dyDescent="0.25">
      <c r="BN87" s="79">
        <v>1067</v>
      </c>
      <c r="BO87" s="80" t="s">
        <v>87</v>
      </c>
      <c r="BP87" s="81" t="s">
        <v>66</v>
      </c>
      <c r="BQ87" s="82" t="s">
        <v>66</v>
      </c>
      <c r="BR87" s="94"/>
      <c r="BS87" s="84"/>
      <c r="BT87" s="82"/>
      <c r="BU87" s="62"/>
      <c r="BV87" s="62"/>
      <c r="BW87" s="62"/>
      <c r="BX87" s="62" t="s">
        <v>66</v>
      </c>
    </row>
    <row r="88" spans="66:76" ht="15" customHeight="1" x14ac:dyDescent="0.25">
      <c r="BN88" s="79">
        <v>1052</v>
      </c>
      <c r="BO88" s="80" t="s">
        <v>230</v>
      </c>
      <c r="BP88" s="81" t="s">
        <v>66</v>
      </c>
      <c r="BQ88" s="82" t="s">
        <v>66</v>
      </c>
      <c r="BR88" s="94"/>
      <c r="BS88" s="84"/>
      <c r="BT88" s="92" t="s">
        <v>24</v>
      </c>
      <c r="BU88" s="62"/>
      <c r="BV88" s="62"/>
      <c r="BW88" s="62" t="s">
        <v>66</v>
      </c>
      <c r="BX88" s="62" t="s">
        <v>66</v>
      </c>
    </row>
    <row r="89" spans="66:76" ht="15" customHeight="1" x14ac:dyDescent="0.25">
      <c r="BN89" s="79">
        <v>920</v>
      </c>
      <c r="BO89" s="80" t="s">
        <v>231</v>
      </c>
      <c r="BP89" s="81" t="s">
        <v>66</v>
      </c>
      <c r="BQ89" s="82" t="s">
        <v>66</v>
      </c>
      <c r="BR89" s="94"/>
      <c r="BS89" s="84"/>
      <c r="BT89" s="92" t="s">
        <v>24</v>
      </c>
      <c r="BU89" s="62"/>
      <c r="BV89" s="62"/>
      <c r="BW89" s="62" t="s">
        <v>66</v>
      </c>
      <c r="BX89" s="62" t="s">
        <v>66</v>
      </c>
    </row>
    <row r="90" spans="66:76" ht="15" customHeight="1" x14ac:dyDescent="0.25">
      <c r="BN90" s="79">
        <v>791</v>
      </c>
      <c r="BO90" s="80" t="s">
        <v>232</v>
      </c>
      <c r="BP90" s="81">
        <v>5</v>
      </c>
      <c r="BQ90" s="82">
        <v>65</v>
      </c>
      <c r="BR90" s="83" t="s">
        <v>24</v>
      </c>
      <c r="BS90" s="84"/>
      <c r="BT90" s="92" t="s">
        <v>24</v>
      </c>
      <c r="BU90" s="62">
        <v>1</v>
      </c>
      <c r="BV90" s="62"/>
      <c r="BW90" s="62">
        <v>1</v>
      </c>
      <c r="BX90" s="62">
        <v>1</v>
      </c>
    </row>
    <row r="91" spans="66:76" ht="15" customHeight="1" x14ac:dyDescent="0.25">
      <c r="BN91" s="79">
        <v>798</v>
      </c>
      <c r="BO91" s="80" t="s">
        <v>233</v>
      </c>
      <c r="BP91" s="81">
        <v>5</v>
      </c>
      <c r="BQ91" s="82">
        <v>63</v>
      </c>
      <c r="BR91" s="83" t="s">
        <v>24</v>
      </c>
      <c r="BS91" s="84"/>
      <c r="BT91" s="92" t="s">
        <v>24</v>
      </c>
      <c r="BU91" s="62">
        <v>1</v>
      </c>
      <c r="BV91" s="62"/>
      <c r="BW91" s="62">
        <v>1</v>
      </c>
      <c r="BX91" s="62">
        <v>1</v>
      </c>
    </row>
    <row r="92" spans="66:76" ht="15" customHeight="1" x14ac:dyDescent="0.25">
      <c r="BN92" s="79">
        <v>906</v>
      </c>
      <c r="BO92" s="80" t="s">
        <v>234</v>
      </c>
      <c r="BP92" s="81">
        <v>6</v>
      </c>
      <c r="BQ92" s="82">
        <v>62</v>
      </c>
      <c r="BR92" s="83" t="s">
        <v>24</v>
      </c>
      <c r="BS92" s="84"/>
      <c r="BT92" s="82"/>
      <c r="BU92" s="62">
        <v>1</v>
      </c>
      <c r="BV92" s="62"/>
      <c r="BW92" s="62"/>
      <c r="BX92" s="62">
        <v>1</v>
      </c>
    </row>
    <row r="93" spans="66:76" ht="15" customHeight="1" thickBot="1" x14ac:dyDescent="0.3">
      <c r="BN93" s="104">
        <v>944</v>
      </c>
      <c r="BO93" s="105" t="s">
        <v>206</v>
      </c>
      <c r="BP93" s="106" t="s">
        <v>66</v>
      </c>
      <c r="BQ93" s="107" t="s">
        <v>66</v>
      </c>
      <c r="BR93" s="142"/>
      <c r="BS93" s="109"/>
      <c r="BT93" s="107"/>
      <c r="BU93" s="62"/>
      <c r="BV93" s="62"/>
      <c r="BW93" s="62"/>
      <c r="BX93" s="62" t="s">
        <v>66</v>
      </c>
    </row>
    <row r="94" spans="66:76" ht="15" customHeight="1" x14ac:dyDescent="0.25">
      <c r="BN94" s="190"/>
      <c r="BO94" s="56" t="s">
        <v>235</v>
      </c>
      <c r="BP94" s="191">
        <v>4</v>
      </c>
      <c r="BQ94" s="58">
        <v>70</v>
      </c>
      <c r="BR94" s="83" t="s">
        <v>24</v>
      </c>
      <c r="BS94" s="117"/>
      <c r="BT94" s="92" t="s">
        <v>24</v>
      </c>
      <c r="BU94" s="62">
        <v>1</v>
      </c>
      <c r="BV94" s="62"/>
      <c r="BW94" s="62">
        <v>1</v>
      </c>
      <c r="BX94" s="62">
        <v>1</v>
      </c>
    </row>
    <row r="95" spans="66:76" ht="15" customHeight="1" x14ac:dyDescent="0.25">
      <c r="BN95" s="131">
        <v>1062</v>
      </c>
      <c r="BO95" s="116" t="s">
        <v>236</v>
      </c>
      <c r="BP95" s="81" t="s">
        <v>66</v>
      </c>
      <c r="BQ95" s="82" t="s">
        <v>66</v>
      </c>
      <c r="BR95" s="94"/>
      <c r="BS95" s="84"/>
      <c r="BT95" s="82"/>
      <c r="BU95" s="62"/>
      <c r="BV95" s="62"/>
      <c r="BW95" s="62"/>
      <c r="BX95" s="62" t="s">
        <v>66</v>
      </c>
    </row>
    <row r="96" spans="66:76" ht="15" customHeight="1" x14ac:dyDescent="0.25">
      <c r="BN96" s="79">
        <v>1054</v>
      </c>
      <c r="BO96" s="80" t="s">
        <v>237</v>
      </c>
      <c r="BP96" s="81" t="s">
        <v>66</v>
      </c>
      <c r="BQ96" s="82" t="s">
        <v>66</v>
      </c>
      <c r="BR96" s="94"/>
      <c r="BS96" s="84"/>
      <c r="BT96" s="82"/>
      <c r="BU96" s="62"/>
      <c r="BV96" s="62"/>
      <c r="BW96" s="62"/>
      <c r="BX96" s="62" t="s">
        <v>66</v>
      </c>
    </row>
    <row r="97" spans="66:76" ht="15" customHeight="1" x14ac:dyDescent="0.25">
      <c r="BN97" s="79">
        <v>1057</v>
      </c>
      <c r="BO97" s="80" t="s">
        <v>238</v>
      </c>
      <c r="BP97" s="81">
        <v>5</v>
      </c>
      <c r="BQ97" s="82">
        <v>76</v>
      </c>
      <c r="BR97" s="94"/>
      <c r="BS97" s="84"/>
      <c r="BT97" s="82"/>
      <c r="BU97" s="62"/>
      <c r="BV97" s="62"/>
      <c r="BW97" s="62"/>
      <c r="BX97" s="62">
        <v>1</v>
      </c>
    </row>
    <row r="98" spans="66:76" ht="15" customHeight="1" x14ac:dyDescent="0.25">
      <c r="BN98" s="79">
        <v>1071</v>
      </c>
      <c r="BO98" s="80" t="s">
        <v>239</v>
      </c>
      <c r="BP98" s="81">
        <v>5</v>
      </c>
      <c r="BQ98" s="82">
        <v>63</v>
      </c>
      <c r="BR98" s="83" t="s">
        <v>24</v>
      </c>
      <c r="BS98" s="84"/>
      <c r="BT98" s="82"/>
      <c r="BU98" s="62">
        <v>1</v>
      </c>
      <c r="BV98" s="62"/>
      <c r="BW98" s="62"/>
      <c r="BX98" s="62">
        <v>1</v>
      </c>
    </row>
    <row r="99" spans="66:76" ht="15" customHeight="1" x14ac:dyDescent="0.25">
      <c r="BN99" s="79">
        <v>1055</v>
      </c>
      <c r="BO99" s="80" t="s">
        <v>68</v>
      </c>
      <c r="BP99" s="81" t="s">
        <v>66</v>
      </c>
      <c r="BQ99" s="82" t="s">
        <v>66</v>
      </c>
      <c r="BR99" s="94"/>
      <c r="BS99" s="84"/>
      <c r="BT99" s="82"/>
      <c r="BU99" s="62"/>
      <c r="BV99" s="62"/>
      <c r="BW99" s="62"/>
      <c r="BX99" s="62" t="s">
        <v>66</v>
      </c>
    </row>
    <row r="100" spans="66:76" ht="15" customHeight="1" x14ac:dyDescent="0.25">
      <c r="BN100" s="79">
        <v>1058</v>
      </c>
      <c r="BO100" s="80" t="s">
        <v>71</v>
      </c>
      <c r="BP100" s="81" t="s">
        <v>66</v>
      </c>
      <c r="BQ100" s="82" t="s">
        <v>66</v>
      </c>
      <c r="BR100" s="94"/>
      <c r="BS100" s="84"/>
      <c r="BT100" s="82"/>
      <c r="BU100" s="62"/>
      <c r="BV100" s="62"/>
      <c r="BW100" s="62"/>
      <c r="BX100" s="62" t="s">
        <v>66</v>
      </c>
    </row>
    <row r="101" spans="66:76" ht="15" customHeight="1" x14ac:dyDescent="0.25">
      <c r="BN101" s="79">
        <v>1070</v>
      </c>
      <c r="BO101" s="80" t="s">
        <v>240</v>
      </c>
      <c r="BP101" s="81" t="s">
        <v>66</v>
      </c>
      <c r="BQ101" s="82" t="s">
        <v>66</v>
      </c>
      <c r="BR101" s="94"/>
      <c r="BS101" s="84"/>
      <c r="BT101" s="82"/>
      <c r="BU101" s="62"/>
      <c r="BV101" s="62"/>
      <c r="BW101" s="62"/>
      <c r="BX101" s="62" t="s">
        <v>66</v>
      </c>
    </row>
    <row r="102" spans="66:76" ht="15" customHeight="1" x14ac:dyDescent="0.25">
      <c r="BN102" s="79">
        <v>1066</v>
      </c>
      <c r="BO102" s="80" t="s">
        <v>241</v>
      </c>
      <c r="BP102" s="81" t="s">
        <v>66</v>
      </c>
      <c r="BQ102" s="82" t="s">
        <v>66</v>
      </c>
      <c r="BR102" s="94"/>
      <c r="BS102" s="84"/>
      <c r="BT102" s="82"/>
      <c r="BU102" s="62"/>
      <c r="BV102" s="62"/>
      <c r="BW102" s="62"/>
      <c r="BX102" s="62" t="s">
        <v>66</v>
      </c>
    </row>
    <row r="103" spans="66:76" ht="15" customHeight="1" x14ac:dyDescent="0.25">
      <c r="BN103" s="79">
        <v>934</v>
      </c>
      <c r="BO103" s="80" t="s">
        <v>88</v>
      </c>
      <c r="BP103" s="81" t="s">
        <v>66</v>
      </c>
      <c r="BQ103" s="82" t="s">
        <v>66</v>
      </c>
      <c r="BR103" s="94"/>
      <c r="BS103" s="84"/>
      <c r="BT103" s="82"/>
      <c r="BU103" s="62"/>
      <c r="BV103" s="62"/>
      <c r="BW103" s="62"/>
      <c r="BX103" s="62" t="s">
        <v>66</v>
      </c>
    </row>
    <row r="104" spans="66:76" ht="15" customHeight="1" x14ac:dyDescent="0.25">
      <c r="BN104" s="79">
        <v>788</v>
      </c>
      <c r="BO104" s="80" t="s">
        <v>97</v>
      </c>
      <c r="BP104" s="81" t="s">
        <v>66</v>
      </c>
      <c r="BQ104" s="82" t="s">
        <v>66</v>
      </c>
      <c r="BR104" s="94"/>
      <c r="BS104" s="84"/>
      <c r="BT104" s="82"/>
      <c r="BU104" s="62"/>
      <c r="BV104" s="62"/>
      <c r="BW104" s="62"/>
      <c r="BX104" s="62" t="s">
        <v>66</v>
      </c>
    </row>
    <row r="105" spans="66:76" ht="15" customHeight="1" x14ac:dyDescent="0.25">
      <c r="BN105" s="79"/>
      <c r="BO105" s="80" t="s">
        <v>242</v>
      </c>
      <c r="BP105" s="81" t="s">
        <v>66</v>
      </c>
      <c r="BQ105" s="82" t="s">
        <v>66</v>
      </c>
      <c r="BR105" s="94"/>
      <c r="BS105" s="84"/>
      <c r="BT105" s="92" t="s">
        <v>24</v>
      </c>
      <c r="BU105" s="62"/>
      <c r="BV105" s="62"/>
      <c r="BW105" s="62" t="s">
        <v>66</v>
      </c>
      <c r="BX105" s="62" t="s">
        <v>66</v>
      </c>
    </row>
    <row r="106" spans="66:76" ht="15" customHeight="1" x14ac:dyDescent="0.25">
      <c r="BN106" s="79">
        <v>911</v>
      </c>
      <c r="BO106" s="80" t="s">
        <v>254</v>
      </c>
      <c r="BP106" s="81">
        <v>6</v>
      </c>
      <c r="BQ106" s="82">
        <v>62</v>
      </c>
      <c r="BR106" s="83" t="s">
        <v>24</v>
      </c>
      <c r="BS106" s="84"/>
      <c r="BT106" s="82"/>
      <c r="BU106" s="62">
        <v>1</v>
      </c>
      <c r="BV106" s="62"/>
      <c r="BW106" s="62"/>
      <c r="BX106" s="62">
        <v>1</v>
      </c>
    </row>
    <row r="107" spans="66:76" ht="15" customHeight="1" x14ac:dyDescent="0.25">
      <c r="BN107" s="79">
        <v>909</v>
      </c>
      <c r="BO107" s="80" t="s">
        <v>243</v>
      </c>
      <c r="BP107" s="81" t="s">
        <v>66</v>
      </c>
      <c r="BQ107" s="82" t="s">
        <v>66</v>
      </c>
      <c r="BR107" s="94"/>
      <c r="BS107" s="141" t="s">
        <v>24</v>
      </c>
      <c r="BT107" s="82"/>
      <c r="BU107" s="62"/>
      <c r="BV107" s="62" t="s">
        <v>66</v>
      </c>
      <c r="BW107" s="62"/>
      <c r="BX107" s="62" t="s">
        <v>66</v>
      </c>
    </row>
    <row r="108" spans="66:76" ht="15" customHeight="1" x14ac:dyDescent="0.25">
      <c r="BN108" s="79">
        <v>912</v>
      </c>
      <c r="BO108" s="80" t="s">
        <v>244</v>
      </c>
      <c r="BP108" s="81">
        <v>6</v>
      </c>
      <c r="BQ108" s="82">
        <v>79</v>
      </c>
      <c r="BR108" s="83" t="s">
        <v>24</v>
      </c>
      <c r="BS108" s="84"/>
      <c r="BT108" s="82"/>
      <c r="BU108" s="62">
        <v>1</v>
      </c>
      <c r="BV108" s="62"/>
      <c r="BW108" s="62"/>
      <c r="BX108" s="62">
        <v>1</v>
      </c>
    </row>
    <row r="109" spans="66:76" ht="15" customHeight="1" thickBot="1" x14ac:dyDescent="0.3">
      <c r="BN109" s="104">
        <v>2570</v>
      </c>
      <c r="BO109" s="105" t="s">
        <v>185</v>
      </c>
      <c r="BP109" s="106" t="s">
        <v>66</v>
      </c>
      <c r="BQ109" s="107" t="s">
        <v>66</v>
      </c>
      <c r="BR109" s="142"/>
      <c r="BS109" s="109"/>
      <c r="BT109" s="107"/>
      <c r="BU109" s="62"/>
      <c r="BV109" s="62"/>
      <c r="BW109" s="62"/>
      <c r="BX109" s="62" t="s">
        <v>66</v>
      </c>
    </row>
    <row r="110" spans="66:76" ht="15" customHeight="1" x14ac:dyDescent="0.25">
      <c r="BN110" s="131">
        <v>1056</v>
      </c>
      <c r="BO110" s="116" t="s">
        <v>245</v>
      </c>
      <c r="BP110" s="81" t="s">
        <v>66</v>
      </c>
      <c r="BQ110" s="82" t="s">
        <v>66</v>
      </c>
      <c r="BR110" s="132"/>
      <c r="BS110" s="117"/>
      <c r="BT110" s="118"/>
      <c r="BU110" s="62"/>
      <c r="BV110" s="62"/>
      <c r="BW110" s="62"/>
      <c r="BX110" s="62" t="s">
        <v>66</v>
      </c>
    </row>
    <row r="111" spans="66:76" ht="15" customHeight="1" x14ac:dyDescent="0.25">
      <c r="BN111" s="79">
        <v>1059</v>
      </c>
      <c r="BO111" s="80" t="s">
        <v>246</v>
      </c>
      <c r="BP111" s="81" t="s">
        <v>66</v>
      </c>
      <c r="BQ111" s="82" t="s">
        <v>66</v>
      </c>
      <c r="BR111" s="94"/>
      <c r="BS111" s="84"/>
      <c r="BT111" s="82"/>
      <c r="BU111" s="62"/>
      <c r="BV111" s="62"/>
      <c r="BW111" s="62"/>
      <c r="BX111" s="62" t="s">
        <v>66</v>
      </c>
    </row>
    <row r="112" spans="66:76" ht="15" customHeight="1" x14ac:dyDescent="0.25">
      <c r="BN112" s="79"/>
      <c r="BO112" s="80" t="s">
        <v>253</v>
      </c>
      <c r="BP112" s="81"/>
      <c r="BQ112" s="82">
        <v>74</v>
      </c>
      <c r="BR112" s="83" t="s">
        <v>24</v>
      </c>
      <c r="BS112" s="84"/>
      <c r="BT112" s="82"/>
      <c r="BU112" s="62">
        <v>1</v>
      </c>
      <c r="BV112" s="62"/>
      <c r="BW112" s="62"/>
      <c r="BX112" s="62">
        <v>1</v>
      </c>
    </row>
    <row r="113" spans="4:76" ht="15" customHeight="1" x14ac:dyDescent="0.25">
      <c r="BN113" s="79">
        <v>1069</v>
      </c>
      <c r="BO113" s="80" t="s">
        <v>247</v>
      </c>
      <c r="BP113" s="81" t="s">
        <v>66</v>
      </c>
      <c r="BQ113" s="82" t="s">
        <v>66</v>
      </c>
      <c r="BR113" s="94"/>
      <c r="BS113" s="84"/>
      <c r="BT113" s="92" t="s">
        <v>24</v>
      </c>
      <c r="BU113" s="62"/>
      <c r="BV113" s="62"/>
      <c r="BW113" s="62" t="s">
        <v>66</v>
      </c>
      <c r="BX113" s="62" t="s">
        <v>66</v>
      </c>
    </row>
    <row r="114" spans="4:76" ht="15" customHeight="1" x14ac:dyDescent="0.25">
      <c r="BN114" s="79">
        <v>933</v>
      </c>
      <c r="BO114" s="80" t="s">
        <v>248</v>
      </c>
      <c r="BP114" s="81" t="s">
        <v>66</v>
      </c>
      <c r="BQ114" s="82" t="s">
        <v>66</v>
      </c>
      <c r="BR114" s="94"/>
      <c r="BS114" s="141" t="s">
        <v>24</v>
      </c>
      <c r="BT114" s="82"/>
      <c r="BU114" s="62"/>
      <c r="BV114" s="62" t="s">
        <v>66</v>
      </c>
      <c r="BW114" s="62"/>
      <c r="BX114" s="62" t="s">
        <v>66</v>
      </c>
    </row>
    <row r="115" spans="4:76" ht="15" customHeight="1" x14ac:dyDescent="0.25">
      <c r="BN115" s="79"/>
      <c r="BO115" s="80" t="s">
        <v>249</v>
      </c>
      <c r="BP115" s="81"/>
      <c r="BQ115" s="82" t="s">
        <v>66</v>
      </c>
      <c r="BR115" s="94"/>
      <c r="BS115" s="141" t="s">
        <v>24</v>
      </c>
      <c r="BT115" s="82"/>
      <c r="BU115" s="62"/>
      <c r="BV115" s="62" t="s">
        <v>66</v>
      </c>
      <c r="BW115" s="62"/>
      <c r="BX115" s="62" t="s">
        <v>66</v>
      </c>
    </row>
    <row r="116" spans="4:76" ht="15" customHeight="1" x14ac:dyDescent="0.25">
      <c r="BN116" s="79"/>
      <c r="BO116" s="80" t="s">
        <v>250</v>
      </c>
      <c r="BP116" s="81"/>
      <c r="BQ116" s="82" t="s">
        <v>66</v>
      </c>
      <c r="BR116" s="94"/>
      <c r="BS116" s="84"/>
      <c r="BT116" s="92" t="s">
        <v>24</v>
      </c>
      <c r="BU116" s="62"/>
      <c r="BV116" s="62"/>
      <c r="BW116" s="62" t="s">
        <v>66</v>
      </c>
      <c r="BX116" s="62" t="s">
        <v>66</v>
      </c>
    </row>
    <row r="117" spans="4:76" ht="15" customHeight="1" x14ac:dyDescent="0.25">
      <c r="BN117" s="79">
        <v>918</v>
      </c>
      <c r="BO117" s="80" t="s">
        <v>251</v>
      </c>
      <c r="BP117" s="81" t="s">
        <v>66</v>
      </c>
      <c r="BQ117" s="82" t="s">
        <v>66</v>
      </c>
      <c r="BR117" s="94"/>
      <c r="BS117" s="84"/>
      <c r="BT117" s="82"/>
      <c r="BU117" s="62"/>
      <c r="BV117" s="62"/>
      <c r="BW117" s="62"/>
      <c r="BX117" s="62" t="s">
        <v>66</v>
      </c>
    </row>
    <row r="118" spans="4:76" ht="15" customHeight="1" thickBot="1" x14ac:dyDescent="0.3">
      <c r="D118" s="62">
        <v>223</v>
      </c>
      <c r="E118" s="62">
        <v>235</v>
      </c>
      <c r="F118" s="192"/>
      <c r="G118" s="192"/>
      <c r="BN118" s="104">
        <v>2586</v>
      </c>
      <c r="BO118" s="105" t="s">
        <v>252</v>
      </c>
      <c r="BP118" s="106"/>
      <c r="BQ118" s="107">
        <v>69</v>
      </c>
      <c r="BR118" s="193" t="s">
        <v>24</v>
      </c>
      <c r="BS118" s="109"/>
      <c r="BT118" s="107"/>
      <c r="BU118" s="62">
        <v>1</v>
      </c>
      <c r="BV118" s="62"/>
      <c r="BW118" s="62"/>
      <c r="BX118" s="62">
        <v>1</v>
      </c>
    </row>
  </sheetData>
  <mergeCells count="463">
    <mergeCell ref="BH76:BJ77"/>
    <mergeCell ref="BK76:BK77"/>
    <mergeCell ref="BL76:BL77"/>
    <mergeCell ref="AI76:AN77"/>
    <mergeCell ref="AP76:AR77"/>
    <mergeCell ref="AS76:AS77"/>
    <mergeCell ref="AT76:AT77"/>
    <mergeCell ref="AU76:AZ77"/>
    <mergeCell ref="BA76:BF77"/>
    <mergeCell ref="BK74:BK75"/>
    <mergeCell ref="BL74:BL75"/>
    <mergeCell ref="D76:D77"/>
    <mergeCell ref="E76:J77"/>
    <mergeCell ref="K76:P77"/>
    <mergeCell ref="R76:T77"/>
    <mergeCell ref="U76:U77"/>
    <mergeCell ref="V76:V77"/>
    <mergeCell ref="W76:AB77"/>
    <mergeCell ref="AC76:AH77"/>
    <mergeCell ref="BH72:BJ73"/>
    <mergeCell ref="BK72:BK73"/>
    <mergeCell ref="BL72:BL73"/>
    <mergeCell ref="W74:AB75"/>
    <mergeCell ref="AD74:AF75"/>
    <mergeCell ref="AG74:AG75"/>
    <mergeCell ref="AH74:AH75"/>
    <mergeCell ref="AI74:AN75"/>
    <mergeCell ref="AO74:AT75"/>
    <mergeCell ref="BH74:BJ75"/>
    <mergeCell ref="AM72:AM73"/>
    <mergeCell ref="AN72:AN73"/>
    <mergeCell ref="AP72:AR73"/>
    <mergeCell ref="AS72:AS73"/>
    <mergeCell ref="AT72:AT73"/>
    <mergeCell ref="AU72:AZ75"/>
    <mergeCell ref="BH70:BJ71"/>
    <mergeCell ref="BK70:BK71"/>
    <mergeCell ref="BL70:BL71"/>
    <mergeCell ref="X72:Z73"/>
    <mergeCell ref="AA72:AA73"/>
    <mergeCell ref="AB72:AB73"/>
    <mergeCell ref="AD72:AF73"/>
    <mergeCell ref="AG72:AG73"/>
    <mergeCell ref="AH72:AH73"/>
    <mergeCell ref="AJ72:AL73"/>
    <mergeCell ref="AS70:AS71"/>
    <mergeCell ref="AT70:AT71"/>
    <mergeCell ref="AV70:AX71"/>
    <mergeCell ref="AY70:AY71"/>
    <mergeCell ref="AZ70:AZ71"/>
    <mergeCell ref="BA70:BF75"/>
    <mergeCell ref="AB70:AB71"/>
    <mergeCell ref="AD70:AF71"/>
    <mergeCell ref="AG70:AG71"/>
    <mergeCell ref="AH70:AH71"/>
    <mergeCell ref="AI70:AN71"/>
    <mergeCell ref="AP70:AR71"/>
    <mergeCell ref="AH66:AH67"/>
    <mergeCell ref="AD68:AF69"/>
    <mergeCell ref="AG68:AG69"/>
    <mergeCell ref="AH68:AH69"/>
    <mergeCell ref="D70:D75"/>
    <mergeCell ref="E70:J75"/>
    <mergeCell ref="K70:P75"/>
    <mergeCell ref="Q70:V75"/>
    <mergeCell ref="X70:Z71"/>
    <mergeCell ref="AA70:AA71"/>
    <mergeCell ref="BA60:BF69"/>
    <mergeCell ref="BG60:BL69"/>
    <mergeCell ref="X62:Z63"/>
    <mergeCell ref="AA62:AA63"/>
    <mergeCell ref="AB62:AB63"/>
    <mergeCell ref="AD62:AF63"/>
    <mergeCell ref="AG62:AG63"/>
    <mergeCell ref="AH62:AH63"/>
    <mergeCell ref="W64:AB69"/>
    <mergeCell ref="AD64:AF65"/>
    <mergeCell ref="AD60:AF61"/>
    <mergeCell ref="AG60:AG61"/>
    <mergeCell ref="AH60:AH61"/>
    <mergeCell ref="AI60:AN69"/>
    <mergeCell ref="AO60:AT69"/>
    <mergeCell ref="AU60:AZ69"/>
    <mergeCell ref="AG64:AG65"/>
    <mergeCell ref="AH64:AH65"/>
    <mergeCell ref="AD66:AF67"/>
    <mergeCell ref="AG66:AG67"/>
    <mergeCell ref="BB58:BD59"/>
    <mergeCell ref="BE58:BE59"/>
    <mergeCell ref="BF58:BF59"/>
    <mergeCell ref="D60:D69"/>
    <mergeCell ref="E60:J69"/>
    <mergeCell ref="K60:P69"/>
    <mergeCell ref="Q60:V69"/>
    <mergeCell ref="X60:Z61"/>
    <mergeCell ref="AA60:AA61"/>
    <mergeCell ref="AB60:AB61"/>
    <mergeCell ref="AM58:AM59"/>
    <mergeCell ref="AN58:AN59"/>
    <mergeCell ref="AP58:AR59"/>
    <mergeCell ref="AS58:AS59"/>
    <mergeCell ref="AT58:AT59"/>
    <mergeCell ref="AU58:AZ59"/>
    <mergeCell ref="AA58:AA59"/>
    <mergeCell ref="AB58:AB59"/>
    <mergeCell ref="AD58:AF59"/>
    <mergeCell ref="AG58:AG59"/>
    <mergeCell ref="AH58:AH59"/>
    <mergeCell ref="AJ58:AL59"/>
    <mergeCell ref="AD56:AF57"/>
    <mergeCell ref="AG56:AG57"/>
    <mergeCell ref="AH56:AH57"/>
    <mergeCell ref="AV56:AX57"/>
    <mergeCell ref="AY56:AY57"/>
    <mergeCell ref="AZ56:AZ57"/>
    <mergeCell ref="P54:P55"/>
    <mergeCell ref="X54:Z55"/>
    <mergeCell ref="AA54:AA55"/>
    <mergeCell ref="AB54:AB55"/>
    <mergeCell ref="E56:J59"/>
    <mergeCell ref="K56:P59"/>
    <mergeCell ref="X56:Z57"/>
    <mergeCell ref="AA56:AA57"/>
    <mergeCell ref="AB56:AB57"/>
    <mergeCell ref="X58:Z59"/>
    <mergeCell ref="X52:Z53"/>
    <mergeCell ref="AA52:AA53"/>
    <mergeCell ref="AB52:AB53"/>
    <mergeCell ref="AC52:AH55"/>
    <mergeCell ref="AI52:AN57"/>
    <mergeCell ref="F54:H55"/>
    <mergeCell ref="I54:I55"/>
    <mergeCell ref="J54:J55"/>
    <mergeCell ref="L54:N55"/>
    <mergeCell ref="O54:O55"/>
    <mergeCell ref="AJ50:AL51"/>
    <mergeCell ref="AM50:AM51"/>
    <mergeCell ref="AN50:AN51"/>
    <mergeCell ref="F52:H53"/>
    <mergeCell ref="I52:I53"/>
    <mergeCell ref="J52:J53"/>
    <mergeCell ref="L52:N53"/>
    <mergeCell ref="O52:O53"/>
    <mergeCell ref="P52:P53"/>
    <mergeCell ref="Q52:V59"/>
    <mergeCell ref="X50:Z51"/>
    <mergeCell ref="AA50:AA51"/>
    <mergeCell ref="AB50:AB51"/>
    <mergeCell ref="AD50:AF51"/>
    <mergeCell ref="AG50:AG51"/>
    <mergeCell ref="AH50:AH51"/>
    <mergeCell ref="AN48:AN49"/>
    <mergeCell ref="F50:H51"/>
    <mergeCell ref="I50:I51"/>
    <mergeCell ref="J50:J51"/>
    <mergeCell ref="L50:N51"/>
    <mergeCell ref="O50:O51"/>
    <mergeCell ref="P50:P51"/>
    <mergeCell ref="R50:T51"/>
    <mergeCell ref="U50:U51"/>
    <mergeCell ref="V50:V51"/>
    <mergeCell ref="AA48:AA49"/>
    <mergeCell ref="AB48:AB49"/>
    <mergeCell ref="AD48:AF49"/>
    <mergeCell ref="AG48:AG49"/>
    <mergeCell ref="AH48:AH49"/>
    <mergeCell ref="AJ48:AL49"/>
    <mergeCell ref="O48:O49"/>
    <mergeCell ref="P48:P49"/>
    <mergeCell ref="R48:T49"/>
    <mergeCell ref="U48:U49"/>
    <mergeCell ref="V48:V49"/>
    <mergeCell ref="X48:Z49"/>
    <mergeCell ref="X46:Z47"/>
    <mergeCell ref="AA46:AA47"/>
    <mergeCell ref="AB46:AB47"/>
    <mergeCell ref="AD46:AF47"/>
    <mergeCell ref="AG46:AG47"/>
    <mergeCell ref="AH46:AH47"/>
    <mergeCell ref="BG44:BL59"/>
    <mergeCell ref="F46:H47"/>
    <mergeCell ref="I46:I47"/>
    <mergeCell ref="J46:J47"/>
    <mergeCell ref="L46:N47"/>
    <mergeCell ref="O46:O47"/>
    <mergeCell ref="P46:P47"/>
    <mergeCell ref="R46:T47"/>
    <mergeCell ref="U46:U47"/>
    <mergeCell ref="V46:V47"/>
    <mergeCell ref="AB44:AB45"/>
    <mergeCell ref="AC44:AH45"/>
    <mergeCell ref="AI44:AN45"/>
    <mergeCell ref="AO44:AT57"/>
    <mergeCell ref="AU44:AZ55"/>
    <mergeCell ref="BA44:BF57"/>
    <mergeCell ref="AJ46:AL47"/>
    <mergeCell ref="AM46:AM47"/>
    <mergeCell ref="AN46:AN47"/>
    <mergeCell ref="AM48:AM49"/>
    <mergeCell ref="P44:P45"/>
    <mergeCell ref="R44:T45"/>
    <mergeCell ref="U44:U45"/>
    <mergeCell ref="V44:V45"/>
    <mergeCell ref="X44:Z45"/>
    <mergeCell ref="AA44:AA45"/>
    <mergeCell ref="D44:D59"/>
    <mergeCell ref="F44:H45"/>
    <mergeCell ref="I44:I45"/>
    <mergeCell ref="J44:J45"/>
    <mergeCell ref="L44:N45"/>
    <mergeCell ref="O44:O45"/>
    <mergeCell ref="F48:H49"/>
    <mergeCell ref="I48:I49"/>
    <mergeCell ref="J48:J49"/>
    <mergeCell ref="L48:N49"/>
    <mergeCell ref="BH38:BJ39"/>
    <mergeCell ref="BK38:BK39"/>
    <mergeCell ref="BL38:BL39"/>
    <mergeCell ref="Q40:V43"/>
    <mergeCell ref="AC40:AH43"/>
    <mergeCell ref="AI40:AN43"/>
    <mergeCell ref="BB40:BD41"/>
    <mergeCell ref="BE40:BE41"/>
    <mergeCell ref="BF40:BF41"/>
    <mergeCell ref="BG40:BL43"/>
    <mergeCell ref="AN38:AN39"/>
    <mergeCell ref="AO38:AT43"/>
    <mergeCell ref="AU38:AZ43"/>
    <mergeCell ref="BB38:BD39"/>
    <mergeCell ref="BE38:BE39"/>
    <mergeCell ref="BF38:BF39"/>
    <mergeCell ref="BB42:BD43"/>
    <mergeCell ref="BE42:BE43"/>
    <mergeCell ref="BF42:BF43"/>
    <mergeCell ref="W38:AB43"/>
    <mergeCell ref="AD38:AF39"/>
    <mergeCell ref="AG38:AG39"/>
    <mergeCell ref="AH38:AH39"/>
    <mergeCell ref="AJ38:AL39"/>
    <mergeCell ref="AM38:AM39"/>
    <mergeCell ref="AO36:AT37"/>
    <mergeCell ref="AV36:AX37"/>
    <mergeCell ref="AY36:AY37"/>
    <mergeCell ref="AZ36:AZ37"/>
    <mergeCell ref="D38:D43"/>
    <mergeCell ref="E38:J43"/>
    <mergeCell ref="K38:P43"/>
    <mergeCell ref="R38:T39"/>
    <mergeCell ref="U38:U39"/>
    <mergeCell ref="V38:V39"/>
    <mergeCell ref="BF32:BF33"/>
    <mergeCell ref="BG32:BL37"/>
    <mergeCell ref="AC34:AH37"/>
    <mergeCell ref="AP34:AR35"/>
    <mergeCell ref="AS34:AS35"/>
    <mergeCell ref="AT34:AT35"/>
    <mergeCell ref="AV34:AX35"/>
    <mergeCell ref="AY34:AY35"/>
    <mergeCell ref="AZ34:AZ35"/>
    <mergeCell ref="BA34:BF37"/>
    <mergeCell ref="AT32:AT33"/>
    <mergeCell ref="AV32:AX33"/>
    <mergeCell ref="AY32:AY33"/>
    <mergeCell ref="AZ32:AZ33"/>
    <mergeCell ref="BB32:BD33"/>
    <mergeCell ref="BE32:BE33"/>
    <mergeCell ref="BH30:BJ31"/>
    <mergeCell ref="BK30:BK31"/>
    <mergeCell ref="BL30:BL31"/>
    <mergeCell ref="A32:B33"/>
    <mergeCell ref="AD32:AF33"/>
    <mergeCell ref="AG32:AG33"/>
    <mergeCell ref="AH32:AH33"/>
    <mergeCell ref="AI32:AN37"/>
    <mergeCell ref="AP32:AR33"/>
    <mergeCell ref="AS32:AS33"/>
    <mergeCell ref="AV30:AX31"/>
    <mergeCell ref="AY30:AY31"/>
    <mergeCell ref="AZ30:AZ31"/>
    <mergeCell ref="BB30:BD31"/>
    <mergeCell ref="BE30:BE31"/>
    <mergeCell ref="BF30:BF31"/>
    <mergeCell ref="AJ30:AL31"/>
    <mergeCell ref="AM30:AM31"/>
    <mergeCell ref="AN30:AN31"/>
    <mergeCell ref="AP30:AR31"/>
    <mergeCell ref="AS30:AS31"/>
    <mergeCell ref="AT30:AT31"/>
    <mergeCell ref="BF28:BF29"/>
    <mergeCell ref="A29:B31"/>
    <mergeCell ref="D30:D37"/>
    <mergeCell ref="E30:J37"/>
    <mergeCell ref="K30:P37"/>
    <mergeCell ref="Q30:V37"/>
    <mergeCell ref="W30:AB37"/>
    <mergeCell ref="AD30:AF31"/>
    <mergeCell ref="AG30:AG31"/>
    <mergeCell ref="AH30:AH31"/>
    <mergeCell ref="BF26:BF27"/>
    <mergeCell ref="BG26:BL29"/>
    <mergeCell ref="A27:B28"/>
    <mergeCell ref="AC28:AH29"/>
    <mergeCell ref="AJ28:AL29"/>
    <mergeCell ref="AM28:AM29"/>
    <mergeCell ref="AN28:AN29"/>
    <mergeCell ref="AV28:AX29"/>
    <mergeCell ref="AY28:AY29"/>
    <mergeCell ref="AZ28:AZ29"/>
    <mergeCell ref="AO26:AT29"/>
    <mergeCell ref="AV26:AX27"/>
    <mergeCell ref="AY26:AY27"/>
    <mergeCell ref="AZ26:AZ27"/>
    <mergeCell ref="BB26:BD27"/>
    <mergeCell ref="BE26:BE27"/>
    <mergeCell ref="BB28:BD29"/>
    <mergeCell ref="BE28:BE29"/>
    <mergeCell ref="AD26:AF27"/>
    <mergeCell ref="AG26:AG27"/>
    <mergeCell ref="AH26:AH27"/>
    <mergeCell ref="AJ26:AL27"/>
    <mergeCell ref="AM26:AM27"/>
    <mergeCell ref="AN26:AN27"/>
    <mergeCell ref="BF22:BF23"/>
    <mergeCell ref="A23:B26"/>
    <mergeCell ref="BB24:BD25"/>
    <mergeCell ref="BE24:BE25"/>
    <mergeCell ref="BF24:BF25"/>
    <mergeCell ref="D26:D29"/>
    <mergeCell ref="E26:J29"/>
    <mergeCell ref="K26:P29"/>
    <mergeCell ref="Q26:V29"/>
    <mergeCell ref="W26:AB29"/>
    <mergeCell ref="BH18:BJ19"/>
    <mergeCell ref="BK18:BK19"/>
    <mergeCell ref="BL18:BL19"/>
    <mergeCell ref="AU20:AZ25"/>
    <mergeCell ref="BB20:BD21"/>
    <mergeCell ref="BE20:BE21"/>
    <mergeCell ref="BF20:BF21"/>
    <mergeCell ref="BG20:BL25"/>
    <mergeCell ref="BB22:BD23"/>
    <mergeCell ref="BE22:BE23"/>
    <mergeCell ref="BK16:BK17"/>
    <mergeCell ref="BL16:BL17"/>
    <mergeCell ref="A17:B20"/>
    <mergeCell ref="AO18:AT25"/>
    <mergeCell ref="AV18:AX19"/>
    <mergeCell ref="AY18:AY19"/>
    <mergeCell ref="AZ18:AZ19"/>
    <mergeCell ref="BB18:BD19"/>
    <mergeCell ref="BE18:BE19"/>
    <mergeCell ref="BF18:BF19"/>
    <mergeCell ref="AY16:AY17"/>
    <mergeCell ref="AZ16:AZ17"/>
    <mergeCell ref="BB16:BD17"/>
    <mergeCell ref="BE16:BE17"/>
    <mergeCell ref="BF16:BF17"/>
    <mergeCell ref="BH16:BJ17"/>
    <mergeCell ref="BF14:BF15"/>
    <mergeCell ref="BH14:BJ15"/>
    <mergeCell ref="BK14:BK15"/>
    <mergeCell ref="BL14:BL15"/>
    <mergeCell ref="A15:B16"/>
    <mergeCell ref="AC16:AH25"/>
    <mergeCell ref="AP16:AR17"/>
    <mergeCell ref="AS16:AS17"/>
    <mergeCell ref="AT16:AT17"/>
    <mergeCell ref="AV16:AX17"/>
    <mergeCell ref="AT14:AT15"/>
    <mergeCell ref="AV14:AX15"/>
    <mergeCell ref="AY14:AY15"/>
    <mergeCell ref="AZ14:AZ15"/>
    <mergeCell ref="BB14:BD15"/>
    <mergeCell ref="BE14:BE15"/>
    <mergeCell ref="BB12:BD13"/>
    <mergeCell ref="BE12:BE13"/>
    <mergeCell ref="BF12:BF13"/>
    <mergeCell ref="BG12:BL13"/>
    <mergeCell ref="AD14:AF15"/>
    <mergeCell ref="AG14:AG15"/>
    <mergeCell ref="AH14:AH15"/>
    <mergeCell ref="AI14:AN25"/>
    <mergeCell ref="AP14:AR15"/>
    <mergeCell ref="AS14:AS15"/>
    <mergeCell ref="AP12:AR13"/>
    <mergeCell ref="AS12:AS13"/>
    <mergeCell ref="AT12:AT13"/>
    <mergeCell ref="AV12:AX13"/>
    <mergeCell ref="AY12:AY13"/>
    <mergeCell ref="AZ12:AZ13"/>
    <mergeCell ref="AD12:AF13"/>
    <mergeCell ref="AG12:AG13"/>
    <mergeCell ref="AH12:AH13"/>
    <mergeCell ref="AJ12:AL13"/>
    <mergeCell ref="AM12:AM13"/>
    <mergeCell ref="AN12:AN13"/>
    <mergeCell ref="A12:B14"/>
    <mergeCell ref="D12:D25"/>
    <mergeCell ref="E12:J25"/>
    <mergeCell ref="K12:P25"/>
    <mergeCell ref="Q12:V25"/>
    <mergeCell ref="W12:AB25"/>
    <mergeCell ref="A21:B22"/>
    <mergeCell ref="AZ8:AZ9"/>
    <mergeCell ref="BA8:BF11"/>
    <mergeCell ref="A10:B11"/>
    <mergeCell ref="AV10:AX11"/>
    <mergeCell ref="AY10:AY11"/>
    <mergeCell ref="AZ10:AZ11"/>
    <mergeCell ref="BE6:BE7"/>
    <mergeCell ref="BF6:BF7"/>
    <mergeCell ref="BG6:BL11"/>
    <mergeCell ref="A8:B9"/>
    <mergeCell ref="W8:AB11"/>
    <mergeCell ref="AC8:AH11"/>
    <mergeCell ref="AI8:AN11"/>
    <mergeCell ref="AO8:AT11"/>
    <mergeCell ref="AV8:AX9"/>
    <mergeCell ref="AY8:AY9"/>
    <mergeCell ref="AS6:AS7"/>
    <mergeCell ref="AT6:AT7"/>
    <mergeCell ref="AV6:AX7"/>
    <mergeCell ref="AY6:AY7"/>
    <mergeCell ref="AZ6:AZ7"/>
    <mergeCell ref="BB6:BD7"/>
    <mergeCell ref="AG6:AG7"/>
    <mergeCell ref="AH6:AH7"/>
    <mergeCell ref="AJ6:AL7"/>
    <mergeCell ref="AM6:AM7"/>
    <mergeCell ref="AN6:AN7"/>
    <mergeCell ref="AP6:AR7"/>
    <mergeCell ref="BT4:BT5"/>
    <mergeCell ref="A6:B7"/>
    <mergeCell ref="D6:D11"/>
    <mergeCell ref="E6:J11"/>
    <mergeCell ref="K6:P11"/>
    <mergeCell ref="Q6:V11"/>
    <mergeCell ref="X6:Z7"/>
    <mergeCell ref="AA6:AA7"/>
    <mergeCell ref="AB6:AB7"/>
    <mergeCell ref="AD6:AF7"/>
    <mergeCell ref="BN4:BN5"/>
    <mergeCell ref="BO4:BO5"/>
    <mergeCell ref="BP4:BP5"/>
    <mergeCell ref="BQ4:BQ5"/>
    <mergeCell ref="BR4:BR5"/>
    <mergeCell ref="BS4:BS5"/>
    <mergeCell ref="AC4:AH5"/>
    <mergeCell ref="AI4:AN5"/>
    <mergeCell ref="AO4:AT5"/>
    <mergeCell ref="AU4:AZ5"/>
    <mergeCell ref="BA4:BF5"/>
    <mergeCell ref="BG4:BL5"/>
    <mergeCell ref="E1:K2"/>
    <mergeCell ref="L1:AV2"/>
    <mergeCell ref="A2:B3"/>
    <mergeCell ref="BN2:BQ3"/>
    <mergeCell ref="BR2:BT3"/>
    <mergeCell ref="A4:B5"/>
    <mergeCell ref="E4:J5"/>
    <mergeCell ref="K4:P5"/>
    <mergeCell ref="Q4:V5"/>
    <mergeCell ref="W4:AB5"/>
  </mergeCells>
  <conditionalFormatting sqref="A10:B11">
    <cfRule type="cellIs" dxfId="465" priority="120" operator="greaterThan">
      <formula>250</formula>
    </cfRule>
    <cfRule type="cellIs" dxfId="466" priority="121" operator="equal">
      <formula>250</formula>
    </cfRule>
  </conditionalFormatting>
  <conditionalFormatting sqref="A15:B16">
    <cfRule type="cellIs" dxfId="464" priority="123" operator="equal">
      <formula>49</formula>
    </cfRule>
  </conditionalFormatting>
  <conditionalFormatting sqref="A32:B33">
    <cfRule type="cellIs" dxfId="463" priority="122" operator="equal">
      <formula>49</formula>
    </cfRule>
  </conditionalFormatting>
  <conditionalFormatting sqref="J44:J55">
    <cfRule type="cellIs" dxfId="462" priority="115" operator="between">
      <formula>61</formula>
      <formula>100</formula>
    </cfRule>
    <cfRule type="cellIs" dxfId="460" priority="116" operator="between">
      <formula>61</formula>
      <formula>100</formula>
    </cfRule>
    <cfRule type="cellIs" dxfId="461" priority="117" operator="between">
      <formula>61</formula>
      <formula>100</formula>
    </cfRule>
  </conditionalFormatting>
  <conditionalFormatting sqref="L44:N45">
    <cfRule type="cellIs" dxfId="459" priority="467" operator="equal">
      <formula>"Social Humanistica 2 ★"</formula>
    </cfRule>
  </conditionalFormatting>
  <conditionalFormatting sqref="L44:N55">
    <cfRule type="cellIs" dxfId="458" priority="466" operator="equal">
      <formula>"Matemática Básica 2 ★"</formula>
    </cfRule>
  </conditionalFormatting>
  <conditionalFormatting sqref="L48:N49">
    <cfRule type="cellIs" dxfId="457" priority="465" operator="equal">
      <formula>"Física Básica ★"</formula>
    </cfRule>
  </conditionalFormatting>
  <conditionalFormatting sqref="L52:N53">
    <cfRule type="cellIs" dxfId="456" priority="464" operator="equal">
      <formula>"Deportes 2"</formula>
    </cfRule>
  </conditionalFormatting>
  <conditionalFormatting sqref="L54:N55">
    <cfRule type="cellIs" dxfId="455" priority="463" operator="equal">
      <formula>"Técnica     ★ Complementaria 2"</formula>
    </cfRule>
  </conditionalFormatting>
  <conditionalFormatting sqref="P44:P55">
    <cfRule type="cellIs" dxfId="452" priority="112" operator="between">
      <formula>61</formula>
      <formula>100</formula>
    </cfRule>
    <cfRule type="cellIs" dxfId="453" priority="113" operator="between">
      <formula>61</formula>
      <formula>100</formula>
    </cfRule>
    <cfRule type="cellIs" dxfId="454" priority="114" operator="between">
      <formula>61</formula>
      <formula>100</formula>
    </cfRule>
  </conditionalFormatting>
  <conditionalFormatting sqref="R38:T39">
    <cfRule type="cellIs" dxfId="451" priority="452" operator="equal">
      <formula>"Geografía"</formula>
    </cfRule>
    <cfRule type="cellIs" dxfId="450" priority="453" operator="equal">
      <formula>"Matemática Básica 2 ★"</formula>
    </cfRule>
  </conditionalFormatting>
  <conditionalFormatting sqref="R44:T45">
    <cfRule type="cellIs" dxfId="448" priority="461" operator="equal">
      <formula>"Lógica"</formula>
    </cfRule>
    <cfRule type="cellIs" dxfId="449" priority="462" operator="equal">
      <formula>"Social Humanistica 2 ★"</formula>
    </cfRule>
  </conditionalFormatting>
  <conditionalFormatting sqref="R44:T51">
    <cfRule type="cellIs" dxfId="447" priority="460" operator="equal">
      <formula>"Matemática Básica 2 ★"</formula>
    </cfRule>
  </conditionalFormatting>
  <conditionalFormatting sqref="R46:T51">
    <cfRule type="cellIs" dxfId="446" priority="459" operator="equal">
      <formula>"Matemática Intermedia 1 ★"</formula>
    </cfRule>
  </conditionalFormatting>
  <conditionalFormatting sqref="R48:T51">
    <cfRule type="cellIs" dxfId="445" priority="458" operator="equal">
      <formula>"Física 1 ★"</formula>
    </cfRule>
  </conditionalFormatting>
  <conditionalFormatting sqref="R50:T51">
    <cfRule type="cellIs" dxfId="444" priority="457" operator="equal">
      <formula>"Química 2 ☻"</formula>
    </cfRule>
  </conditionalFormatting>
  <conditionalFormatting sqref="R76:T77">
    <cfRule type="cellIs" dxfId="441" priority="454" operator="equal">
      <formula>"Práctica Inicial ★"</formula>
    </cfRule>
    <cfRule type="cellIs" dxfId="442" priority="455" operator="equal">
      <formula>"Matemática Intermedia 1 ★"</formula>
    </cfRule>
    <cfRule type="cellIs" dxfId="443" priority="456" operator="equal">
      <formula>"Matemática Básica 2 ★"</formula>
    </cfRule>
  </conditionalFormatting>
  <conditionalFormatting sqref="V38:V39">
    <cfRule type="cellIs" dxfId="438" priority="106" operator="between">
      <formula>61</formula>
      <formula>100</formula>
    </cfRule>
    <cfRule type="cellIs" dxfId="439" priority="107" operator="between">
      <formula>61</formula>
      <formula>100</formula>
    </cfRule>
    <cfRule type="cellIs" dxfId="440" priority="108" operator="between">
      <formula>61</formula>
      <formula>100</formula>
    </cfRule>
  </conditionalFormatting>
  <conditionalFormatting sqref="V44:V51">
    <cfRule type="cellIs" dxfId="437" priority="109" operator="between">
      <formula>61</formula>
      <formula>100</formula>
    </cfRule>
    <cfRule type="cellIs" dxfId="435" priority="110" operator="between">
      <formula>61</formula>
      <formula>100</formula>
    </cfRule>
    <cfRule type="cellIs" dxfId="436" priority="111" operator="between">
      <formula>61</formula>
      <formula>100</formula>
    </cfRule>
  </conditionalFormatting>
  <conditionalFormatting sqref="V76:V77">
    <cfRule type="cellIs" dxfId="432" priority="94" operator="between">
      <formula>61</formula>
      <formula>100</formula>
    </cfRule>
    <cfRule type="cellIs" dxfId="433" priority="95" operator="between">
      <formula>61</formula>
      <formula>100</formula>
    </cfRule>
    <cfRule type="cellIs" dxfId="434" priority="96" operator="between">
      <formula>61</formula>
      <formula>100</formula>
    </cfRule>
  </conditionalFormatting>
  <conditionalFormatting sqref="X6:Z7">
    <cfRule type="cellIs" dxfId="429" priority="449" operator="equal">
      <formula>"Topografía 1 ★"</formula>
    </cfRule>
    <cfRule type="cellIs" dxfId="430" priority="450" operator="equal">
      <formula>"Geografía"</formula>
    </cfRule>
    <cfRule type="cellIs" dxfId="431" priority="451" operator="equal">
      <formula>"Matemática Básica 2 ★"</formula>
    </cfRule>
  </conditionalFormatting>
  <conditionalFormatting sqref="X44:Z45">
    <cfRule type="cellIs" dxfId="427" priority="447" operator="equal">
      <formula>"Ecología ★"</formula>
    </cfRule>
    <cfRule type="cellIs" dxfId="428" priority="448" operator="equal">
      <formula>"Geografía"</formula>
    </cfRule>
  </conditionalFormatting>
  <conditionalFormatting sqref="X44:Z63">
    <cfRule type="cellIs" dxfId="426" priority="428" operator="equal">
      <formula>"Matemática Básica 2 ★"</formula>
    </cfRule>
  </conditionalFormatting>
  <conditionalFormatting sqref="X46:Z47">
    <cfRule type="cellIs" dxfId="425" priority="445" operator="equal">
      <formula>"Matemática Intermedia 2 ★"</formula>
    </cfRule>
  </conditionalFormatting>
  <conditionalFormatting sqref="X46:Z55">
    <cfRule type="cellIs" dxfId="424" priority="442" operator="equal">
      <formula>"Matemática Intermedia 1 ★"</formula>
    </cfRule>
  </conditionalFormatting>
  <conditionalFormatting sqref="X48:Z49">
    <cfRule type="cellIs" dxfId="423" priority="444" operator="equal">
      <formula>"Matemática Intermedia 3 ★"</formula>
    </cfRule>
  </conditionalFormatting>
  <conditionalFormatting sqref="X50:Z51">
    <cfRule type="cellIs" dxfId="422" priority="443" operator="equal">
      <formula>"Física 2 ★"</formula>
    </cfRule>
  </conditionalFormatting>
  <conditionalFormatting sqref="X50:Z55">
    <cfRule type="cellIs" dxfId="421" priority="441" operator="equal">
      <formula>"Física 1 ★"</formula>
    </cfRule>
  </conditionalFormatting>
  <conditionalFormatting sqref="X52:Z53">
    <cfRule type="cellIs" dxfId="420" priority="446" operator="equal">
      <formula>"Introducción a la Ingeniería Petrolera"</formula>
    </cfRule>
  </conditionalFormatting>
  <conditionalFormatting sqref="X54:Z55">
    <cfRule type="cellIs" dxfId="418" priority="439" operator="equal">
      <formula>"Mecánica Analítica 1 ★"</formula>
    </cfRule>
    <cfRule type="cellIs" dxfId="419" priority="440" operator="equal">
      <formula>"Física 2 ★"</formula>
    </cfRule>
  </conditionalFormatting>
  <conditionalFormatting sqref="X56:Z57">
    <cfRule type="cellIs" dxfId="415" priority="436" operator="equal">
      <formula>"Legislación 1 ★"</formula>
    </cfRule>
    <cfRule type="cellIs" dxfId="416" priority="437" operator="equal">
      <formula>"Ecología ★"</formula>
    </cfRule>
    <cfRule type="cellIs" dxfId="417" priority="438" operator="equal">
      <formula>"Geografía"</formula>
    </cfRule>
  </conditionalFormatting>
  <conditionalFormatting sqref="X58:Z59">
    <cfRule type="cellIs" dxfId="410" priority="431" operator="equal">
      <formula>"Estadística 1 ★"</formula>
    </cfRule>
    <cfRule type="cellIs" dxfId="414" priority="432" operator="equal">
      <formula>"Mecánica Analítica 1 ★"</formula>
    </cfRule>
    <cfRule type="cellIs" dxfId="413" priority="433" operator="equal">
      <formula>"Física 2 ★"</formula>
    </cfRule>
    <cfRule type="cellIs" dxfId="411" priority="434" operator="equal">
      <formula>"Física 1 ★"</formula>
    </cfRule>
    <cfRule type="cellIs" dxfId="412" priority="435" operator="equal">
      <formula>"Matemática Intermedia 1 ★"</formula>
    </cfRule>
  </conditionalFormatting>
  <conditionalFormatting sqref="X60:Z61">
    <cfRule type="cellIs" dxfId="408" priority="429" operator="equal">
      <formula>"Geología"</formula>
    </cfRule>
    <cfRule type="cellIs" dxfId="409" priority="430" operator="equal">
      <formula>"Geografía"</formula>
    </cfRule>
  </conditionalFormatting>
  <conditionalFormatting sqref="X62:Z63">
    <cfRule type="cellIs" dxfId="406" priority="425" operator="equal">
      <formula>"Introducción a Proyectos Gerenciales"</formula>
    </cfRule>
    <cfRule type="cellIs" dxfId="405" priority="426" operator="equal">
      <formula>"Matemática Intermedia 2 ★"</formula>
    </cfRule>
    <cfRule type="cellIs" dxfId="407" priority="427" operator="equal">
      <formula>"Matemática Intermedia 1 ★"</formula>
    </cfRule>
  </conditionalFormatting>
  <conditionalFormatting sqref="X70:Z71">
    <cfRule type="cellIs" dxfId="404" priority="126" operator="equal">
      <formula>"Contabilidad 1 ☾"</formula>
    </cfRule>
  </conditionalFormatting>
  <conditionalFormatting sqref="X70:Z73">
    <cfRule type="cellIs" dxfId="403" priority="421" operator="equal">
      <formula>"Legislación 1 ★"</formula>
    </cfRule>
    <cfRule type="cellIs" dxfId="400" priority="422" operator="equal">
      <formula>"Ecología ★"</formula>
    </cfRule>
    <cfRule type="cellIs" dxfId="401" priority="423" operator="equal">
      <formula>"Geografía"</formula>
    </cfRule>
    <cfRule type="cellIs" dxfId="402" priority="424" operator="equal">
      <formula>"Matemática Básica 2 ★"</formula>
    </cfRule>
  </conditionalFormatting>
  <conditionalFormatting sqref="X72:Z73">
    <cfRule type="cellIs" dxfId="399" priority="127" operator="equal">
      <formula>"Psicología Industrial ☾"</formula>
    </cfRule>
  </conditionalFormatting>
  <conditionalFormatting sqref="AB6:AB7">
    <cfRule type="cellIs" dxfId="397" priority="103" operator="between">
      <formula>61</formula>
      <formula>100</formula>
    </cfRule>
    <cfRule type="cellIs" dxfId="396" priority="104" operator="between">
      <formula>61</formula>
      <formula>100</formula>
    </cfRule>
    <cfRule type="cellIs" dxfId="398" priority="105" operator="between">
      <formula>61</formula>
      <formula>100</formula>
    </cfRule>
  </conditionalFormatting>
  <conditionalFormatting sqref="AB44:AB63">
    <cfRule type="cellIs" dxfId="393" priority="97" operator="between">
      <formula>61</formula>
      <formula>100</formula>
    </cfRule>
    <cfRule type="cellIs" dxfId="394" priority="98" operator="between">
      <formula>61</formula>
      <formula>100</formula>
    </cfRule>
    <cfRule type="cellIs" dxfId="395" priority="99" operator="between">
      <formula>61</formula>
      <formula>100</formula>
    </cfRule>
  </conditionalFormatting>
  <conditionalFormatting sqref="AB70:AB73">
    <cfRule type="cellIs" dxfId="392" priority="91" operator="between">
      <formula>61</formula>
      <formula>100</formula>
    </cfRule>
    <cfRule type="cellIs" dxfId="391" priority="92" operator="between">
      <formula>61</formula>
      <formula>100</formula>
    </cfRule>
    <cfRule type="cellIs" dxfId="390" priority="93" operator="between">
      <formula>61</formula>
      <formula>100</formula>
    </cfRule>
  </conditionalFormatting>
  <conditionalFormatting sqref="AD6:AF7">
    <cfRule type="cellIs" dxfId="389" priority="419" operator="equal">
      <formula>"Topografía 2 ★"</formula>
    </cfRule>
    <cfRule type="cellIs" dxfId="388" priority="420" operator="equal">
      <formula>"Matemática Básica 2 ★"</formula>
    </cfRule>
  </conditionalFormatting>
  <conditionalFormatting sqref="AD12:AF13">
    <cfRule type="cellIs" dxfId="387" priority="416" operator="equal">
      <formula>"Resistencia de Materiales 1 ★"</formula>
    </cfRule>
  </conditionalFormatting>
  <conditionalFormatting sqref="AD12:AF15">
    <cfRule type="cellIs" dxfId="386" priority="417" operator="equal">
      <formula>"Topografía 2 ★"</formula>
    </cfRule>
    <cfRule type="cellIs" dxfId="385" priority="418" operator="equal">
      <formula>"Matemática Básica 2 ★"</formula>
    </cfRule>
  </conditionalFormatting>
  <conditionalFormatting sqref="AD14:AF15">
    <cfRule type="cellIs" dxfId="384" priority="415" operator="equal">
      <formula>"Principios de Metrología"</formula>
    </cfRule>
  </conditionalFormatting>
  <conditionalFormatting sqref="AD26:AF27">
    <cfRule type="cellIs" dxfId="382" priority="411" operator="equal">
      <formula>"Ciencias de los Materiales"</formula>
    </cfRule>
    <cfRule type="cellIs" dxfId="381" priority="412" operator="equal">
      <formula>"Principios de Metrología"</formula>
    </cfRule>
    <cfRule type="cellIs" dxfId="380" priority="413" operator="equal">
      <formula>"Topografía 2 ★"</formula>
    </cfRule>
    <cfRule type="cellIs" dxfId="383" priority="414" operator="equal">
      <formula>"Matemática Básica 2 ★"</formula>
    </cfRule>
  </conditionalFormatting>
  <conditionalFormatting sqref="AD30:AF31">
    <cfRule type="cellIs" dxfId="379" priority="409" operator="equal">
      <formula>"Mecánica de Fluidos ★ ☻"</formula>
    </cfRule>
    <cfRule type="cellIs" dxfId="378" priority="410" operator="equal">
      <formula>"Resistencia de Materiales 1 ★"</formula>
    </cfRule>
  </conditionalFormatting>
  <conditionalFormatting sqref="AD30:AF33">
    <cfRule type="cellIs" dxfId="376" priority="407" operator="equal">
      <formula>"Topografía 2 ★"</formula>
    </cfRule>
    <cfRule type="cellIs" dxfId="377" priority="408" operator="equal">
      <formula>"Matemática Básica 2 ★"</formula>
    </cfRule>
  </conditionalFormatting>
  <conditionalFormatting sqref="AD32:AF33">
    <cfRule type="cellIs" dxfId="373" priority="404" operator="equal">
      <formula>"Gestión de Desastres"</formula>
    </cfRule>
    <cfRule type="cellIs" dxfId="374" priority="405" operator="equal">
      <formula>"Ciencias de los Materiales"</formula>
    </cfRule>
    <cfRule type="cellIs" dxfId="375" priority="406" operator="equal">
      <formula>"Principios de Metrología"</formula>
    </cfRule>
  </conditionalFormatting>
  <conditionalFormatting sqref="AD38:AF39">
    <cfRule type="cellIs" dxfId="372" priority="399" operator="equal">
      <formula>"Ingeniería Económica 1 ☾"</formula>
    </cfRule>
    <cfRule type="cellIs" dxfId="368" priority="400" operator="equal">
      <formula>"Mecánica de Fluidos ★ ☻"</formula>
    </cfRule>
    <cfRule type="cellIs" dxfId="371" priority="401" operator="equal">
      <formula>"Resistencia de Materiales 1 ★"</formula>
    </cfRule>
    <cfRule type="cellIs" dxfId="370" priority="402" operator="equal">
      <formula>"Topografía 2 ★"</formula>
    </cfRule>
    <cfRule type="cellIs" dxfId="369" priority="403" operator="equal">
      <formula>"Matemática Básica 2 ★"</formula>
    </cfRule>
  </conditionalFormatting>
  <conditionalFormatting sqref="AD46:AF47">
    <cfRule type="cellIs" dxfId="367" priority="398" operator="equal">
      <formula>"Matemática Aplicada 3"</formula>
    </cfRule>
  </conditionalFormatting>
  <conditionalFormatting sqref="AD46:AF51">
    <cfRule type="cellIs" dxfId="363" priority="393" operator="equal">
      <formula>"Ingeniería Económica 1 ☾"</formula>
    </cfRule>
    <cfRule type="cellIs" dxfId="364" priority="394" operator="equal">
      <formula>"Mecánica de Fluidos ★ ☻"</formula>
    </cfRule>
    <cfRule type="cellIs" dxfId="365" priority="395" operator="equal">
      <formula>"Resistencia de Materiales 1 ★"</formula>
    </cfRule>
    <cfRule type="cellIs" dxfId="366" priority="396" operator="equal">
      <formula>"Topografía 2 ★"</formula>
    </cfRule>
    <cfRule type="cellIs" dxfId="362" priority="397" operator="equal">
      <formula>"Matemática Básica 2 ★"</formula>
    </cfRule>
  </conditionalFormatting>
  <conditionalFormatting sqref="AD48:AF51">
    <cfRule type="cellIs" dxfId="361" priority="391" operator="equal">
      <formula>"Matemática Aplicada 1 ★"</formula>
    </cfRule>
    <cfRule type="cellIs" dxfId="360" priority="392" operator="equal">
      <formula>"Matemática Aplicada 1 ★"</formula>
    </cfRule>
  </conditionalFormatting>
  <conditionalFormatting sqref="AD50:AF51">
    <cfRule type="cellIs" dxfId="358" priority="128" operator="equal">
      <formula>"Programación de Computadoras 1 ★"</formula>
    </cfRule>
    <cfRule type="cellIs" dxfId="359" priority="390" operator="equal">
      <formula>"Programación de Computadoras ★"</formula>
    </cfRule>
  </conditionalFormatting>
  <conditionalFormatting sqref="AD56:AF57">
    <cfRule type="cellIs" dxfId="357" priority="388" operator="equal">
      <formula>"Legislación 2"</formula>
    </cfRule>
  </conditionalFormatting>
  <conditionalFormatting sqref="AD56:AF75">
    <cfRule type="cellIs" dxfId="355" priority="375" operator="equal">
      <formula>"Matemática Intermedia 1 ★"</formula>
    </cfRule>
    <cfRule type="cellIs" dxfId="356" priority="376" operator="equal">
      <formula>"Matemática Básica 2 ★"</formula>
    </cfRule>
  </conditionalFormatting>
  <conditionalFormatting sqref="AD58:AF59">
    <cfRule type="cellIs" dxfId="354" priority="389" operator="equal">
      <formula>"Ingeniería Eléctrica 1 ★"</formula>
    </cfRule>
  </conditionalFormatting>
  <conditionalFormatting sqref="AD60:AF61">
    <cfRule type="cellIs" dxfId="353" priority="386" operator="equal">
      <formula>"Geología Estructural"</formula>
    </cfRule>
    <cfRule type="cellIs" dxfId="352" priority="387" operator="equal">
      <formula>"Legislación 2"</formula>
    </cfRule>
  </conditionalFormatting>
  <conditionalFormatting sqref="AD62:AF63">
    <cfRule type="cellIs" dxfId="351" priority="383" operator="equal">
      <formula>"Geofísica"</formula>
    </cfRule>
    <cfRule type="cellIs" dxfId="350" priority="384" operator="equal">
      <formula>"Física 2 ★"</formula>
    </cfRule>
    <cfRule type="cellIs" dxfId="349" priority="385" operator="equal">
      <formula>"Física 1 ★"</formula>
    </cfRule>
  </conditionalFormatting>
  <conditionalFormatting sqref="AD64:AF65">
    <cfRule type="cellIs" dxfId="346" priority="380" operator="equal">
      <formula>"Petrología"</formula>
    </cfRule>
    <cfRule type="cellIs" dxfId="348" priority="381" operator="equal">
      <formula>"Geología Estructural"</formula>
    </cfRule>
    <cfRule type="cellIs" dxfId="347" priority="382" operator="equal">
      <formula>"Legislación 2"</formula>
    </cfRule>
  </conditionalFormatting>
  <conditionalFormatting sqref="AD66:AF67">
    <cfRule type="cellIs" dxfId="344" priority="378" operator="equal">
      <formula>"Perforación de Pozos 1"</formula>
    </cfRule>
    <cfRule type="cellIs" dxfId="345" priority="379" operator="equal">
      <formula>"Ingeniería Eléctrica 1 ★"</formula>
    </cfRule>
  </conditionalFormatting>
  <conditionalFormatting sqref="AD68:AF69">
    <cfRule type="cellIs" dxfId="343" priority="377" operator="equal">
      <formula>"Geología del Petroleo"</formula>
    </cfRule>
  </conditionalFormatting>
  <conditionalFormatting sqref="AD68:AF75">
    <cfRule type="cellIs" dxfId="342" priority="374" operator="equal">
      <formula>"Legislación 2"</formula>
    </cfRule>
  </conditionalFormatting>
  <conditionalFormatting sqref="AD70:AF71">
    <cfRule type="cellIs" dxfId="341" priority="372" operator="equal">
      <formula>"Contabilidad 2"</formula>
    </cfRule>
  </conditionalFormatting>
  <conditionalFormatting sqref="AD72:AF73">
    <cfRule type="cellIs" dxfId="340" priority="373" operator="equal">
      <formula>"Estadística 2"</formula>
    </cfRule>
  </conditionalFormatting>
  <conditionalFormatting sqref="AD74:AF75">
    <cfRule type="cellIs" dxfId="339" priority="371" operator="equal">
      <formula>"Administración de Personal"</formula>
    </cfRule>
  </conditionalFormatting>
  <conditionalFormatting sqref="AH6:AH7">
    <cfRule type="cellIs" dxfId="336" priority="100" operator="between">
      <formula>61</formula>
      <formula>100</formula>
    </cfRule>
    <cfRule type="cellIs" dxfId="338" priority="101" operator="between">
      <formula>61</formula>
      <formula>100</formula>
    </cfRule>
    <cfRule type="cellIs" dxfId="337" priority="102" operator="between">
      <formula>61</formula>
      <formula>100</formula>
    </cfRule>
  </conditionalFormatting>
  <conditionalFormatting sqref="AH12:AH15">
    <cfRule type="cellIs" dxfId="334" priority="73" operator="between">
      <formula>61</formula>
      <formula>100</formula>
    </cfRule>
    <cfRule type="cellIs" dxfId="335" priority="74" operator="between">
      <formula>61</formula>
      <formula>100</formula>
    </cfRule>
    <cfRule type="cellIs" dxfId="333" priority="75" operator="between">
      <formula>61</formula>
      <formula>100</formula>
    </cfRule>
  </conditionalFormatting>
  <conditionalFormatting sqref="AH26:AH27">
    <cfRule type="cellIs" dxfId="331" priority="76" operator="between">
      <formula>61</formula>
      <formula>100</formula>
    </cfRule>
    <cfRule type="cellIs" dxfId="332" priority="77" operator="between">
      <formula>61</formula>
      <formula>100</formula>
    </cfRule>
    <cfRule type="cellIs" dxfId="330" priority="78" operator="between">
      <formula>61</formula>
      <formula>100</formula>
    </cfRule>
  </conditionalFormatting>
  <conditionalFormatting sqref="AH30:AH33">
    <cfRule type="cellIs" dxfId="327" priority="79" operator="between">
      <formula>61</formula>
      <formula>100</formula>
    </cfRule>
    <cfRule type="cellIs" dxfId="329" priority="80" operator="between">
      <formula>61</formula>
      <formula>100</formula>
    </cfRule>
    <cfRule type="cellIs" dxfId="328" priority="81" operator="between">
      <formula>61</formula>
      <formula>100</formula>
    </cfRule>
  </conditionalFormatting>
  <conditionalFormatting sqref="AH38:AH39">
    <cfRule type="cellIs" dxfId="326" priority="82" operator="between">
      <formula>61</formula>
      <formula>100</formula>
    </cfRule>
    <cfRule type="cellIs" dxfId="325" priority="83" operator="between">
      <formula>61</formula>
      <formula>100</formula>
    </cfRule>
    <cfRule type="cellIs" dxfId="324" priority="84" operator="between">
      <formula>61</formula>
      <formula>100</formula>
    </cfRule>
  </conditionalFormatting>
  <conditionalFormatting sqref="AH46:AH51">
    <cfRule type="cellIs" dxfId="321" priority="85" operator="between">
      <formula>61</formula>
      <formula>100</formula>
    </cfRule>
    <cfRule type="cellIs" dxfId="323" priority="86" operator="between">
      <formula>61</formula>
      <formula>100</formula>
    </cfRule>
    <cfRule type="cellIs" dxfId="322" priority="87" operator="between">
      <formula>61</formula>
      <formula>100</formula>
    </cfRule>
  </conditionalFormatting>
  <conditionalFormatting sqref="AH56:AH75">
    <cfRule type="cellIs" dxfId="319" priority="88" operator="between">
      <formula>61</formula>
      <formula>100</formula>
    </cfRule>
    <cfRule type="cellIs" dxfId="318" priority="89" operator="between">
      <formula>61</formula>
      <formula>100</formula>
    </cfRule>
    <cfRule type="cellIs" dxfId="320" priority="90" operator="between">
      <formula>61</formula>
      <formula>100</formula>
    </cfRule>
  </conditionalFormatting>
  <conditionalFormatting sqref="AJ6:AL7">
    <cfRule type="cellIs" dxfId="315" priority="368" operator="equal">
      <formula>"Topografía 3"</formula>
    </cfRule>
    <cfRule type="cellIs" dxfId="316" priority="369" operator="equal">
      <formula>"Topografía 2 ★"</formula>
    </cfRule>
    <cfRule type="cellIs" dxfId="317" priority="370" operator="equal">
      <formula>"Matemática Básica 2 ★"</formula>
    </cfRule>
  </conditionalFormatting>
  <conditionalFormatting sqref="AJ12:AL13">
    <cfRule type="cellIs" dxfId="312" priority="365" operator="equal">
      <formula>"Resistencia de Materiales 2 ★"</formula>
    </cfRule>
    <cfRule type="cellIs" dxfId="314" priority="366" operator="equal">
      <formula>"Topografía 2 ★"</formula>
    </cfRule>
    <cfRule type="cellIs" dxfId="313" priority="367" operator="equal">
      <formula>"Matemática Básica 2 ★"</formula>
    </cfRule>
  </conditionalFormatting>
  <conditionalFormatting sqref="AJ26:AL29">
    <cfRule type="cellIs" dxfId="311" priority="364" operator="equal">
      <formula>"Materiales de Construcción ★"</formula>
    </cfRule>
  </conditionalFormatting>
  <conditionalFormatting sqref="AJ26:AL31">
    <cfRule type="cellIs" dxfId="310" priority="360" operator="equal">
      <formula>"Resistencia de Materiales 2 ★"</formula>
    </cfRule>
    <cfRule type="cellIs" dxfId="308" priority="361" operator="equal">
      <formula>"Topografía 2 ★"</formula>
    </cfRule>
    <cfRule type="cellIs" dxfId="309" priority="362" operator="equal">
      <formula>"Matemática Básica 2 ★"</formula>
    </cfRule>
  </conditionalFormatting>
  <conditionalFormatting sqref="AJ28:AL29">
    <cfRule type="cellIs" dxfId="307" priority="363" operator="equal">
      <formula>"Mecánica de Suelos ★"</formula>
    </cfRule>
  </conditionalFormatting>
  <conditionalFormatting sqref="AJ30:AL31">
    <cfRule type="cellIs" dxfId="306" priority="359" operator="equal">
      <formula>"Hidráulica ★ ☻"</formula>
    </cfRule>
  </conditionalFormatting>
  <conditionalFormatting sqref="AJ38:AL39">
    <cfRule type="cellIs" dxfId="301" priority="354" operator="equal">
      <formula>"Ingeniería Económica 2"</formula>
    </cfRule>
    <cfRule type="cellIs" dxfId="302" priority="355" operator="equal">
      <formula>"Hidráulica ★ ☻"</formula>
    </cfRule>
    <cfRule type="cellIs" dxfId="305" priority="356" operator="equal">
      <formula>"Resistencia de Materiales 2 ★"</formula>
    </cfRule>
    <cfRule type="cellIs" dxfId="304" priority="357" operator="equal">
      <formula>"Topografía 2 ★"</formula>
    </cfRule>
    <cfRule type="cellIs" dxfId="303" priority="358" operator="equal">
      <formula>"Matemática Básica 2 ★"</formula>
    </cfRule>
  </conditionalFormatting>
  <conditionalFormatting sqref="AJ46:AL47">
    <cfRule type="cellIs" dxfId="299" priority="352" operator="equal">
      <formula>"Matemática Aplicada 4"</formula>
    </cfRule>
    <cfRule type="cellIs" dxfId="300" priority="353" operator="equal">
      <formula>"Matemática Aplicada 3"</formula>
    </cfRule>
  </conditionalFormatting>
  <conditionalFormatting sqref="AJ46:AL51">
    <cfRule type="cellIs" dxfId="298" priority="347" operator="equal">
      <formula>"Ingeniería Económica 1 ☾"</formula>
    </cfRule>
    <cfRule type="cellIs" dxfId="296" priority="348" operator="equal">
      <formula>"Mecánica de Fluidos ★ ☻"</formula>
    </cfRule>
    <cfRule type="cellIs" dxfId="294" priority="349" operator="equal">
      <formula>"Resistencia de Materiales 1 ★"</formula>
    </cfRule>
    <cfRule type="cellIs" dxfId="295" priority="350" operator="equal">
      <formula>"Topografía 2 ★"</formula>
    </cfRule>
    <cfRule type="cellIs" dxfId="297" priority="351" operator="equal">
      <formula>"Matemática Básica 2 ★"</formula>
    </cfRule>
  </conditionalFormatting>
  <conditionalFormatting sqref="AJ48:AL51">
    <cfRule type="cellIs" dxfId="293" priority="344" operator="equal">
      <formula>"Matemática Aplicada 2"</formula>
    </cfRule>
    <cfRule type="cellIs" dxfId="292" priority="345" operator="equal">
      <formula>"Matemática Aplicada 1 ★"</formula>
    </cfRule>
    <cfRule type="cellIs" dxfId="291" priority="346" operator="equal">
      <formula>"Matemática Aplicada 1 ★"</formula>
    </cfRule>
  </conditionalFormatting>
  <conditionalFormatting sqref="AJ50:AL51">
    <cfRule type="cellIs" dxfId="290" priority="343" operator="equal">
      <formula>"Programación de Computadoras 2"</formula>
    </cfRule>
  </conditionalFormatting>
  <conditionalFormatting sqref="AJ58:AL59">
    <cfRule type="cellIs" dxfId="284" priority="333" operator="equal">
      <formula>"Ingeniería Eléctrica 2"</formula>
    </cfRule>
    <cfRule type="cellIs" dxfId="283" priority="334" operator="equal">
      <formula>"Programación de Computadoras 2"</formula>
    </cfRule>
    <cfRule type="cellIs" dxfId="282" priority="335" operator="equal">
      <formula>"Matemática Aplicada 2"</formula>
    </cfRule>
    <cfRule type="cellIs" dxfId="281" priority="336" operator="equal">
      <formula>"Matemática Aplicada 1 ★"</formula>
    </cfRule>
    <cfRule type="cellIs" dxfId="280" priority="337" operator="equal">
      <formula>"Matemática Aplicada 1 ★"</formula>
    </cfRule>
    <cfRule type="cellIs" dxfId="289" priority="338" operator="equal">
      <formula>"Ingeniería Económica 1 ☾"</formula>
    </cfRule>
    <cfRule type="cellIs" dxfId="285" priority="339" operator="equal">
      <formula>"Mecánica de Fluidos ★ ☻"</formula>
    </cfRule>
    <cfRule type="cellIs" dxfId="288" priority="340" operator="equal">
      <formula>"Resistencia de Materiales 1 ★"</formula>
    </cfRule>
    <cfRule type="cellIs" dxfId="287" priority="341" operator="equal">
      <formula>"Topografía 2 ★"</formula>
    </cfRule>
    <cfRule type="cellIs" dxfId="286" priority="342" operator="equal">
      <formula>"Matemática Básica 2 ★"</formula>
    </cfRule>
  </conditionalFormatting>
  <conditionalFormatting sqref="AJ72:AL73">
    <cfRule type="cellIs" dxfId="279" priority="323" operator="equal">
      <formula>"Investigación de Operaciones 1"</formula>
    </cfRule>
    <cfRule type="cellIs" dxfId="278" priority="324" operator="equal">
      <formula>"Matemática Aplicada 2"</formula>
    </cfRule>
    <cfRule type="cellIs" dxfId="276" priority="325" operator="equal">
      <formula>"Matemática Aplicada 1 ★"</formula>
    </cfRule>
    <cfRule type="cellIs" dxfId="271" priority="326" operator="equal">
      <formula>"Matemática Aplicada 1 ★"</formula>
    </cfRule>
    <cfRule type="cellIs" dxfId="272" priority="327" operator="equal">
      <formula>"Ingeniería Económica 1 ☾"</formula>
    </cfRule>
    <cfRule type="cellIs" dxfId="273" priority="328" operator="equal">
      <formula>"Mecánica de Fluidos ★ ☻"</formula>
    </cfRule>
    <cfRule type="cellIs" dxfId="274" priority="329" operator="equal">
      <formula>"Resistencia de Materiales 1 ★"</formula>
    </cfRule>
    <cfRule type="cellIs" dxfId="277" priority="330" operator="equal">
      <formula>"Topografía 2 ★"</formula>
    </cfRule>
    <cfRule type="cellIs" dxfId="275" priority="331" operator="equal">
      <formula>"Matemática Básica 2 ★"</formula>
    </cfRule>
  </conditionalFormatting>
  <conditionalFormatting sqref="AN6:AN7">
    <cfRule type="cellIs" dxfId="268" priority="70" operator="between">
      <formula>61</formula>
      <formula>100</formula>
    </cfRule>
    <cfRule type="cellIs" dxfId="269" priority="71" operator="between">
      <formula>61</formula>
      <formula>100</formula>
    </cfRule>
    <cfRule type="cellIs" dxfId="270" priority="72" operator="between">
      <formula>61</formula>
      <formula>100</formula>
    </cfRule>
  </conditionalFormatting>
  <conditionalFormatting sqref="AN12:AN13">
    <cfRule type="cellIs" dxfId="266" priority="67" operator="between">
      <formula>61</formula>
      <formula>100</formula>
    </cfRule>
    <cfRule type="cellIs" dxfId="265" priority="68" operator="between">
      <formula>61</formula>
      <formula>100</formula>
    </cfRule>
    <cfRule type="cellIs" dxfId="267" priority="69" operator="between">
      <formula>61</formula>
      <formula>100</formula>
    </cfRule>
  </conditionalFormatting>
  <conditionalFormatting sqref="AN26:AN31">
    <cfRule type="cellIs" dxfId="262" priority="64" operator="between">
      <formula>61</formula>
      <formula>100</formula>
    </cfRule>
    <cfRule type="cellIs" dxfId="263" priority="65" operator="between">
      <formula>61</formula>
      <formula>100</formula>
    </cfRule>
    <cfRule type="cellIs" dxfId="264" priority="66" operator="between">
      <formula>61</formula>
      <formula>100</formula>
    </cfRule>
  </conditionalFormatting>
  <conditionalFormatting sqref="AN38:AN39">
    <cfRule type="cellIs" dxfId="261" priority="61" operator="between">
      <formula>61</formula>
      <formula>100</formula>
    </cfRule>
    <cfRule type="cellIs" dxfId="259" priority="62" operator="between">
      <formula>61</formula>
      <formula>100</formula>
    </cfRule>
    <cfRule type="cellIs" dxfId="260" priority="63" operator="between">
      <formula>61</formula>
      <formula>100</formula>
    </cfRule>
  </conditionalFormatting>
  <conditionalFormatting sqref="AN46:AN51">
    <cfRule type="cellIs" dxfId="256" priority="58" operator="between">
      <formula>61</formula>
      <formula>100</formula>
    </cfRule>
    <cfRule type="cellIs" dxfId="257" priority="59" operator="between">
      <formula>61</formula>
      <formula>100</formula>
    </cfRule>
    <cfRule type="cellIs" dxfId="258" priority="60" operator="between">
      <formula>61</formula>
      <formula>100</formula>
    </cfRule>
  </conditionalFormatting>
  <conditionalFormatting sqref="AN58:AN59">
    <cfRule type="cellIs" dxfId="253" priority="55" operator="between">
      <formula>61</formula>
      <formula>100</formula>
    </cfRule>
    <cfRule type="cellIs" dxfId="254" priority="56" operator="between">
      <formula>61</formula>
      <formula>100</formula>
    </cfRule>
    <cfRule type="cellIs" dxfId="255" priority="57" operator="between">
      <formula>61</formula>
      <formula>100</formula>
    </cfRule>
  </conditionalFormatting>
  <conditionalFormatting sqref="AN72:AN73">
    <cfRule type="cellIs" dxfId="252" priority="118" operator="between">
      <formula>61</formula>
      <formula>100</formula>
    </cfRule>
    <cfRule type="cellIs" dxfId="251" priority="119" operator="between">
      <formula>61</formula>
      <formula>100</formula>
    </cfRule>
    <cfRule type="cellIs" dxfId="250" priority="332" operator="between">
      <formula>61</formula>
      <formula>100</formula>
    </cfRule>
  </conditionalFormatting>
  <conditionalFormatting sqref="AP6:AR7">
    <cfRule type="cellIs" dxfId="244" priority="315" operator="equal">
      <formula>"Vías Terrestres 1 ★"</formula>
    </cfRule>
    <cfRule type="cellIs" dxfId="245" priority="316" operator="equal">
      <formula>"Matemática Aplicada 1 ★"</formula>
    </cfRule>
    <cfRule type="cellIs" dxfId="249" priority="317" operator="equal">
      <formula>"Matemática Aplicada 1 ★"</formula>
    </cfRule>
    <cfRule type="cellIs" dxfId="246" priority="318" operator="equal">
      <formula>"Ingeniería Económica 1 ☾"</formula>
    </cfRule>
    <cfRule type="cellIs" dxfId="243" priority="319" operator="equal">
      <formula>"Mecánica de Fluidos ★ ☻"</formula>
    </cfRule>
    <cfRule type="cellIs" dxfId="247" priority="320" operator="equal">
      <formula>"Resistencia de Materiales 1 ★"</formula>
    </cfRule>
    <cfRule type="cellIs" dxfId="248" priority="321" operator="equal">
      <formula>"Topografía 2 ★"</formula>
    </cfRule>
    <cfRule type="cellIs" dxfId="242" priority="322" operator="equal">
      <formula>"Matemática Básica 2 ★"</formula>
    </cfRule>
  </conditionalFormatting>
  <conditionalFormatting sqref="AP12:AR13">
    <cfRule type="cellIs" dxfId="241" priority="314" operator="equal">
      <formula>"Resistencia de Materiales 3"</formula>
    </cfRule>
  </conditionalFormatting>
  <conditionalFormatting sqref="AP12:AR17">
    <cfRule type="cellIs" dxfId="238" priority="311" operator="equal">
      <formula>"Resistencia de Materiales 2 ★"</formula>
    </cfRule>
    <cfRule type="cellIs" dxfId="239" priority="312" operator="equal">
      <formula>"Topografía 2 ★"</formula>
    </cfRule>
    <cfRule type="cellIs" dxfId="240" priority="313" operator="equal">
      <formula>"Matemática Básica 2 ★"</formula>
    </cfRule>
  </conditionalFormatting>
  <conditionalFormatting sqref="AP14:AR17">
    <cfRule type="cellIs" dxfId="237" priority="310" operator="equal">
      <formula>"Análisis Estructural 1 ★"</formula>
    </cfRule>
  </conditionalFormatting>
  <conditionalFormatting sqref="AP16:AR17">
    <cfRule type="cellIs" dxfId="236" priority="309" operator="equal">
      <formula>"Concreto Armado 1 ★"</formula>
    </cfRule>
  </conditionalFormatting>
  <conditionalFormatting sqref="AP30:AR35">
    <cfRule type="cellIs" dxfId="232" priority="305" operator="equal">
      <formula>"Hidrología ★"</formula>
    </cfRule>
    <cfRule type="cellIs" dxfId="233" priority="306" operator="equal">
      <formula>"Resistencia de Materiales 2 ★"</formula>
    </cfRule>
    <cfRule type="cellIs" dxfId="234" priority="307" operator="equal">
      <formula>"Topografía 2 ★"</formula>
    </cfRule>
    <cfRule type="cellIs" dxfId="235" priority="308" operator="equal">
      <formula>"Matemática Básica 2 ★"</formula>
    </cfRule>
  </conditionalFormatting>
  <conditionalFormatting sqref="AP32:AR33">
    <cfRule type="cellIs" dxfId="231" priority="304" operator="equal">
      <formula>"Hidráulica de Canales"</formula>
    </cfRule>
  </conditionalFormatting>
  <conditionalFormatting sqref="AP34:AR35">
    <cfRule type="cellIs" dxfId="230" priority="303" operator="equal">
      <formula>"Máquinas Hidráulicas"</formula>
    </cfRule>
  </conditionalFormatting>
  <conditionalFormatting sqref="AP58:AR59">
    <cfRule type="cellIs" dxfId="227" priority="298" operator="equal">
      <formula>"Ingeniería de la Producción ★"</formula>
    </cfRule>
    <cfRule type="cellIs" dxfId="228" priority="299" operator="equal">
      <formula>"Legislación 1 ★"</formula>
    </cfRule>
    <cfRule type="cellIs" dxfId="229" priority="300" operator="equal">
      <formula>"Ecología ★"</formula>
    </cfRule>
    <cfRule type="cellIs" dxfId="225" priority="301" operator="equal">
      <formula>"Geografía"</formula>
    </cfRule>
    <cfRule type="cellIs" dxfId="226" priority="302" operator="equal">
      <formula>"Matemática Básica 2 ★"</formula>
    </cfRule>
  </conditionalFormatting>
  <conditionalFormatting sqref="AP70:AR71">
    <cfRule type="cellIs" dxfId="224" priority="280" operator="equal">
      <formula>"Administración de Empresas 1 ☾"</formula>
    </cfRule>
    <cfRule type="cellIs" dxfId="223" priority="281" operator="equal">
      <formula>"Legislación 1 ★"</formula>
    </cfRule>
    <cfRule type="cellIs" dxfId="222" priority="282" operator="equal">
      <formula>"Ecología ★"</formula>
    </cfRule>
    <cfRule type="cellIs" dxfId="221" priority="283" operator="equal">
      <formula>"Geografía"</formula>
    </cfRule>
  </conditionalFormatting>
  <conditionalFormatting sqref="AP70:AR73">
    <cfRule type="cellIs" dxfId="220" priority="284" operator="equal">
      <formula>"Matemática Básica 2 ★"</formula>
    </cfRule>
  </conditionalFormatting>
  <conditionalFormatting sqref="AP72:AR73">
    <cfRule type="cellIs" dxfId="213" priority="285" operator="equal">
      <formula>"Investigación de Operaciones 2"</formula>
    </cfRule>
    <cfRule type="cellIs" dxfId="212" priority="286" operator="equal">
      <formula>"Investigación de Operaciones 1"</formula>
    </cfRule>
    <cfRule type="cellIs" dxfId="215" priority="287" operator="equal">
      <formula>"Matemática Aplicada 2"</formula>
    </cfRule>
    <cfRule type="cellIs" dxfId="218" priority="288" operator="equal">
      <formula>"Matemática Aplicada 1 ★"</formula>
    </cfRule>
    <cfRule type="cellIs" dxfId="216" priority="289" operator="equal">
      <formula>"Matemática Aplicada 1 ★"</formula>
    </cfRule>
    <cfRule type="cellIs" dxfId="217" priority="290" operator="equal">
      <formula>"Ingeniería Económica 1 ☾"</formula>
    </cfRule>
    <cfRule type="cellIs" dxfId="219" priority="291" operator="equal">
      <formula>"Mecánica de Fluidos ★ ☻"</formula>
    </cfRule>
    <cfRule type="cellIs" dxfId="214" priority="292" operator="equal">
      <formula>"Resistencia de Materiales 1 ★"</formula>
    </cfRule>
    <cfRule type="cellIs" dxfId="211" priority="293" operator="equal">
      <formula>"Topografía 2 ★"</formula>
    </cfRule>
  </conditionalFormatting>
  <conditionalFormatting sqref="AP76:AR77">
    <cfRule type="cellIs" dxfId="209" priority="294" operator="equal">
      <formula>"Práctica Intermedia ★"</formula>
    </cfRule>
    <cfRule type="cellIs" dxfId="208" priority="295" operator="equal">
      <formula>"Práctica Inicial ★"</formula>
    </cfRule>
    <cfRule type="cellIs" dxfId="207" priority="296" operator="equal">
      <formula>"Matemática Intermedia 1 ★"</formula>
    </cfRule>
    <cfRule type="cellIs" dxfId="210" priority="297" operator="equal">
      <formula>"Matemática Básica 2 ★"</formula>
    </cfRule>
  </conditionalFormatting>
  <conditionalFormatting sqref="AT6:AT7">
    <cfRule type="cellIs" dxfId="206" priority="37" operator="between">
      <formula>61</formula>
      <formula>100</formula>
    </cfRule>
    <cfRule type="cellIs" dxfId="205" priority="38" operator="between">
      <formula>61</formula>
      <formula>100</formula>
    </cfRule>
    <cfRule type="cellIs" dxfId="204" priority="39" operator="between">
      <formula>61</formula>
      <formula>100</formula>
    </cfRule>
  </conditionalFormatting>
  <conditionalFormatting sqref="AT12:AT17">
    <cfRule type="cellIs" dxfId="201" priority="40" operator="between">
      <formula>61</formula>
      <formula>100</formula>
    </cfRule>
    <cfRule type="cellIs" dxfId="203" priority="41" operator="between">
      <formula>61</formula>
      <formula>100</formula>
    </cfRule>
    <cfRule type="cellIs" dxfId="202" priority="42" operator="between">
      <formula>61</formula>
      <formula>100</formula>
    </cfRule>
  </conditionalFormatting>
  <conditionalFormatting sqref="AT30:AT35">
    <cfRule type="cellIs" dxfId="200" priority="43" operator="between">
      <formula>61</formula>
      <formula>100</formula>
    </cfRule>
    <cfRule type="cellIs" dxfId="199" priority="44" operator="between">
      <formula>61</formula>
      <formula>100</formula>
    </cfRule>
    <cfRule type="cellIs" dxfId="198" priority="45" operator="between">
      <formula>61</formula>
      <formula>100</formula>
    </cfRule>
  </conditionalFormatting>
  <conditionalFormatting sqref="AT58:AT59">
    <cfRule type="cellIs" dxfId="196" priority="46" operator="between">
      <formula>61</formula>
      <formula>100</formula>
    </cfRule>
    <cfRule type="cellIs" dxfId="195" priority="47" operator="between">
      <formula>61</formula>
      <formula>100</formula>
    </cfRule>
    <cfRule type="cellIs" dxfId="197" priority="48" operator="between">
      <formula>61</formula>
      <formula>100</formula>
    </cfRule>
  </conditionalFormatting>
  <conditionalFormatting sqref="AT70:AT73">
    <cfRule type="cellIs" dxfId="194" priority="49" operator="between">
      <formula>61</formula>
      <formula>100</formula>
    </cfRule>
    <cfRule type="cellIs" dxfId="193" priority="50" operator="between">
      <formula>61</formula>
      <formula>100</formula>
    </cfRule>
    <cfRule type="cellIs" dxfId="192" priority="51" operator="between">
      <formula>61</formula>
      <formula>100</formula>
    </cfRule>
  </conditionalFormatting>
  <conditionalFormatting sqref="AT76:AT77">
    <cfRule type="cellIs" dxfId="191" priority="52" operator="between">
      <formula>61</formula>
      <formula>100</formula>
    </cfRule>
    <cfRule type="cellIs" dxfId="190" priority="53" operator="between">
      <formula>61</formula>
      <formula>100</formula>
    </cfRule>
    <cfRule type="cellIs" dxfId="189" priority="54" operator="between">
      <formula>61</formula>
      <formula>100</formula>
    </cfRule>
  </conditionalFormatting>
  <conditionalFormatting sqref="AV6:AX11">
    <cfRule type="cellIs" dxfId="188" priority="279" operator="equal">
      <formula>"Transportes"</formula>
    </cfRule>
  </conditionalFormatting>
  <conditionalFormatting sqref="AV6:AX15">
    <cfRule type="cellIs" dxfId="187" priority="275" operator="equal">
      <formula>"Resistencia de Materiales 3"</formula>
    </cfRule>
  </conditionalFormatting>
  <conditionalFormatting sqref="AV6:AX17">
    <cfRule type="cellIs" dxfId="185" priority="272" operator="equal">
      <formula>"Resistencia de Materiales 2 ★"</formula>
    </cfRule>
    <cfRule type="cellIs" dxfId="186" priority="273" operator="equal">
      <formula>"Topografía 2 ★"</formula>
    </cfRule>
  </conditionalFormatting>
  <conditionalFormatting sqref="AV6:AX19">
    <cfRule type="cellIs" dxfId="184" priority="270" operator="equal">
      <formula>"Matemática Básica 2 ★"</formula>
    </cfRule>
  </conditionalFormatting>
  <conditionalFormatting sqref="AV8:AX9">
    <cfRule type="cellIs" dxfId="183" priority="278" operator="equal">
      <formula>"Vías Terrestres 2"</formula>
    </cfRule>
  </conditionalFormatting>
  <conditionalFormatting sqref="AV10:AX11">
    <cfRule type="cellIs" dxfId="182" priority="277" operator="equal">
      <formula>"Ingeniería de Tránsito"</formula>
    </cfRule>
  </conditionalFormatting>
  <conditionalFormatting sqref="AV12:AX13">
    <cfRule type="cellIs" dxfId="181" priority="276" operator="equal">
      <formula>"Análisis Estructural 2"</formula>
    </cfRule>
  </conditionalFormatting>
  <conditionalFormatting sqref="AV14:AX15">
    <cfRule type="cellIs" dxfId="180" priority="274" operator="equal">
      <formula>"Tipología Estructural"</formula>
    </cfRule>
  </conditionalFormatting>
  <conditionalFormatting sqref="AV16:AX17">
    <cfRule type="cellIs" dxfId="179" priority="271" operator="equal">
      <formula>"Concreto Armado 2 ★"</formula>
    </cfRule>
  </conditionalFormatting>
  <conditionalFormatting sqref="AV18:AX19">
    <cfRule type="cellIs" dxfId="178" priority="265" operator="equal">
      <formula>"Diseño Estructural ★"</formula>
    </cfRule>
    <cfRule type="cellIs" dxfId="176" priority="266" operator="equal">
      <formula>"Geofísica"</formula>
    </cfRule>
    <cfRule type="cellIs" dxfId="175" priority="267" operator="equal">
      <formula>"Física 2 ★"</formula>
    </cfRule>
    <cfRule type="cellIs" dxfId="174" priority="268" operator="equal">
      <formula>"Física 1 ★"</formula>
    </cfRule>
    <cfRule type="cellIs" dxfId="177" priority="269" operator="equal">
      <formula>"Matemática Intermedia 1 ★"</formula>
    </cfRule>
  </conditionalFormatting>
  <conditionalFormatting sqref="AV26:AX27">
    <cfRule type="cellIs" dxfId="168" priority="259" operator="equal">
      <formula>"Cimentaciones 1 ★"</formula>
    </cfRule>
    <cfRule type="cellIs" dxfId="169" priority="260" operator="equal">
      <formula>"Diseño Estructural ★"</formula>
    </cfRule>
    <cfRule type="cellIs" dxfId="170" priority="261" operator="equal">
      <formula>"Geofísica"</formula>
    </cfRule>
    <cfRule type="cellIs" dxfId="171" priority="262" operator="equal">
      <formula>"Física 2 ★"</formula>
    </cfRule>
    <cfRule type="cellIs" dxfId="172" priority="263" operator="equal">
      <formula>"Física 1 ★"</formula>
    </cfRule>
    <cfRule type="cellIs" dxfId="173" priority="264" operator="equal">
      <formula>"Matemática Intermedia 1 ★"</formula>
    </cfRule>
  </conditionalFormatting>
  <conditionalFormatting sqref="AV26:AX37">
    <cfRule type="cellIs" dxfId="167" priority="253" operator="equal">
      <formula>"Matemática Básica 2 ★"</formula>
    </cfRule>
  </conditionalFormatting>
  <conditionalFormatting sqref="AV28:AX29">
    <cfRule type="cellIs" dxfId="163" priority="255" operator="equal">
      <formula>"Pavimentos"</formula>
    </cfRule>
    <cfRule type="cellIs" dxfId="164" priority="256" operator="equal">
      <formula>"Ingeniería de Tránsito"</formula>
    </cfRule>
    <cfRule type="cellIs" dxfId="165" priority="257" operator="equal">
      <formula>"Transportes"</formula>
    </cfRule>
    <cfRule type="cellIs" dxfId="166" priority="258" operator="equal">
      <formula>"Resistencia de Materiales 3"</formula>
    </cfRule>
  </conditionalFormatting>
  <conditionalFormatting sqref="AV28:AX37">
    <cfRule type="cellIs" dxfId="161" priority="251" operator="equal">
      <formula>"Resistencia de Materiales 2 ★"</formula>
    </cfRule>
    <cfRule type="cellIs" dxfId="162" priority="252" operator="equal">
      <formula>"Topografía 2 ★"</formula>
    </cfRule>
  </conditionalFormatting>
  <conditionalFormatting sqref="AV30:AX33">
    <cfRule type="cellIs" dxfId="160" priority="254" operator="equal">
      <formula>"Aguas Subterráneas ☻"</formula>
    </cfRule>
  </conditionalFormatting>
  <conditionalFormatting sqref="AV30:AX37">
    <cfRule type="cellIs" dxfId="159" priority="250" operator="equal">
      <formula>"Hidráulica ★ ☻"</formula>
    </cfRule>
  </conditionalFormatting>
  <conditionalFormatting sqref="AV32:AX33">
    <cfRule type="cellIs" dxfId="158" priority="249" operator="equal">
      <formula>"Saneamiento Ambiental ☻"</formula>
    </cfRule>
  </conditionalFormatting>
  <conditionalFormatting sqref="AV34:AX37">
    <cfRule type="cellIs" dxfId="157" priority="248" operator="equal">
      <formula>"Ingeniería Sanitaría 1 ★ ☻"</formula>
    </cfRule>
  </conditionalFormatting>
  <conditionalFormatting sqref="AV36:AX37">
    <cfRule type="cellIs" dxfId="156" priority="247" operator="equal">
      <formula>"Ingeniería Sanitaría 2 ★ ☻"</formula>
    </cfRule>
  </conditionalFormatting>
  <conditionalFormatting sqref="AV56:AX57">
    <cfRule type="cellIs" dxfId="155" priority="241" operator="equal">
      <formula>"Análisis Mecánico ★"</formula>
    </cfRule>
    <cfRule type="cellIs" dxfId="154" priority="242" operator="equal">
      <formula>"Concreto Armado 1 ★"</formula>
    </cfRule>
    <cfRule type="cellIs" dxfId="153" priority="243" operator="equal">
      <formula>"Análisis Estructural 1 ★"</formula>
    </cfRule>
    <cfRule type="cellIs" dxfId="152" priority="244" operator="equal">
      <formula>"Resistencia de Materiales 2 ★"</formula>
    </cfRule>
    <cfRule type="cellIs" dxfId="151" priority="245" operator="equal">
      <formula>"Topografía 2 ★"</formula>
    </cfRule>
    <cfRule type="cellIs" dxfId="150" priority="246" operator="equal">
      <formula>"Matemática Básica 2 ★"</formula>
    </cfRule>
  </conditionalFormatting>
  <conditionalFormatting sqref="AV70:AX71">
    <cfRule type="cellIs" dxfId="140" priority="230" operator="equal">
      <formula>"Administración de Empresas 2"</formula>
    </cfRule>
    <cfRule type="cellIs" dxfId="141" priority="231" operator="equal">
      <formula>"Investigación de Operaciones 2"</formula>
    </cfRule>
    <cfRule type="cellIs" dxfId="142" priority="232" operator="equal">
      <formula>"Investigación de Operaciones 1"</formula>
    </cfRule>
    <cfRule type="cellIs" dxfId="143" priority="233" operator="equal">
      <formula>"Matemática Aplicada 2"</formula>
    </cfRule>
    <cfRule type="cellIs" dxfId="144" priority="234" operator="equal">
      <formula>"Matemática Aplicada 1 ★"</formula>
    </cfRule>
    <cfRule type="cellIs" dxfId="146" priority="235" operator="equal">
      <formula>"Matemática Aplicada 1 ★"</formula>
    </cfRule>
    <cfRule type="cellIs" dxfId="147" priority="236" operator="equal">
      <formula>"Ingeniería Económica 1 ☾"</formula>
    </cfRule>
    <cfRule type="cellIs" dxfId="148" priority="237" operator="equal">
      <formula>"Mecánica de Fluidos ★ ☻"</formula>
    </cfRule>
    <cfRule type="cellIs" dxfId="149" priority="238" operator="equal">
      <formula>"Resistencia de Materiales 1 ★"</formula>
    </cfRule>
    <cfRule type="cellIs" dxfId="139" priority="239" operator="equal">
      <formula>"Topografía 2 ★"</formula>
    </cfRule>
    <cfRule type="cellIs" dxfId="145" priority="240" operator="equal">
      <formula>"Matemática Básica 2 ★"</formula>
    </cfRule>
  </conditionalFormatting>
  <conditionalFormatting sqref="AZ6:AZ19">
    <cfRule type="cellIs" dxfId="136" priority="34" operator="between">
      <formula>61</formula>
      <formula>100</formula>
    </cfRule>
    <cfRule type="cellIs" dxfId="137" priority="35" operator="between">
      <formula>61</formula>
      <formula>100</formula>
    </cfRule>
    <cfRule type="cellIs" dxfId="138" priority="36" operator="between">
      <formula>61</formula>
      <formula>100</formula>
    </cfRule>
  </conditionalFormatting>
  <conditionalFormatting sqref="AZ26:AZ37">
    <cfRule type="cellIs" dxfId="134" priority="28" operator="between">
      <formula>61</formula>
      <formula>100</formula>
    </cfRule>
    <cfRule type="cellIs" dxfId="135" priority="29" operator="between">
      <formula>61</formula>
      <formula>100</formula>
    </cfRule>
    <cfRule type="cellIs" dxfId="133" priority="30" operator="between">
      <formula>61</formula>
      <formula>100</formula>
    </cfRule>
  </conditionalFormatting>
  <conditionalFormatting sqref="AZ56:AZ57">
    <cfRule type="cellIs" dxfId="130" priority="25" operator="between">
      <formula>61</formula>
      <formula>100</formula>
    </cfRule>
    <cfRule type="cellIs" dxfId="131" priority="26" operator="between">
      <formula>61</formula>
      <formula>100</formula>
    </cfRule>
    <cfRule type="cellIs" dxfId="132" priority="27" operator="between">
      <formula>61</formula>
      <formula>100</formula>
    </cfRule>
  </conditionalFormatting>
  <conditionalFormatting sqref="AZ70:AZ71">
    <cfRule type="cellIs" dxfId="127" priority="22" operator="between">
      <formula>61</formula>
      <formula>100</formula>
    </cfRule>
    <cfRule type="cellIs" dxfId="128" priority="23" operator="between">
      <formula>61</formula>
      <formula>100</formula>
    </cfRule>
    <cfRule type="cellIs" dxfId="129" priority="24" operator="between">
      <formula>61</formula>
      <formula>100</formula>
    </cfRule>
  </conditionalFormatting>
  <conditionalFormatting sqref="BB6:BD7">
    <cfRule type="cellIs" dxfId="124" priority="224" operator="equal">
      <formula>"Seminario de Investigación ★ ☻"</formula>
    </cfRule>
    <cfRule type="cellIs" dxfId="122" priority="225" operator="equal">
      <formula>"Ingeniería Sanitaría 1 ★ ☻"</formula>
    </cfRule>
    <cfRule type="cellIs" dxfId="121" priority="226" operator="equal">
      <formula>"Hidráulica ★ ☻"</formula>
    </cfRule>
    <cfRule type="cellIs" dxfId="123" priority="227" operator="equal">
      <formula>"Resistencia de Materiales 2 ★"</formula>
    </cfRule>
    <cfRule type="cellIs" dxfId="125" priority="228" operator="equal">
      <formula>"Topografía 2 ★"</formula>
    </cfRule>
    <cfRule type="cellIs" dxfId="126" priority="229" operator="equal">
      <formula>"Matemática Básica 2 ★"</formula>
    </cfRule>
  </conditionalFormatting>
  <conditionalFormatting sqref="BB12:BD13">
    <cfRule type="cellIs" dxfId="120" priority="222" operator="equal">
      <formula>"Ingeniería Sismica"</formula>
    </cfRule>
    <cfRule type="cellIs" dxfId="119" priority="223" operator="equal">
      <formula>"Tipología Estructural"</formula>
    </cfRule>
  </conditionalFormatting>
  <conditionalFormatting sqref="BB12:BD17">
    <cfRule type="cellIs" dxfId="118" priority="221" operator="equal">
      <formula>"Resistencia de Materiales 3"</formula>
    </cfRule>
  </conditionalFormatting>
  <conditionalFormatting sqref="BB12:BD23">
    <cfRule type="cellIs" dxfId="116" priority="211" operator="equal">
      <formula>"Resistencia de Materiales 2 ★"</formula>
    </cfRule>
    <cfRule type="cellIs" dxfId="117" priority="212" operator="equal">
      <formula>"Topografía 2 ★"</formula>
    </cfRule>
  </conditionalFormatting>
  <conditionalFormatting sqref="BB12:BD33">
    <cfRule type="cellIs" dxfId="115" priority="183" operator="equal">
      <formula>"Matemática Básica 2 ★"</formula>
    </cfRule>
  </conditionalFormatting>
  <conditionalFormatting sqref="BB14:BD17">
    <cfRule type="cellIs" dxfId="114" priority="219" operator="equal">
      <formula>"Análisis Estructural 3"</formula>
    </cfRule>
    <cfRule type="cellIs" dxfId="113" priority="220" operator="equal">
      <formula>"Análisis Estructural 2"</formula>
    </cfRule>
  </conditionalFormatting>
  <conditionalFormatting sqref="BB16:BD17">
    <cfRule type="cellIs" dxfId="112" priority="218" operator="equal">
      <formula>"Diseño de Estructuras en Mamposteria"</formula>
    </cfRule>
  </conditionalFormatting>
  <conditionalFormatting sqref="BB18:BD19">
    <cfRule type="cellIs" dxfId="110" priority="216" operator="equal">
      <formula>"Puentes ★"</formula>
    </cfRule>
    <cfRule type="cellIs" dxfId="111" priority="217" operator="equal">
      <formula>"Hidrología ★"</formula>
    </cfRule>
  </conditionalFormatting>
  <conditionalFormatting sqref="BB20:BD21">
    <cfRule type="cellIs" dxfId="108" priority="213" operator="equal">
      <formula>"Concreto Preesforzado"</formula>
    </cfRule>
    <cfRule type="cellIs" dxfId="109" priority="214" operator="equal">
      <formula>"Ingeniería Sismica"</formula>
    </cfRule>
    <cfRule type="cellIs" dxfId="107" priority="215" operator="equal">
      <formula>"Tipología Estructural"</formula>
    </cfRule>
  </conditionalFormatting>
  <conditionalFormatting sqref="BB20:BD23">
    <cfRule type="cellIs" dxfId="106" priority="210" operator="equal">
      <formula>"Resistencia de Materiales 3"</formula>
    </cfRule>
  </conditionalFormatting>
  <conditionalFormatting sqref="BB22:BD23">
    <cfRule type="cellIs" dxfId="102" priority="206" operator="equal">
      <formula>"Diseño de Estructuras Metálicas 1"</formula>
    </cfRule>
    <cfRule type="cellIs" dxfId="103" priority="207" operator="equal">
      <formula>"Diseño de Estructuras en Mamposteria"</formula>
    </cfRule>
    <cfRule type="cellIs" dxfId="104" priority="208" operator="equal">
      <formula>"Análisis Estructural 3"</formula>
    </cfRule>
    <cfRule type="cellIs" dxfId="105" priority="209" operator="equal">
      <formula>"Análisis Estructural 2"</formula>
    </cfRule>
  </conditionalFormatting>
  <conditionalFormatting sqref="BB24:BD25">
    <cfRule type="cellIs" dxfId="99" priority="200" operator="equal">
      <formula>"Placas y Cáscaras"</formula>
    </cfRule>
    <cfRule type="cellIs" dxfId="100" priority="201" operator="equal">
      <formula>"Diseño Estructural ★"</formula>
    </cfRule>
    <cfRule type="cellIs" dxfId="101" priority="202" operator="equal">
      <formula>"Geofísica"</formula>
    </cfRule>
    <cfRule type="cellIs" dxfId="98" priority="203" operator="equal">
      <formula>"Física 2 ★"</formula>
    </cfRule>
    <cfRule type="cellIs" dxfId="96" priority="204" operator="equal">
      <formula>"Física 1 ★"</formula>
    </cfRule>
    <cfRule type="cellIs" dxfId="97" priority="205" operator="equal">
      <formula>"Matemática Intermedia 1 ★"</formula>
    </cfRule>
  </conditionalFormatting>
  <conditionalFormatting sqref="BB26:BD29">
    <cfRule type="cellIs" dxfId="95" priority="192" operator="equal">
      <formula>"Métodos de Construcción"</formula>
    </cfRule>
    <cfRule type="cellIs" dxfId="94" priority="193" operator="equal">
      <formula>"Diseño de Estructuras Metálicas 1"</formula>
    </cfRule>
    <cfRule type="cellIs" dxfId="93" priority="194" operator="equal">
      <formula>"Diseño de Estructuras en Mamposteria"</formula>
    </cfRule>
    <cfRule type="cellIs" dxfId="92" priority="195" operator="equal">
      <formula>"Análisis Estructural 3"</formula>
    </cfRule>
    <cfRule type="cellIs" dxfId="91" priority="196" operator="equal">
      <formula>"Análisis Estructural 2"</formula>
    </cfRule>
    <cfRule type="cellIs" dxfId="90" priority="197" operator="equal">
      <formula>"Resistencia de Materiales 3"</formula>
    </cfRule>
    <cfRule type="cellIs" dxfId="89" priority="198" operator="equal">
      <formula>"Resistencia de Materiales 2 ★"</formula>
    </cfRule>
    <cfRule type="cellIs" dxfId="88" priority="199" operator="equal">
      <formula>"Topografía 2 ★"</formula>
    </cfRule>
  </conditionalFormatting>
  <conditionalFormatting sqref="BB28:BD29">
    <cfRule type="cellIs" dxfId="87" priority="191" operator="equal">
      <formula>"Cimentaciones 2"</formula>
    </cfRule>
  </conditionalFormatting>
  <conditionalFormatting sqref="BB30:BD31">
    <cfRule type="cellIs" dxfId="85" priority="184" operator="equal">
      <formula>"Obras Hidráulicas"</formula>
    </cfRule>
    <cfRule type="cellIs" dxfId="86" priority="185" operator="equal">
      <formula>"Cimentaciones 1 ★"</formula>
    </cfRule>
    <cfRule type="cellIs" dxfId="80" priority="186" operator="equal">
      <formula>"Diseño Estructural ★"</formula>
    </cfRule>
    <cfRule type="cellIs" dxfId="82" priority="187" operator="equal">
      <formula>"Geofísica"</formula>
    </cfRule>
    <cfRule type="cellIs" dxfId="83" priority="188" operator="equal">
      <formula>"Física 2 ★"</formula>
    </cfRule>
    <cfRule type="cellIs" dxfId="81" priority="189" operator="equal">
      <formula>"Física 1 ★"</formula>
    </cfRule>
    <cfRule type="cellIs" dxfId="84" priority="190" operator="equal">
      <formula>"Matemática Intermedia 1 ★"</formula>
    </cfRule>
  </conditionalFormatting>
  <conditionalFormatting sqref="BB32:BD33">
    <cfRule type="cellIs" dxfId="74" priority="124" operator="equal">
      <formula>"Introducción a la Evaluación de ☻ Impacto Ambiental"</formula>
    </cfRule>
    <cfRule type="cellIs" dxfId="75" priority="178" operator="equal">
      <formula>"Seminario de Investigación ★ ☻"</formula>
    </cfRule>
    <cfRule type="cellIs" dxfId="76" priority="179" operator="equal">
      <formula>"Ingeniería Sanitaría 1 ★ ☻"</formula>
    </cfRule>
    <cfRule type="cellIs" dxfId="77" priority="180" operator="equal">
      <formula>"Hidráulica ★ ☻"</formula>
    </cfRule>
    <cfRule type="cellIs" dxfId="78" priority="181" operator="equal">
      <formula>"Resistencia de Materiales 2 ★"</formula>
    </cfRule>
    <cfRule type="cellIs" dxfId="79" priority="182" operator="equal">
      <formula>"Topografía 2 ★"</formula>
    </cfRule>
  </conditionalFormatting>
  <conditionalFormatting sqref="BB38:BD43">
    <cfRule type="cellIs" dxfId="70" priority="173" operator="equal">
      <formula>"Costos Presuspuestos y Avaluos ★"</formula>
    </cfRule>
    <cfRule type="cellIs" dxfId="71" priority="174" operator="equal">
      <formula>"Legislación 1 ★"</formula>
    </cfRule>
    <cfRule type="cellIs" dxfId="72" priority="175" operator="equal">
      <formula>"Ecología ★"</formula>
    </cfRule>
    <cfRule type="cellIs" dxfId="69" priority="176" operator="equal">
      <formula>"Geografía"</formula>
    </cfRule>
    <cfRule type="cellIs" dxfId="73" priority="177" operator="equal">
      <formula>"Matemática Básica 2 ★"</formula>
    </cfRule>
  </conditionalFormatting>
  <conditionalFormatting sqref="BB40:BD41">
    <cfRule type="cellIs" dxfId="68" priority="171" operator="equal">
      <formula>"Preparación y Evaluación de Proyectos 1 ☾"</formula>
    </cfRule>
  </conditionalFormatting>
  <conditionalFormatting sqref="BB42:BD43">
    <cfRule type="cellIs" dxfId="67" priority="172" operator="equal">
      <formula>"Planeamiento ★"</formula>
    </cfRule>
  </conditionalFormatting>
  <conditionalFormatting sqref="BB58:BD59">
    <cfRule type="cellIs" dxfId="65" priority="164" operator="equal">
      <formula>"Ética Profesional"</formula>
    </cfRule>
    <cfRule type="cellIs" dxfId="66" priority="165" operator="equal">
      <formula>"Planeamiento ★"</formula>
    </cfRule>
    <cfRule type="cellIs" dxfId="60" priority="166" operator="equal">
      <formula>"Costos Presuspuestos y Avaluos ★"</formula>
    </cfRule>
    <cfRule type="cellIs" dxfId="61" priority="167" operator="equal">
      <formula>"Legislación 1 ★"</formula>
    </cfRule>
    <cfRule type="cellIs" dxfId="62" priority="168" operator="equal">
      <formula>"Ecología ★"</formula>
    </cfRule>
    <cfRule type="cellIs" dxfId="63" priority="169" operator="equal">
      <formula>"Geografía"</formula>
    </cfRule>
    <cfRule type="cellIs" dxfId="64" priority="170" operator="equal">
      <formula>"Matemática Básica 2 ★"</formula>
    </cfRule>
  </conditionalFormatting>
  <conditionalFormatting sqref="BF6:BF7">
    <cfRule type="cellIs" dxfId="59" priority="31" operator="between">
      <formula>61</formula>
      <formula>100</formula>
    </cfRule>
    <cfRule type="cellIs" dxfId="57" priority="32" operator="between">
      <formula>61</formula>
      <formula>100</formula>
    </cfRule>
    <cfRule type="cellIs" dxfId="58" priority="33" operator="between">
      <formula>61</formula>
      <formula>100</formula>
    </cfRule>
  </conditionalFormatting>
  <conditionalFormatting sqref="BF12:BF33">
    <cfRule type="cellIs" dxfId="56" priority="13" operator="between">
      <formula>61</formula>
      <formula>100</formula>
    </cfRule>
    <cfRule type="cellIs" dxfId="55" priority="14" operator="between">
      <formula>61</formula>
      <formula>100</formula>
    </cfRule>
    <cfRule type="cellIs" dxfId="54" priority="15" operator="between">
      <formula>61</formula>
      <formula>100</formula>
    </cfRule>
  </conditionalFormatting>
  <conditionalFormatting sqref="BF38:BF43">
    <cfRule type="cellIs" dxfId="53" priority="16" operator="between">
      <formula>61</formula>
      <formula>100</formula>
    </cfRule>
    <cfRule type="cellIs" dxfId="52" priority="17" operator="between">
      <formula>61</formula>
      <formula>100</formula>
    </cfRule>
    <cfRule type="cellIs" dxfId="51" priority="18" operator="between">
      <formula>61</formula>
      <formula>100</formula>
    </cfRule>
  </conditionalFormatting>
  <conditionalFormatting sqref="BF58:BF59">
    <cfRule type="cellIs" dxfId="50" priority="19" operator="between">
      <formula>61</formula>
      <formula>100</formula>
    </cfRule>
    <cfRule type="cellIs" dxfId="49" priority="20" operator="between">
      <formula>61</formula>
      <formula>100</formula>
    </cfRule>
    <cfRule type="cellIs" dxfId="48" priority="21" operator="between">
      <formula>61</formula>
      <formula>100</formula>
    </cfRule>
  </conditionalFormatting>
  <conditionalFormatting sqref="BH14:BJ15">
    <cfRule type="cellIs" dxfId="47" priority="163" operator="equal">
      <formula>"Dinámica Estructural"</formula>
    </cfRule>
  </conditionalFormatting>
  <conditionalFormatting sqref="BH14:BJ17">
    <cfRule type="cellIs" dxfId="44" priority="158" operator="equal">
      <formula>"Análisis Estructural 3"</formula>
    </cfRule>
    <cfRule type="cellIs" dxfId="43" priority="159" operator="equal">
      <formula>"Análisis Estructural 2"</formula>
    </cfRule>
    <cfRule type="cellIs" dxfId="42" priority="160" operator="equal">
      <formula>"Resistencia de Materiales 3"</formula>
    </cfRule>
    <cfRule type="cellIs" dxfId="45" priority="161" operator="equal">
      <formula>"Resistencia de Materiales 2 ★"</formula>
    </cfRule>
    <cfRule type="cellIs" dxfId="46" priority="162" operator="equal">
      <formula>"Topografía 2 ★"</formula>
    </cfRule>
  </conditionalFormatting>
  <conditionalFormatting sqref="BH14:BJ19">
    <cfRule type="cellIs" dxfId="41" priority="153" operator="equal">
      <formula>"Matemática Básica 2 ★"</formula>
    </cfRule>
  </conditionalFormatting>
  <conditionalFormatting sqref="BH16:BJ17">
    <cfRule type="cellIs" dxfId="37" priority="154" operator="equal">
      <formula>"Diseño de Estructuras Metálicas 2"</formula>
    </cfRule>
    <cfRule type="cellIs" dxfId="39" priority="155" operator="equal">
      <formula>"Diseño de Estructuras Metálicas 2"</formula>
    </cfRule>
    <cfRule type="cellIs" dxfId="38" priority="156" operator="equal">
      <formula>"Diseño de Estructuras Metálicas 1"</formula>
    </cfRule>
    <cfRule type="cellIs" dxfId="40" priority="157" operator="equal">
      <formula>"Diseño de Estructuras en Mamposteria"</formula>
    </cfRule>
  </conditionalFormatting>
  <conditionalFormatting sqref="BH30:BJ31">
    <cfRule type="cellIs" dxfId="31" priority="144" operator="equal">
      <formula>"Planeamiento y Uso de Recursos Hidráulicos ☻"</formula>
    </cfRule>
    <cfRule type="cellIs" dxfId="32" priority="145" operator="equal">
      <formula>"Obras Hidráulicas"</formula>
    </cfRule>
    <cfRule type="cellIs" dxfId="33" priority="146" operator="equal">
      <formula>"Cimentaciones 1 ★"</formula>
    </cfRule>
    <cfRule type="cellIs" dxfId="34" priority="147" operator="equal">
      <formula>"Diseño Estructural ★"</formula>
    </cfRule>
    <cfRule type="cellIs" dxfId="35" priority="148" operator="equal">
      <formula>"Geofísica"</formula>
    </cfRule>
    <cfRule type="cellIs" dxfId="36" priority="149" operator="equal">
      <formula>"Física 2 ★"</formula>
    </cfRule>
    <cfRule type="cellIs" dxfId="28" priority="150" operator="equal">
      <formula>"Física 1 ★"</formula>
    </cfRule>
    <cfRule type="cellIs" dxfId="29" priority="151" operator="equal">
      <formula>"Matemática Intermedia 1 ★"</formula>
    </cfRule>
    <cfRule type="cellIs" dxfId="30" priority="152" operator="equal">
      <formula>"Matemática Básica 2 ★"</formula>
    </cfRule>
  </conditionalFormatting>
  <conditionalFormatting sqref="BH38:BJ39">
    <cfRule type="cellIs" dxfId="23" priority="139" operator="equal">
      <formula>"Urbanismo ☾"</formula>
    </cfRule>
    <cfRule type="cellIs" dxfId="25" priority="140" operator="equal">
      <formula>"Legislación 1 ★"</formula>
    </cfRule>
    <cfRule type="cellIs" dxfId="26" priority="141" operator="equal">
      <formula>"Ecología ★"</formula>
    </cfRule>
    <cfRule type="cellIs" dxfId="27" priority="142" operator="equal">
      <formula>"Geografía"</formula>
    </cfRule>
    <cfRule type="cellIs" dxfId="24" priority="143" operator="equal">
      <formula>"Matemática Básica 2 ★"</formula>
    </cfRule>
  </conditionalFormatting>
  <conditionalFormatting sqref="BH74:BJ75">
    <cfRule type="cellIs" dxfId="18" priority="133" operator="equal">
      <formula>"Preparación y Evaluación de Proyectos 2"</formula>
    </cfRule>
    <cfRule type="cellIs" dxfId="19" priority="134" operator="equal">
      <formula>"Preparación y Evaluación de Proyectos 1 ☾"</formula>
    </cfRule>
    <cfRule type="cellIs" dxfId="20" priority="135" operator="equal">
      <formula>"Costos Presuspuestos y Avaluos ★"</formula>
    </cfRule>
    <cfRule type="cellIs" dxfId="21" priority="136" operator="equal">
      <formula>"Legislación 1 ★"</formula>
    </cfRule>
    <cfRule type="cellIs" dxfId="22" priority="137" operator="equal">
      <formula>"Ecología ★"</formula>
    </cfRule>
    <cfRule type="cellIs" dxfId="17" priority="138" operator="equal">
      <formula>"Geografía"</formula>
    </cfRule>
  </conditionalFormatting>
  <conditionalFormatting sqref="BH74:BJ77">
    <cfRule type="cellIs" dxfId="16" priority="132" operator="equal">
      <formula>"Matemática Básica 2 ★"</formula>
    </cfRule>
  </conditionalFormatting>
  <conditionalFormatting sqref="BH76:BJ77">
    <cfRule type="cellIs" dxfId="12" priority="125" operator="equal">
      <formula>"Práctica Final ★"</formula>
    </cfRule>
    <cfRule type="cellIs" dxfId="15" priority="129" operator="equal">
      <formula>"Práctica Intermedia ★"</formula>
    </cfRule>
    <cfRule type="cellIs" dxfId="14" priority="130" operator="equal">
      <formula>"Práctica Inicial ★"</formula>
    </cfRule>
    <cfRule type="cellIs" dxfId="13" priority="131" operator="equal">
      <formula>"Matemática Intermedia 1 ★"</formula>
    </cfRule>
  </conditionalFormatting>
  <conditionalFormatting sqref="BL14:BL19">
    <cfRule type="cellIs" dxfId="9" priority="10" operator="between">
      <formula>61</formula>
      <formula>100</formula>
    </cfRule>
    <cfRule type="cellIs" dxfId="10" priority="11" operator="between">
      <formula>61</formula>
      <formula>100</formula>
    </cfRule>
    <cfRule type="cellIs" dxfId="11" priority="12" operator="between">
      <formula>61</formula>
      <formula>100</formula>
    </cfRule>
  </conditionalFormatting>
  <conditionalFormatting sqref="BL30:BL31">
    <cfRule type="cellIs" dxfId="6" priority="7" operator="between">
      <formula>61</formula>
      <formula>100</formula>
    </cfRule>
    <cfRule type="cellIs" dxfId="7" priority="8" operator="between">
      <formula>61</formula>
      <formula>100</formula>
    </cfRule>
    <cfRule type="cellIs" dxfId="8" priority="9" operator="between">
      <formula>61</formula>
      <formula>100</formula>
    </cfRule>
  </conditionalFormatting>
  <conditionalFormatting sqref="BL38:BL39">
    <cfRule type="cellIs" dxfId="5" priority="4" operator="between">
      <formula>61</formula>
      <formula>100</formula>
    </cfRule>
    <cfRule type="cellIs" dxfId="4" priority="5" operator="between">
      <formula>61</formula>
      <formula>100</formula>
    </cfRule>
    <cfRule type="cellIs" dxfId="3" priority="6" operator="between">
      <formula>61</formula>
      <formula>100</formula>
    </cfRule>
  </conditionalFormatting>
  <conditionalFormatting sqref="BL70:BL77">
    <cfRule type="cellIs" dxfId="0" priority="1" operator="between">
      <formula>61</formula>
      <formula>100</formula>
    </cfRule>
    <cfRule type="cellIs" dxfId="1" priority="2" operator="between">
      <formula>61</formula>
      <formula>100</formula>
    </cfRule>
    <cfRule type="cellIs" dxfId="2" priority="3" operator="between">
      <formula>61</formula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CA5D-7E34-4EA6-B7FA-4D88038BE971}">
  <dimension ref="C2:H117"/>
  <sheetViews>
    <sheetView workbookViewId="0">
      <selection activeCell="H5" sqref="H5"/>
    </sheetView>
  </sheetViews>
  <sheetFormatPr baseColWidth="10" defaultRowHeight="15" x14ac:dyDescent="0.25"/>
  <cols>
    <col min="4" max="4" width="21.140625" customWidth="1"/>
    <col min="5" max="5" width="24.7109375" customWidth="1"/>
    <col min="6" max="6" width="17.28515625" customWidth="1"/>
    <col min="7" max="7" width="24.28515625" customWidth="1"/>
    <col min="8" max="8" width="14.28515625" customWidth="1"/>
  </cols>
  <sheetData>
    <row r="2" spans="3:8" ht="15.75" thickBot="1" x14ac:dyDescent="0.3"/>
    <row r="3" spans="3:8" x14ac:dyDescent="0.25">
      <c r="C3" s="21" t="s">
        <v>6</v>
      </c>
      <c r="D3" s="22" t="s">
        <v>7</v>
      </c>
      <c r="E3" s="22" t="s">
        <v>8</v>
      </c>
      <c r="F3" s="23" t="s">
        <v>9</v>
      </c>
      <c r="G3" s="24" t="s">
        <v>10</v>
      </c>
    </row>
    <row r="4" spans="3:8" ht="15.75" thickBot="1" x14ac:dyDescent="0.3">
      <c r="C4" s="31"/>
      <c r="D4" s="32"/>
      <c r="E4" s="32"/>
      <c r="F4" s="33"/>
      <c r="G4" s="34"/>
    </row>
    <row r="5" spans="3:8" ht="38.25" customHeight="1" x14ac:dyDescent="0.25">
      <c r="C5" s="55" t="s">
        <v>22</v>
      </c>
      <c r="D5" s="56" t="s">
        <v>23</v>
      </c>
      <c r="E5" s="57">
        <v>4</v>
      </c>
      <c r="F5" s="58">
        <v>69</v>
      </c>
      <c r="G5" s="59" t="s">
        <v>24</v>
      </c>
      <c r="H5" t="str">
        <f>IF(G5="Sí","OBLIGATORIO",IF(G14="","OPTATIVO",""))</f>
        <v>OBLIGATORIO</v>
      </c>
    </row>
    <row r="6" spans="3:8" x14ac:dyDescent="0.25">
      <c r="C6" s="79">
        <v>169</v>
      </c>
      <c r="D6" s="80" t="s">
        <v>25</v>
      </c>
      <c r="E6" s="81">
        <v>7</v>
      </c>
      <c r="F6" s="82">
        <v>61</v>
      </c>
      <c r="G6" s="83" t="s">
        <v>24</v>
      </c>
      <c r="H6" t="str">
        <f t="shared" ref="H6:H69" si="0">IF(G6="Sí","OBLIGATORIO",IF(G15="","OPTATIVO",""))</f>
        <v>OBLIGATORIO</v>
      </c>
    </row>
    <row r="7" spans="3:8" ht="38.25" x14ac:dyDescent="0.25">
      <c r="C7" s="79"/>
      <c r="D7" s="80" t="s">
        <v>28</v>
      </c>
      <c r="E7" s="81">
        <v>1</v>
      </c>
      <c r="F7" s="82">
        <v>72</v>
      </c>
      <c r="G7" s="83" t="s">
        <v>24</v>
      </c>
      <c r="H7" t="str">
        <f t="shared" si="0"/>
        <v>OBLIGATORIO</v>
      </c>
    </row>
    <row r="8" spans="3:8" x14ac:dyDescent="0.25">
      <c r="C8" s="79">
        <v>216</v>
      </c>
      <c r="D8" s="80" t="s">
        <v>29</v>
      </c>
      <c r="E8" s="81">
        <v>3</v>
      </c>
      <c r="F8" s="82">
        <v>64</v>
      </c>
      <c r="G8" s="83" t="s">
        <v>24</v>
      </c>
      <c r="H8" t="str">
        <f t="shared" si="0"/>
        <v>OBLIGATORIO</v>
      </c>
    </row>
    <row r="9" spans="3:8" x14ac:dyDescent="0.25">
      <c r="C9" s="79">
        <v>177</v>
      </c>
      <c r="D9" s="80" t="s">
        <v>31</v>
      </c>
      <c r="E9" s="81">
        <v>1</v>
      </c>
      <c r="F9" s="82">
        <v>75</v>
      </c>
      <c r="G9" s="94"/>
      <c r="H9" t="str">
        <f t="shared" si="0"/>
        <v>OPTATIVO</v>
      </c>
    </row>
    <row r="10" spans="3:8" ht="39" thickBot="1" x14ac:dyDescent="0.3">
      <c r="C10" s="104">
        <v>119</v>
      </c>
      <c r="D10" s="105" t="s">
        <v>32</v>
      </c>
      <c r="E10" s="106">
        <v>3</v>
      </c>
      <c r="F10" s="107">
        <v>63</v>
      </c>
      <c r="G10" s="108" t="s">
        <v>24</v>
      </c>
      <c r="H10" t="str">
        <f t="shared" si="0"/>
        <v>OBLIGATORIO</v>
      </c>
    </row>
    <row r="11" spans="3:8" ht="38.25" x14ac:dyDescent="0.25">
      <c r="C11" s="115" t="s">
        <v>41</v>
      </c>
      <c r="D11" s="116" t="s">
        <v>42</v>
      </c>
      <c r="E11" s="57">
        <v>4</v>
      </c>
      <c r="F11" s="58">
        <v>63</v>
      </c>
      <c r="G11" s="83" t="s">
        <v>24</v>
      </c>
      <c r="H11" t="str">
        <f t="shared" si="0"/>
        <v>OBLIGATORIO</v>
      </c>
    </row>
    <row r="12" spans="3:8" ht="25.5" x14ac:dyDescent="0.25">
      <c r="C12" s="79">
        <v>170</v>
      </c>
      <c r="D12" s="80" t="s">
        <v>43</v>
      </c>
      <c r="E12" s="57">
        <v>7</v>
      </c>
      <c r="F12" s="118">
        <v>61</v>
      </c>
      <c r="G12" s="83" t="s">
        <v>24</v>
      </c>
      <c r="H12" t="str">
        <f t="shared" si="0"/>
        <v>OBLIGATORIO</v>
      </c>
    </row>
    <row r="13" spans="3:8" ht="25.5" x14ac:dyDescent="0.25">
      <c r="C13" s="79">
        <v>72</v>
      </c>
      <c r="D13" s="80" t="s">
        <v>50</v>
      </c>
      <c r="E13" s="57">
        <v>5</v>
      </c>
      <c r="F13" s="118">
        <v>82</v>
      </c>
      <c r="G13" s="83" t="s">
        <v>24</v>
      </c>
      <c r="H13" t="str">
        <f t="shared" si="0"/>
        <v>OBLIGATORIO</v>
      </c>
    </row>
    <row r="14" spans="3:8" ht="63.75" x14ac:dyDescent="0.25">
      <c r="C14" s="123" t="s">
        <v>51</v>
      </c>
      <c r="D14" s="80" t="s">
        <v>52</v>
      </c>
      <c r="E14" s="57">
        <v>3</v>
      </c>
      <c r="F14" s="118">
        <v>61</v>
      </c>
      <c r="G14" s="83" t="s">
        <v>24</v>
      </c>
      <c r="H14" t="str">
        <f t="shared" si="0"/>
        <v>OBLIGATORIO</v>
      </c>
    </row>
    <row r="15" spans="3:8" x14ac:dyDescent="0.25">
      <c r="C15" s="79">
        <v>178</v>
      </c>
      <c r="D15" s="80" t="s">
        <v>58</v>
      </c>
      <c r="E15" s="81">
        <v>1</v>
      </c>
      <c r="F15" s="82">
        <v>68</v>
      </c>
      <c r="G15" s="94"/>
      <c r="H15" t="str">
        <f t="shared" si="0"/>
        <v/>
      </c>
    </row>
    <row r="16" spans="3:8" ht="39" thickBot="1" x14ac:dyDescent="0.3">
      <c r="C16" s="104">
        <v>121</v>
      </c>
      <c r="D16" s="105" t="s">
        <v>60</v>
      </c>
      <c r="E16" s="106">
        <v>3</v>
      </c>
      <c r="F16" s="107">
        <v>66</v>
      </c>
      <c r="G16" s="108" t="s">
        <v>24</v>
      </c>
      <c r="H16" t="str">
        <f t="shared" si="0"/>
        <v>OBLIGATORIO</v>
      </c>
    </row>
    <row r="17" spans="3:8" x14ac:dyDescent="0.25">
      <c r="C17" s="131">
        <v>681</v>
      </c>
      <c r="D17" s="116" t="s">
        <v>65</v>
      </c>
      <c r="E17" s="57" t="s">
        <v>66</v>
      </c>
      <c r="F17" s="82" t="s">
        <v>66</v>
      </c>
      <c r="G17" s="132"/>
      <c r="H17" t="str">
        <f t="shared" si="0"/>
        <v/>
      </c>
    </row>
    <row r="18" spans="3:8" x14ac:dyDescent="0.25">
      <c r="C18" s="79">
        <v>85</v>
      </c>
      <c r="D18" s="80" t="s">
        <v>67</v>
      </c>
      <c r="E18" s="81">
        <v>2</v>
      </c>
      <c r="F18" s="82">
        <v>65</v>
      </c>
      <c r="G18" s="94"/>
      <c r="H18" t="str">
        <f t="shared" si="0"/>
        <v/>
      </c>
    </row>
    <row r="19" spans="3:8" ht="51" x14ac:dyDescent="0.25">
      <c r="C19" s="79">
        <v>290</v>
      </c>
      <c r="D19" s="80" t="s">
        <v>69</v>
      </c>
      <c r="E19" s="81">
        <v>10</v>
      </c>
      <c r="F19" s="82">
        <v>61</v>
      </c>
      <c r="G19" s="83" t="s">
        <v>24</v>
      </c>
      <c r="H19" t="str">
        <f t="shared" si="0"/>
        <v>OBLIGATORIO</v>
      </c>
    </row>
    <row r="20" spans="3:8" x14ac:dyDescent="0.25">
      <c r="C20" s="79">
        <v>146</v>
      </c>
      <c r="D20" s="80" t="s">
        <v>70</v>
      </c>
      <c r="E20" s="81">
        <v>6</v>
      </c>
      <c r="F20" s="82">
        <v>63</v>
      </c>
      <c r="G20" s="83" t="s">
        <v>24</v>
      </c>
      <c r="H20" t="str">
        <f t="shared" si="0"/>
        <v>OBLIGATORIO</v>
      </c>
    </row>
    <row r="21" spans="3:8" x14ac:dyDescent="0.25">
      <c r="C21" s="79">
        <v>217</v>
      </c>
      <c r="D21" s="80" t="s">
        <v>72</v>
      </c>
      <c r="E21" s="81">
        <v>4</v>
      </c>
      <c r="F21" s="82">
        <v>68</v>
      </c>
      <c r="G21" s="94"/>
      <c r="H21" t="str">
        <f t="shared" si="0"/>
        <v/>
      </c>
    </row>
    <row r="22" spans="3:8" ht="26.25" thickBot="1" x14ac:dyDescent="0.3">
      <c r="C22" s="104">
        <v>2394</v>
      </c>
      <c r="D22" s="105" t="s">
        <v>74</v>
      </c>
      <c r="E22" s="106"/>
      <c r="F22" s="107">
        <v>71</v>
      </c>
      <c r="G22" s="108" t="s">
        <v>24</v>
      </c>
      <c r="H22" t="str">
        <f t="shared" si="0"/>
        <v>OBLIGATORIO</v>
      </c>
    </row>
    <row r="23" spans="3:8" ht="25.5" x14ac:dyDescent="0.25">
      <c r="C23" s="131">
        <v>746</v>
      </c>
      <c r="D23" s="116" t="s">
        <v>77</v>
      </c>
      <c r="E23" s="57">
        <v>6</v>
      </c>
      <c r="F23" s="118">
        <v>69</v>
      </c>
      <c r="G23" s="83" t="s">
        <v>24</v>
      </c>
      <c r="H23" t="str">
        <f t="shared" si="0"/>
        <v>OBLIGATORIO</v>
      </c>
    </row>
    <row r="24" spans="3:8" x14ac:dyDescent="0.25">
      <c r="C24" s="79">
        <v>94</v>
      </c>
      <c r="D24" s="80" t="s">
        <v>78</v>
      </c>
      <c r="E24" s="81">
        <v>3</v>
      </c>
      <c r="F24" s="82">
        <v>61</v>
      </c>
      <c r="G24" s="83" t="s">
        <v>24</v>
      </c>
      <c r="H24" t="str">
        <f t="shared" si="0"/>
        <v>OBLIGATORIO</v>
      </c>
    </row>
    <row r="25" spans="3:8" ht="51" x14ac:dyDescent="0.25">
      <c r="C25" s="79">
        <v>291</v>
      </c>
      <c r="D25" s="80" t="s">
        <v>84</v>
      </c>
      <c r="E25" s="81">
        <v>5</v>
      </c>
      <c r="F25" s="82">
        <v>61</v>
      </c>
      <c r="G25" s="83" t="s">
        <v>24</v>
      </c>
      <c r="H25" t="str">
        <f t="shared" si="0"/>
        <v>OBLIGATORIO</v>
      </c>
    </row>
    <row r="26" spans="3:8" ht="51" x14ac:dyDescent="0.25">
      <c r="C26" s="79">
        <v>292</v>
      </c>
      <c r="D26" s="80" t="s">
        <v>85</v>
      </c>
      <c r="E26" s="81">
        <v>5</v>
      </c>
      <c r="F26" s="82">
        <v>77</v>
      </c>
      <c r="G26" s="83" t="s">
        <v>24</v>
      </c>
      <c r="H26" t="str">
        <f t="shared" si="0"/>
        <v>OBLIGATORIO</v>
      </c>
    </row>
    <row r="27" spans="3:8" x14ac:dyDescent="0.25">
      <c r="C27" s="79">
        <v>147</v>
      </c>
      <c r="D27" s="80" t="s">
        <v>89</v>
      </c>
      <c r="E27" s="81">
        <v>6</v>
      </c>
      <c r="F27" s="82">
        <v>79</v>
      </c>
      <c r="G27" s="83" t="s">
        <v>24</v>
      </c>
      <c r="H27" t="str">
        <f t="shared" si="0"/>
        <v>OBLIGATORIO</v>
      </c>
    </row>
    <row r="28" spans="3:8" ht="51" x14ac:dyDescent="0.25">
      <c r="C28" s="79">
        <v>927</v>
      </c>
      <c r="D28" s="80" t="s">
        <v>91</v>
      </c>
      <c r="E28" s="81" t="s">
        <v>66</v>
      </c>
      <c r="F28" s="82" t="s">
        <v>66</v>
      </c>
      <c r="G28" s="94"/>
      <c r="H28" t="str">
        <f t="shared" si="0"/>
        <v/>
      </c>
    </row>
    <row r="29" spans="3:8" ht="25.5" x14ac:dyDescent="0.25">
      <c r="C29" s="79">
        <v>109</v>
      </c>
      <c r="D29" s="80" t="s">
        <v>101</v>
      </c>
      <c r="E29" s="81">
        <v>5</v>
      </c>
      <c r="F29" s="82">
        <v>68</v>
      </c>
      <c r="G29" s="83" t="s">
        <v>24</v>
      </c>
      <c r="H29" t="str">
        <f t="shared" si="0"/>
        <v>OBLIGATORIO</v>
      </c>
    </row>
    <row r="30" spans="3:8" ht="25.5" x14ac:dyDescent="0.25">
      <c r="C30" s="79">
        <v>680</v>
      </c>
      <c r="D30" s="80" t="s">
        <v>102</v>
      </c>
      <c r="E30" s="81">
        <v>3</v>
      </c>
      <c r="F30" s="82">
        <v>72</v>
      </c>
      <c r="G30" s="83" t="s">
        <v>24</v>
      </c>
      <c r="H30" t="str">
        <f t="shared" si="0"/>
        <v>OBLIGATORIO</v>
      </c>
    </row>
    <row r="31" spans="3:8" ht="25.5" x14ac:dyDescent="0.25">
      <c r="C31" s="79">
        <v>949</v>
      </c>
      <c r="D31" s="80" t="s">
        <v>108</v>
      </c>
      <c r="E31" s="81">
        <v>5</v>
      </c>
      <c r="F31" s="82">
        <v>61</v>
      </c>
      <c r="G31" s="83" t="s">
        <v>24</v>
      </c>
      <c r="H31" t="str">
        <f t="shared" si="0"/>
        <v>OBLIGATORIO</v>
      </c>
    </row>
    <row r="32" spans="3:8" x14ac:dyDescent="0.25">
      <c r="C32" s="79">
        <v>930</v>
      </c>
      <c r="D32" s="80" t="s">
        <v>109</v>
      </c>
      <c r="E32" s="81" t="s">
        <v>66</v>
      </c>
      <c r="F32" s="82" t="s">
        <v>66</v>
      </c>
      <c r="G32" s="94"/>
      <c r="H32" t="str">
        <f t="shared" si="0"/>
        <v>OPTATIVO</v>
      </c>
    </row>
    <row r="33" spans="3:8" ht="63.75" x14ac:dyDescent="0.25">
      <c r="C33" s="79"/>
      <c r="D33" s="80" t="s">
        <v>112</v>
      </c>
      <c r="E33" s="81" t="s">
        <v>66</v>
      </c>
      <c r="F33" s="82" t="s">
        <v>66</v>
      </c>
      <c r="G33" s="94"/>
      <c r="H33" t="str">
        <f t="shared" si="0"/>
        <v>OPTATIVO</v>
      </c>
    </row>
    <row r="34" spans="3:8" ht="25.5" x14ac:dyDescent="0.25">
      <c r="C34" s="79">
        <v>694</v>
      </c>
      <c r="D34" s="80" t="s">
        <v>113</v>
      </c>
      <c r="E34" s="81">
        <v>3</v>
      </c>
      <c r="F34" s="82">
        <v>70</v>
      </c>
      <c r="G34" s="94"/>
      <c r="H34" t="str">
        <f t="shared" si="0"/>
        <v>OPTATIVO</v>
      </c>
    </row>
    <row r="35" spans="3:8" ht="26.25" thickBot="1" x14ac:dyDescent="0.3">
      <c r="C35" s="104">
        <v>925</v>
      </c>
      <c r="D35" s="105" t="s">
        <v>115</v>
      </c>
      <c r="E35" s="106" t="s">
        <v>66</v>
      </c>
      <c r="F35" s="107" t="s">
        <v>66</v>
      </c>
      <c r="G35" s="142"/>
      <c r="H35" t="str">
        <f t="shared" si="0"/>
        <v/>
      </c>
    </row>
    <row r="36" spans="3:8" ht="25.5" x14ac:dyDescent="0.25">
      <c r="C36" s="131">
        <v>747</v>
      </c>
      <c r="D36" s="116" t="s">
        <v>116</v>
      </c>
      <c r="E36" s="81">
        <v>6</v>
      </c>
      <c r="F36" s="82">
        <v>82</v>
      </c>
      <c r="G36" s="83" t="s">
        <v>24</v>
      </c>
      <c r="H36" t="str">
        <f t="shared" si="0"/>
        <v>OBLIGATORIO</v>
      </c>
    </row>
    <row r="37" spans="3:8" ht="51" x14ac:dyDescent="0.25">
      <c r="C37" s="79">
        <v>672</v>
      </c>
      <c r="D37" s="80" t="s">
        <v>122</v>
      </c>
      <c r="E37" s="81">
        <v>5</v>
      </c>
      <c r="F37" s="82">
        <v>81</v>
      </c>
      <c r="G37" s="83" t="s">
        <v>24</v>
      </c>
      <c r="H37" t="str">
        <f t="shared" si="0"/>
        <v>OBLIGATORIO</v>
      </c>
    </row>
    <row r="38" spans="3:8" ht="38.25" x14ac:dyDescent="0.25">
      <c r="C38" s="79"/>
      <c r="D38" s="80" t="s">
        <v>123</v>
      </c>
      <c r="E38" s="81" t="s">
        <v>66</v>
      </c>
      <c r="F38" s="82" t="s">
        <v>66</v>
      </c>
      <c r="G38" s="94"/>
      <c r="H38" t="str">
        <f t="shared" si="0"/>
        <v/>
      </c>
    </row>
    <row r="39" spans="3:8" ht="38.25" x14ac:dyDescent="0.25">
      <c r="C39" s="79">
        <v>678</v>
      </c>
      <c r="D39" s="80" t="s">
        <v>79</v>
      </c>
      <c r="E39" s="81" t="s">
        <v>66</v>
      </c>
      <c r="F39" s="82" t="s">
        <v>66</v>
      </c>
      <c r="G39" s="94"/>
      <c r="H39" t="str">
        <f t="shared" si="0"/>
        <v>OPTATIVO</v>
      </c>
    </row>
    <row r="40" spans="3:8" ht="25.5" x14ac:dyDescent="0.25">
      <c r="C40" s="79">
        <v>671</v>
      </c>
      <c r="D40" s="80" t="s">
        <v>126</v>
      </c>
      <c r="E40" s="81">
        <v>6</v>
      </c>
      <c r="F40" s="82">
        <v>63</v>
      </c>
      <c r="G40" s="83" t="s">
        <v>24</v>
      </c>
      <c r="H40" t="str">
        <f t="shared" si="0"/>
        <v>OBLIGATORIO</v>
      </c>
    </row>
    <row r="41" spans="3:8" ht="25.5" x14ac:dyDescent="0.25">
      <c r="C41" s="79"/>
      <c r="D41" s="80" t="s">
        <v>128</v>
      </c>
      <c r="E41" s="81" t="s">
        <v>66</v>
      </c>
      <c r="F41" s="82" t="s">
        <v>66</v>
      </c>
      <c r="G41" s="94"/>
      <c r="H41" t="str">
        <f t="shared" si="0"/>
        <v>OPTATIVO</v>
      </c>
    </row>
    <row r="42" spans="3:8" ht="38.25" x14ac:dyDescent="0.25">
      <c r="C42" s="79">
        <v>690</v>
      </c>
      <c r="D42" s="80" t="s">
        <v>129</v>
      </c>
      <c r="E42" s="81">
        <v>5</v>
      </c>
      <c r="F42" s="82">
        <v>65</v>
      </c>
      <c r="G42" s="94"/>
      <c r="H42" t="str">
        <f t="shared" si="0"/>
        <v>OPTATIVO</v>
      </c>
    </row>
    <row r="43" spans="3:8" ht="38.25" x14ac:dyDescent="0.25">
      <c r="C43" s="79">
        <v>674</v>
      </c>
      <c r="D43" s="80" t="s">
        <v>135</v>
      </c>
      <c r="E43" s="81">
        <v>5</v>
      </c>
      <c r="F43" s="82">
        <v>64</v>
      </c>
      <c r="G43" s="94"/>
      <c r="H43" t="str">
        <f t="shared" si="0"/>
        <v>OPTATIVO</v>
      </c>
    </row>
    <row r="44" spans="3:8" ht="38.25" x14ac:dyDescent="0.25">
      <c r="C44" s="79">
        <v>673</v>
      </c>
      <c r="D44" s="80" t="s">
        <v>136</v>
      </c>
      <c r="E44" s="81">
        <v>6</v>
      </c>
      <c r="F44" s="82">
        <v>68</v>
      </c>
      <c r="G44" s="83" t="s">
        <v>24</v>
      </c>
      <c r="H44" t="str">
        <f t="shared" si="0"/>
        <v>OBLIGATORIO</v>
      </c>
    </row>
    <row r="45" spans="3:8" ht="51" x14ac:dyDescent="0.25">
      <c r="C45" s="79">
        <v>87</v>
      </c>
      <c r="D45" s="80" t="s">
        <v>143</v>
      </c>
      <c r="E45" s="81">
        <v>3</v>
      </c>
      <c r="F45" s="82">
        <v>63</v>
      </c>
      <c r="G45" s="83" t="s">
        <v>24</v>
      </c>
      <c r="H45" t="str">
        <f t="shared" si="0"/>
        <v>OBLIGATORIO</v>
      </c>
    </row>
    <row r="46" spans="3:8" ht="25.5" x14ac:dyDescent="0.25">
      <c r="C46" s="79">
        <v>764</v>
      </c>
      <c r="D46" s="80" t="s">
        <v>144</v>
      </c>
      <c r="E46" s="81">
        <v>3</v>
      </c>
      <c r="F46" s="82">
        <v>76</v>
      </c>
      <c r="G46" s="94"/>
      <c r="H46" t="str">
        <f t="shared" si="0"/>
        <v>OPTATIVO</v>
      </c>
    </row>
    <row r="47" spans="3:8" ht="25.5" x14ac:dyDescent="0.25">
      <c r="C47" s="79">
        <v>670</v>
      </c>
      <c r="D47" s="80" t="s">
        <v>152</v>
      </c>
      <c r="E47" s="81">
        <v>5</v>
      </c>
      <c r="F47" s="82">
        <v>80</v>
      </c>
      <c r="G47" s="83" t="s">
        <v>24</v>
      </c>
      <c r="H47" t="str">
        <f t="shared" si="0"/>
        <v>OBLIGATORIO</v>
      </c>
    </row>
    <row r="48" spans="3:8" ht="25.5" x14ac:dyDescent="0.25">
      <c r="C48" s="79">
        <v>1060</v>
      </c>
      <c r="D48" s="80" t="s">
        <v>153</v>
      </c>
      <c r="E48" s="81" t="s">
        <v>66</v>
      </c>
      <c r="F48" s="82" t="s">
        <v>66</v>
      </c>
      <c r="G48" s="94"/>
      <c r="H48" t="str">
        <f t="shared" si="0"/>
        <v/>
      </c>
    </row>
    <row r="49" spans="3:8" x14ac:dyDescent="0.25">
      <c r="C49" s="79">
        <v>920</v>
      </c>
      <c r="D49" s="80" t="s">
        <v>163</v>
      </c>
      <c r="E49" s="81" t="s">
        <v>66</v>
      </c>
      <c r="F49" s="82" t="s">
        <v>66</v>
      </c>
      <c r="G49" s="94"/>
      <c r="H49" t="str">
        <f t="shared" si="0"/>
        <v/>
      </c>
    </row>
    <row r="50" spans="3:8" x14ac:dyDescent="0.25">
      <c r="C50" s="79">
        <v>1068</v>
      </c>
      <c r="D50" s="80" t="s">
        <v>164</v>
      </c>
      <c r="E50" s="81" t="s">
        <v>66</v>
      </c>
      <c r="F50" s="82" t="s">
        <v>66</v>
      </c>
      <c r="G50" s="94"/>
      <c r="H50" t="str">
        <f t="shared" si="0"/>
        <v/>
      </c>
    </row>
    <row r="51" spans="3:8" ht="38.25" x14ac:dyDescent="0.25">
      <c r="C51" s="79">
        <v>792</v>
      </c>
      <c r="D51" s="80" t="s">
        <v>167</v>
      </c>
      <c r="E51" s="81" t="s">
        <v>66</v>
      </c>
      <c r="F51" s="82" t="s">
        <v>66</v>
      </c>
      <c r="G51" s="94"/>
      <c r="H51" t="str">
        <f t="shared" si="0"/>
        <v/>
      </c>
    </row>
    <row r="52" spans="3:8" ht="38.25" x14ac:dyDescent="0.25">
      <c r="C52" s="79">
        <v>926</v>
      </c>
      <c r="D52" s="80" t="s">
        <v>168</v>
      </c>
      <c r="E52" s="81" t="s">
        <v>66</v>
      </c>
      <c r="F52" s="82" t="s">
        <v>66</v>
      </c>
      <c r="G52" s="94"/>
      <c r="H52" t="str">
        <f t="shared" si="0"/>
        <v>OPTATIVO</v>
      </c>
    </row>
    <row r="53" spans="3:8" ht="25.5" x14ac:dyDescent="0.25">
      <c r="C53" s="79">
        <v>779</v>
      </c>
      <c r="D53" s="80" t="s">
        <v>172</v>
      </c>
      <c r="E53" s="81" t="s">
        <v>66</v>
      </c>
      <c r="F53" s="82" t="s">
        <v>66</v>
      </c>
      <c r="G53" s="94"/>
      <c r="H53" t="str">
        <f t="shared" si="0"/>
        <v>OPTATIVO</v>
      </c>
    </row>
    <row r="54" spans="3:8" ht="25.5" x14ac:dyDescent="0.25">
      <c r="C54" s="79">
        <v>950</v>
      </c>
      <c r="D54" s="80" t="s">
        <v>173</v>
      </c>
      <c r="E54" s="81" t="s">
        <v>66</v>
      </c>
      <c r="F54" s="82" t="s">
        <v>66</v>
      </c>
      <c r="G54" s="94"/>
      <c r="H54" t="str">
        <f t="shared" si="0"/>
        <v>OPTATIVO</v>
      </c>
    </row>
    <row r="55" spans="3:8" ht="39" thickBot="1" x14ac:dyDescent="0.3">
      <c r="C55" s="104">
        <v>928</v>
      </c>
      <c r="D55" s="105" t="s">
        <v>177</v>
      </c>
      <c r="E55" s="106" t="s">
        <v>66</v>
      </c>
      <c r="F55" s="107" t="s">
        <v>66</v>
      </c>
      <c r="G55" s="142"/>
      <c r="H55" t="str">
        <f t="shared" si="0"/>
        <v>OPTATIVO</v>
      </c>
    </row>
    <row r="56" spans="3:8" ht="25.5" x14ac:dyDescent="0.25">
      <c r="C56" s="131">
        <v>1073</v>
      </c>
      <c r="D56" s="116" t="s">
        <v>16</v>
      </c>
      <c r="E56" s="81" t="s">
        <v>66</v>
      </c>
      <c r="F56" s="82" t="s">
        <v>66</v>
      </c>
      <c r="G56" s="132"/>
      <c r="H56" t="str">
        <f t="shared" si="0"/>
        <v>OPTATIVO</v>
      </c>
    </row>
    <row r="57" spans="3:8" ht="51" x14ac:dyDescent="0.25">
      <c r="C57" s="79">
        <v>677</v>
      </c>
      <c r="D57" s="80" t="s">
        <v>186</v>
      </c>
      <c r="E57" s="81">
        <v>5</v>
      </c>
      <c r="F57" s="82">
        <v>63</v>
      </c>
      <c r="G57" s="83" t="s">
        <v>24</v>
      </c>
      <c r="H57" t="str">
        <f t="shared" si="0"/>
        <v>OBLIGATORIO</v>
      </c>
    </row>
    <row r="58" spans="3:8" ht="51" x14ac:dyDescent="0.25">
      <c r="C58" s="79">
        <v>679</v>
      </c>
      <c r="D58" s="80" t="s">
        <v>187</v>
      </c>
      <c r="E58" s="81">
        <v>6</v>
      </c>
      <c r="F58" s="82">
        <v>71</v>
      </c>
      <c r="G58" s="83" t="s">
        <v>24</v>
      </c>
      <c r="H58" t="str">
        <f t="shared" si="0"/>
        <v>OBLIGATORIO</v>
      </c>
    </row>
    <row r="59" spans="3:8" ht="25.5" x14ac:dyDescent="0.25">
      <c r="C59" s="79">
        <v>748</v>
      </c>
      <c r="D59" s="80" t="s">
        <v>192</v>
      </c>
      <c r="E59" s="81">
        <v>5</v>
      </c>
      <c r="F59" s="82">
        <v>76</v>
      </c>
      <c r="G59" s="83" t="s">
        <v>24</v>
      </c>
      <c r="H59" t="str">
        <f t="shared" si="0"/>
        <v>OBLIGATORIO</v>
      </c>
    </row>
    <row r="60" spans="3:8" x14ac:dyDescent="0.25">
      <c r="C60" s="79">
        <v>686</v>
      </c>
      <c r="D60" s="80" t="s">
        <v>193</v>
      </c>
      <c r="E60" s="81">
        <v>6</v>
      </c>
      <c r="F60" s="82">
        <v>61</v>
      </c>
      <c r="G60" s="83" t="s">
        <v>24</v>
      </c>
      <c r="H60" t="str">
        <f t="shared" si="0"/>
        <v>OBLIGATORIO</v>
      </c>
    </row>
    <row r="61" spans="3:8" ht="38.25" x14ac:dyDescent="0.25">
      <c r="C61" s="79">
        <v>922</v>
      </c>
      <c r="D61" s="80" t="s">
        <v>119</v>
      </c>
      <c r="E61" s="81" t="s">
        <v>66</v>
      </c>
      <c r="F61" s="82" t="s">
        <v>66</v>
      </c>
      <c r="G61" s="94"/>
      <c r="H61" t="str">
        <f t="shared" si="0"/>
        <v/>
      </c>
    </row>
    <row r="62" spans="3:8" ht="38.25" x14ac:dyDescent="0.25">
      <c r="C62" s="79">
        <v>905</v>
      </c>
      <c r="D62" s="80" t="s">
        <v>142</v>
      </c>
      <c r="E62" s="81" t="s">
        <v>66</v>
      </c>
      <c r="F62" s="82" t="s">
        <v>66</v>
      </c>
      <c r="G62" s="94"/>
      <c r="H62" t="str">
        <f t="shared" si="0"/>
        <v/>
      </c>
    </row>
    <row r="63" spans="3:8" ht="38.25" x14ac:dyDescent="0.25">
      <c r="C63" s="79">
        <v>904</v>
      </c>
      <c r="D63" s="80" t="s">
        <v>151</v>
      </c>
      <c r="E63" s="81" t="s">
        <v>66</v>
      </c>
      <c r="F63" s="82" t="s">
        <v>66</v>
      </c>
      <c r="G63" s="94"/>
      <c r="H63" t="str">
        <f t="shared" si="0"/>
        <v>OPTATIVO</v>
      </c>
    </row>
    <row r="64" spans="3:8" ht="51" x14ac:dyDescent="0.25">
      <c r="C64" s="79">
        <v>794</v>
      </c>
      <c r="D64" s="80" t="s">
        <v>162</v>
      </c>
      <c r="E64" s="81" t="s">
        <v>66</v>
      </c>
      <c r="F64" s="82" t="s">
        <v>66</v>
      </c>
      <c r="G64" s="94"/>
      <c r="H64" t="str">
        <f t="shared" si="0"/>
        <v>OPTATIVO</v>
      </c>
    </row>
    <row r="65" spans="3:8" ht="25.5" x14ac:dyDescent="0.25">
      <c r="C65" s="79">
        <v>676</v>
      </c>
      <c r="D65" s="80" t="s">
        <v>182</v>
      </c>
      <c r="E65" s="81" t="s">
        <v>66</v>
      </c>
      <c r="F65" s="82" t="s">
        <v>66</v>
      </c>
      <c r="G65" s="94"/>
      <c r="H65" t="str">
        <f t="shared" si="0"/>
        <v/>
      </c>
    </row>
    <row r="66" spans="3:8" ht="51.75" thickBot="1" x14ac:dyDescent="0.3">
      <c r="C66" s="104">
        <v>685</v>
      </c>
      <c r="D66" s="105" t="s">
        <v>199</v>
      </c>
      <c r="E66" s="106" t="s">
        <v>66</v>
      </c>
      <c r="F66" s="107" t="s">
        <v>66</v>
      </c>
      <c r="G66" s="142"/>
      <c r="H66" t="str">
        <f t="shared" si="0"/>
        <v>OPTATIVO</v>
      </c>
    </row>
    <row r="67" spans="3:8" ht="38.25" x14ac:dyDescent="0.25">
      <c r="C67" s="131">
        <v>940</v>
      </c>
      <c r="D67" s="116" t="s">
        <v>201</v>
      </c>
      <c r="E67" s="81">
        <v>6</v>
      </c>
      <c r="F67" s="82">
        <v>81</v>
      </c>
      <c r="G67" s="83" t="s">
        <v>24</v>
      </c>
      <c r="H67" t="str">
        <f t="shared" si="0"/>
        <v>OBLIGATORIO</v>
      </c>
    </row>
    <row r="68" spans="3:8" ht="51" x14ac:dyDescent="0.25">
      <c r="C68" s="79">
        <v>924</v>
      </c>
      <c r="D68" s="80" t="s">
        <v>38</v>
      </c>
      <c r="E68" s="81" t="s">
        <v>66</v>
      </c>
      <c r="F68" s="82" t="s">
        <v>66</v>
      </c>
      <c r="G68" s="94"/>
      <c r="H68" t="str">
        <f t="shared" si="0"/>
        <v/>
      </c>
    </row>
    <row r="69" spans="3:8" ht="38.25" x14ac:dyDescent="0.25">
      <c r="C69" s="79">
        <v>745</v>
      </c>
      <c r="D69" s="80" t="s">
        <v>208</v>
      </c>
      <c r="E69" s="81">
        <v>6</v>
      </c>
      <c r="F69" s="82">
        <v>79</v>
      </c>
      <c r="G69" s="83" t="s">
        <v>24</v>
      </c>
      <c r="H69" t="str">
        <f t="shared" si="0"/>
        <v>OBLIGATORIO</v>
      </c>
    </row>
    <row r="70" spans="3:8" ht="25.5" x14ac:dyDescent="0.25">
      <c r="C70" s="79">
        <v>935</v>
      </c>
      <c r="D70" s="80" t="s">
        <v>209</v>
      </c>
      <c r="E70" s="81">
        <v>5</v>
      </c>
      <c r="F70" s="82">
        <v>83</v>
      </c>
      <c r="G70" s="83" t="s">
        <v>24</v>
      </c>
      <c r="H70" t="str">
        <f t="shared" ref="H70:H117" si="1">IF(G70="Sí","OBLIGATORIO",IF(G79="","OPTATIVO",""))</f>
        <v>OBLIGATORIO</v>
      </c>
    </row>
    <row r="71" spans="3:8" x14ac:dyDescent="0.25">
      <c r="C71" s="79">
        <v>749</v>
      </c>
      <c r="D71" s="80" t="s">
        <v>214</v>
      </c>
      <c r="E71" s="81">
        <v>6</v>
      </c>
      <c r="F71" s="82">
        <v>87</v>
      </c>
      <c r="G71" s="83" t="s">
        <v>24</v>
      </c>
      <c r="H71" t="str">
        <f t="shared" si="1"/>
        <v>OBLIGATORIO</v>
      </c>
    </row>
    <row r="72" spans="3:8" ht="25.5" x14ac:dyDescent="0.25">
      <c r="C72" s="79">
        <v>1061</v>
      </c>
      <c r="D72" s="80" t="s">
        <v>104</v>
      </c>
      <c r="E72" s="81" t="s">
        <v>66</v>
      </c>
      <c r="F72" s="82" t="s">
        <v>66</v>
      </c>
      <c r="G72" s="94"/>
      <c r="H72" t="str">
        <f t="shared" si="1"/>
        <v>OPTATIVO</v>
      </c>
    </row>
    <row r="73" spans="3:8" ht="25.5" x14ac:dyDescent="0.25">
      <c r="C73" s="79">
        <v>769</v>
      </c>
      <c r="D73" s="80" t="s">
        <v>110</v>
      </c>
      <c r="E73" s="81" t="s">
        <v>66</v>
      </c>
      <c r="F73" s="82" t="s">
        <v>66</v>
      </c>
      <c r="G73" s="94"/>
      <c r="H73" t="str">
        <f t="shared" si="1"/>
        <v>OPTATIVO</v>
      </c>
    </row>
    <row r="74" spans="3:8" ht="38.25" x14ac:dyDescent="0.25">
      <c r="C74" s="79">
        <v>945</v>
      </c>
      <c r="D74" s="80" t="s">
        <v>217</v>
      </c>
      <c r="E74" s="81">
        <v>5</v>
      </c>
      <c r="F74" s="82">
        <v>88</v>
      </c>
      <c r="G74" s="83" t="s">
        <v>24</v>
      </c>
      <c r="H74" t="str">
        <f t="shared" si="1"/>
        <v>OBLIGATORIO</v>
      </c>
    </row>
    <row r="75" spans="3:8" ht="51" x14ac:dyDescent="0.25">
      <c r="C75" s="79">
        <v>943</v>
      </c>
      <c r="D75" s="80" t="s">
        <v>224</v>
      </c>
      <c r="E75" s="81">
        <v>5</v>
      </c>
      <c r="F75" s="82">
        <v>68</v>
      </c>
      <c r="G75" s="94"/>
      <c r="H75" t="str">
        <f t="shared" si="1"/>
        <v/>
      </c>
    </row>
    <row r="76" spans="3:8" ht="51" x14ac:dyDescent="0.25">
      <c r="C76" s="79">
        <v>795</v>
      </c>
      <c r="D76" s="80" t="s">
        <v>225</v>
      </c>
      <c r="E76" s="81" t="s">
        <v>66</v>
      </c>
      <c r="F76" s="82" t="s">
        <v>66</v>
      </c>
      <c r="G76" s="94"/>
      <c r="H76" t="str">
        <f t="shared" si="1"/>
        <v/>
      </c>
    </row>
    <row r="77" spans="3:8" ht="26.25" thickBot="1" x14ac:dyDescent="0.3">
      <c r="C77" s="104">
        <v>2585</v>
      </c>
      <c r="D77" s="105" t="s">
        <v>226</v>
      </c>
      <c r="E77" s="106"/>
      <c r="F77" s="107">
        <v>89</v>
      </c>
      <c r="G77" s="108" t="s">
        <v>24</v>
      </c>
      <c r="H77" t="str">
        <f t="shared" si="1"/>
        <v>OBLIGATORIO</v>
      </c>
    </row>
    <row r="78" spans="3:8" ht="25.5" x14ac:dyDescent="0.25">
      <c r="C78" s="131">
        <v>1074</v>
      </c>
      <c r="D78" s="116" t="s">
        <v>19</v>
      </c>
      <c r="E78" s="81" t="s">
        <v>66</v>
      </c>
      <c r="F78" s="82" t="s">
        <v>66</v>
      </c>
      <c r="G78" s="132"/>
      <c r="H78" t="str">
        <f t="shared" si="1"/>
        <v>OPTATIVO</v>
      </c>
    </row>
    <row r="79" spans="3:8" ht="38.25" x14ac:dyDescent="0.25">
      <c r="C79" s="79">
        <v>1075</v>
      </c>
      <c r="D79" s="80" t="s">
        <v>27</v>
      </c>
      <c r="E79" s="81" t="s">
        <v>66</v>
      </c>
      <c r="F79" s="82" t="s">
        <v>66</v>
      </c>
      <c r="G79" s="94"/>
      <c r="H79" t="str">
        <f t="shared" si="1"/>
        <v>OPTATIVO</v>
      </c>
    </row>
    <row r="80" spans="3:8" ht="38.25" x14ac:dyDescent="0.25">
      <c r="C80" s="79">
        <v>1063</v>
      </c>
      <c r="D80" s="80" t="s">
        <v>30</v>
      </c>
      <c r="E80" s="81" t="s">
        <v>66</v>
      </c>
      <c r="F80" s="82" t="s">
        <v>66</v>
      </c>
      <c r="G80" s="94"/>
      <c r="H80" t="str">
        <f t="shared" si="1"/>
        <v/>
      </c>
    </row>
    <row r="81" spans="3:8" ht="38.25" x14ac:dyDescent="0.25">
      <c r="C81" s="79">
        <v>1053</v>
      </c>
      <c r="D81" s="80" t="s">
        <v>39</v>
      </c>
      <c r="E81" s="81" t="s">
        <v>66</v>
      </c>
      <c r="F81" s="82" t="s">
        <v>66</v>
      </c>
      <c r="G81" s="94"/>
      <c r="H81" t="str">
        <f t="shared" si="1"/>
        <v/>
      </c>
    </row>
    <row r="82" spans="3:8" ht="25.5" x14ac:dyDescent="0.25">
      <c r="C82" s="79">
        <v>1072</v>
      </c>
      <c r="D82" s="80" t="s">
        <v>47</v>
      </c>
      <c r="E82" s="81" t="s">
        <v>66</v>
      </c>
      <c r="F82" s="82" t="s">
        <v>66</v>
      </c>
      <c r="G82" s="94"/>
      <c r="H82" t="str">
        <f t="shared" si="1"/>
        <v/>
      </c>
    </row>
    <row r="83" spans="3:8" ht="25.5" x14ac:dyDescent="0.25">
      <c r="C83" s="79">
        <v>936</v>
      </c>
      <c r="D83" s="80" t="s">
        <v>227</v>
      </c>
      <c r="E83" s="81">
        <v>5</v>
      </c>
      <c r="F83" s="82">
        <v>84</v>
      </c>
      <c r="G83" s="83" t="s">
        <v>24</v>
      </c>
      <c r="H83" t="str">
        <f t="shared" si="1"/>
        <v>OBLIGATORIO</v>
      </c>
    </row>
    <row r="84" spans="3:8" ht="25.5" x14ac:dyDescent="0.25">
      <c r="C84" s="79">
        <v>932</v>
      </c>
      <c r="D84" s="80" t="s">
        <v>228</v>
      </c>
      <c r="E84" s="81">
        <v>5</v>
      </c>
      <c r="F84" s="82">
        <v>61</v>
      </c>
      <c r="G84" s="83" t="s">
        <v>24</v>
      </c>
      <c r="H84" t="str">
        <f t="shared" si="1"/>
        <v>OBLIGATORIO</v>
      </c>
    </row>
    <row r="85" spans="3:8" ht="25.5" x14ac:dyDescent="0.25">
      <c r="C85" s="79">
        <v>799</v>
      </c>
      <c r="D85" s="80" t="s">
        <v>229</v>
      </c>
      <c r="E85" s="81">
        <v>5</v>
      </c>
      <c r="F85" s="82">
        <v>61</v>
      </c>
      <c r="G85" s="83" t="s">
        <v>24</v>
      </c>
      <c r="H85" t="str">
        <f t="shared" si="1"/>
        <v>OBLIGATORIO</v>
      </c>
    </row>
    <row r="86" spans="3:8" ht="25.5" x14ac:dyDescent="0.25">
      <c r="C86" s="79">
        <v>1067</v>
      </c>
      <c r="D86" s="80" t="s">
        <v>87</v>
      </c>
      <c r="E86" s="81" t="s">
        <v>66</v>
      </c>
      <c r="F86" s="82" t="s">
        <v>66</v>
      </c>
      <c r="G86" s="94"/>
      <c r="H86" t="str">
        <f t="shared" si="1"/>
        <v>OPTATIVO</v>
      </c>
    </row>
    <row r="87" spans="3:8" ht="38.25" x14ac:dyDescent="0.25">
      <c r="C87" s="79">
        <v>1052</v>
      </c>
      <c r="D87" s="80" t="s">
        <v>230</v>
      </c>
      <c r="E87" s="81" t="s">
        <v>66</v>
      </c>
      <c r="F87" s="82" t="s">
        <v>66</v>
      </c>
      <c r="G87" s="94"/>
      <c r="H87" t="str">
        <f t="shared" si="1"/>
        <v>OPTATIVO</v>
      </c>
    </row>
    <row r="88" spans="3:8" ht="38.25" x14ac:dyDescent="0.25">
      <c r="C88" s="79">
        <v>920</v>
      </c>
      <c r="D88" s="80" t="s">
        <v>231</v>
      </c>
      <c r="E88" s="81" t="s">
        <v>66</v>
      </c>
      <c r="F88" s="82" t="s">
        <v>66</v>
      </c>
      <c r="G88" s="94"/>
      <c r="H88" t="str">
        <f t="shared" si="1"/>
        <v/>
      </c>
    </row>
    <row r="89" spans="3:8" ht="25.5" x14ac:dyDescent="0.25">
      <c r="C89" s="79">
        <v>791</v>
      </c>
      <c r="D89" s="80" t="s">
        <v>232</v>
      </c>
      <c r="E89" s="81">
        <v>5</v>
      </c>
      <c r="F89" s="82">
        <v>65</v>
      </c>
      <c r="G89" s="83" t="s">
        <v>24</v>
      </c>
      <c r="H89" t="str">
        <f t="shared" si="1"/>
        <v>OBLIGATORIO</v>
      </c>
    </row>
    <row r="90" spans="3:8" ht="25.5" x14ac:dyDescent="0.25">
      <c r="C90" s="79">
        <v>798</v>
      </c>
      <c r="D90" s="80" t="s">
        <v>233</v>
      </c>
      <c r="E90" s="81">
        <v>5</v>
      </c>
      <c r="F90" s="82">
        <v>63</v>
      </c>
      <c r="G90" s="83" t="s">
        <v>24</v>
      </c>
      <c r="H90" t="str">
        <f t="shared" si="1"/>
        <v>OBLIGATORIO</v>
      </c>
    </row>
    <row r="91" spans="3:8" ht="25.5" x14ac:dyDescent="0.25">
      <c r="C91" s="79">
        <v>906</v>
      </c>
      <c r="D91" s="80" t="s">
        <v>234</v>
      </c>
      <c r="E91" s="81">
        <v>6</v>
      </c>
      <c r="F91" s="82">
        <v>62</v>
      </c>
      <c r="G91" s="83" t="s">
        <v>24</v>
      </c>
      <c r="H91" t="str">
        <f t="shared" si="1"/>
        <v>OBLIGATORIO</v>
      </c>
    </row>
    <row r="92" spans="3:8" ht="51.75" thickBot="1" x14ac:dyDescent="0.3">
      <c r="C92" s="104">
        <v>944</v>
      </c>
      <c r="D92" s="105" t="s">
        <v>206</v>
      </c>
      <c r="E92" s="106" t="s">
        <v>66</v>
      </c>
      <c r="F92" s="107" t="s">
        <v>66</v>
      </c>
      <c r="G92" s="142"/>
      <c r="H92" t="str">
        <f t="shared" si="1"/>
        <v>OPTATIVO</v>
      </c>
    </row>
    <row r="93" spans="3:8" ht="51" x14ac:dyDescent="0.25">
      <c r="C93" s="190"/>
      <c r="D93" s="56" t="s">
        <v>235</v>
      </c>
      <c r="E93" s="191">
        <v>4</v>
      </c>
      <c r="F93" s="58">
        <v>70</v>
      </c>
      <c r="G93" s="83" t="s">
        <v>24</v>
      </c>
      <c r="H93" t="str">
        <f t="shared" si="1"/>
        <v>OBLIGATORIO</v>
      </c>
    </row>
    <row r="94" spans="3:8" ht="25.5" x14ac:dyDescent="0.25">
      <c r="C94" s="131">
        <v>1062</v>
      </c>
      <c r="D94" s="116" t="s">
        <v>236</v>
      </c>
      <c r="E94" s="81" t="s">
        <v>66</v>
      </c>
      <c r="F94" s="82" t="s">
        <v>66</v>
      </c>
      <c r="G94" s="94"/>
      <c r="H94" t="str">
        <f t="shared" si="1"/>
        <v>OPTATIVO</v>
      </c>
    </row>
    <row r="95" spans="3:8" ht="38.25" x14ac:dyDescent="0.25">
      <c r="C95" s="79">
        <v>1054</v>
      </c>
      <c r="D95" s="80" t="s">
        <v>237</v>
      </c>
      <c r="E95" s="81" t="s">
        <v>66</v>
      </c>
      <c r="F95" s="82" t="s">
        <v>66</v>
      </c>
      <c r="G95" s="94"/>
      <c r="H95" t="str">
        <f t="shared" si="1"/>
        <v>OPTATIVO</v>
      </c>
    </row>
    <row r="96" spans="3:8" ht="63.75" x14ac:dyDescent="0.25">
      <c r="C96" s="79">
        <v>1057</v>
      </c>
      <c r="D96" s="80" t="s">
        <v>238</v>
      </c>
      <c r="E96" s="81">
        <v>5</v>
      </c>
      <c r="F96" s="82">
        <v>76</v>
      </c>
      <c r="G96" s="94"/>
      <c r="H96" t="str">
        <f t="shared" si="1"/>
        <v/>
      </c>
    </row>
    <row r="97" spans="3:8" x14ac:dyDescent="0.25">
      <c r="C97" s="79">
        <v>1071</v>
      </c>
      <c r="D97" s="80" t="s">
        <v>239</v>
      </c>
      <c r="E97" s="81">
        <v>5</v>
      </c>
      <c r="F97" s="82">
        <v>63</v>
      </c>
      <c r="G97" s="83" t="s">
        <v>24</v>
      </c>
      <c r="H97" t="str">
        <f t="shared" si="1"/>
        <v>OBLIGATORIO</v>
      </c>
    </row>
    <row r="98" spans="3:8" ht="38.25" x14ac:dyDescent="0.25">
      <c r="C98" s="79">
        <v>1055</v>
      </c>
      <c r="D98" s="80" t="s">
        <v>68</v>
      </c>
      <c r="E98" s="81" t="s">
        <v>66</v>
      </c>
      <c r="F98" s="82" t="s">
        <v>66</v>
      </c>
      <c r="G98" s="94"/>
      <c r="H98" t="str">
        <f t="shared" si="1"/>
        <v/>
      </c>
    </row>
    <row r="99" spans="3:8" ht="63.75" x14ac:dyDescent="0.25">
      <c r="C99" s="79">
        <v>1058</v>
      </c>
      <c r="D99" s="80" t="s">
        <v>71</v>
      </c>
      <c r="E99" s="81" t="s">
        <v>66</v>
      </c>
      <c r="F99" s="82" t="s">
        <v>66</v>
      </c>
      <c r="G99" s="94"/>
      <c r="H99" t="str">
        <f t="shared" si="1"/>
        <v>OPTATIVO</v>
      </c>
    </row>
    <row r="100" spans="3:8" ht="25.5" x14ac:dyDescent="0.25">
      <c r="C100" s="79">
        <v>1070</v>
      </c>
      <c r="D100" s="80" t="s">
        <v>240</v>
      </c>
      <c r="E100" s="81" t="s">
        <v>66</v>
      </c>
      <c r="F100" s="82" t="s">
        <v>66</v>
      </c>
      <c r="G100" s="94"/>
      <c r="H100" t="str">
        <f t="shared" si="1"/>
        <v>OPTATIVO</v>
      </c>
    </row>
    <row r="101" spans="3:8" ht="51" x14ac:dyDescent="0.25">
      <c r="C101" s="79">
        <v>1066</v>
      </c>
      <c r="D101" s="80" t="s">
        <v>241</v>
      </c>
      <c r="E101" s="81" t="s">
        <v>66</v>
      </c>
      <c r="F101" s="82" t="s">
        <v>66</v>
      </c>
      <c r="G101" s="94"/>
      <c r="H101" t="str">
        <f t="shared" si="1"/>
        <v>OPTATIVO</v>
      </c>
    </row>
    <row r="102" spans="3:8" ht="25.5" x14ac:dyDescent="0.25">
      <c r="C102" s="79">
        <v>934</v>
      </c>
      <c r="D102" s="80" t="s">
        <v>88</v>
      </c>
      <c r="E102" s="81" t="s">
        <v>66</v>
      </c>
      <c r="F102" s="82" t="s">
        <v>66</v>
      </c>
      <c r="G102" s="94"/>
      <c r="H102" t="str">
        <f t="shared" si="1"/>
        <v/>
      </c>
    </row>
    <row r="103" spans="3:8" ht="25.5" x14ac:dyDescent="0.25">
      <c r="C103" s="79">
        <v>788</v>
      </c>
      <c r="D103" s="80" t="s">
        <v>97</v>
      </c>
      <c r="E103" s="81" t="s">
        <v>66</v>
      </c>
      <c r="F103" s="82" t="s">
        <v>66</v>
      </c>
      <c r="G103" s="94"/>
      <c r="H103" t="str">
        <f t="shared" si="1"/>
        <v>OPTATIVO</v>
      </c>
    </row>
    <row r="104" spans="3:8" ht="76.5" x14ac:dyDescent="0.25">
      <c r="C104" s="79"/>
      <c r="D104" s="80" t="s">
        <v>242</v>
      </c>
      <c r="E104" s="81" t="s">
        <v>66</v>
      </c>
      <c r="F104" s="82" t="s">
        <v>66</v>
      </c>
      <c r="G104" s="94"/>
      <c r="H104" t="str">
        <f t="shared" si="1"/>
        <v>OPTATIVO</v>
      </c>
    </row>
    <row r="105" spans="3:8" ht="51" x14ac:dyDescent="0.25">
      <c r="C105" s="79">
        <v>911</v>
      </c>
      <c r="D105" s="80" t="s">
        <v>254</v>
      </c>
      <c r="E105" s="81">
        <v>6</v>
      </c>
      <c r="F105" s="82">
        <v>62</v>
      </c>
      <c r="G105" s="83" t="s">
        <v>24</v>
      </c>
      <c r="H105" t="str">
        <f t="shared" si="1"/>
        <v>OBLIGATORIO</v>
      </c>
    </row>
    <row r="106" spans="3:8" ht="76.5" x14ac:dyDescent="0.25">
      <c r="C106" s="79">
        <v>909</v>
      </c>
      <c r="D106" s="80" t="s">
        <v>243</v>
      </c>
      <c r="E106" s="81" t="s">
        <v>66</v>
      </c>
      <c r="F106" s="82" t="s">
        <v>66</v>
      </c>
      <c r="G106" s="94"/>
      <c r="H106" t="str">
        <f t="shared" si="1"/>
        <v>OPTATIVO</v>
      </c>
    </row>
    <row r="107" spans="3:8" ht="25.5" x14ac:dyDescent="0.25">
      <c r="C107" s="79">
        <v>912</v>
      </c>
      <c r="D107" s="80" t="s">
        <v>244</v>
      </c>
      <c r="E107" s="81">
        <v>6</v>
      </c>
      <c r="F107" s="82">
        <v>79</v>
      </c>
      <c r="G107" s="83" t="s">
        <v>24</v>
      </c>
      <c r="H107" t="str">
        <f t="shared" si="1"/>
        <v>OBLIGATORIO</v>
      </c>
    </row>
    <row r="108" spans="3:8" ht="26.25" thickBot="1" x14ac:dyDescent="0.3">
      <c r="C108" s="104">
        <v>2570</v>
      </c>
      <c r="D108" s="105" t="s">
        <v>185</v>
      </c>
      <c r="E108" s="106" t="s">
        <v>66</v>
      </c>
      <c r="F108" s="107" t="s">
        <v>66</v>
      </c>
      <c r="G108" s="142"/>
      <c r="H108" t="str">
        <f t="shared" si="1"/>
        <v/>
      </c>
    </row>
    <row r="109" spans="3:8" ht="25.5" x14ac:dyDescent="0.25">
      <c r="C109" s="131">
        <v>1056</v>
      </c>
      <c r="D109" s="116" t="s">
        <v>245</v>
      </c>
      <c r="E109" s="81" t="s">
        <v>66</v>
      </c>
      <c r="F109" s="82" t="s">
        <v>66</v>
      </c>
      <c r="G109" s="132"/>
      <c r="H109" t="str">
        <f t="shared" si="1"/>
        <v>OPTATIVO</v>
      </c>
    </row>
    <row r="110" spans="3:8" ht="63.75" x14ac:dyDescent="0.25">
      <c r="C110" s="79">
        <v>1059</v>
      </c>
      <c r="D110" s="80" t="s">
        <v>246</v>
      </c>
      <c r="E110" s="81" t="s">
        <v>66</v>
      </c>
      <c r="F110" s="82" t="s">
        <v>66</v>
      </c>
      <c r="G110" s="94"/>
      <c r="H110" t="str">
        <f t="shared" si="1"/>
        <v>OPTATIVO</v>
      </c>
    </row>
    <row r="111" spans="3:8" ht="76.5" x14ac:dyDescent="0.25">
      <c r="C111" s="79"/>
      <c r="D111" s="80" t="s">
        <v>253</v>
      </c>
      <c r="E111" s="81"/>
      <c r="F111" s="82">
        <v>74</v>
      </c>
      <c r="G111" s="83" t="s">
        <v>24</v>
      </c>
      <c r="H111" t="str">
        <f t="shared" si="1"/>
        <v>OBLIGATORIO</v>
      </c>
    </row>
    <row r="112" spans="3:8" ht="63.75" x14ac:dyDescent="0.25">
      <c r="C112" s="79">
        <v>1069</v>
      </c>
      <c r="D112" s="80" t="s">
        <v>247</v>
      </c>
      <c r="E112" s="81" t="s">
        <v>66</v>
      </c>
      <c r="F112" s="82" t="s">
        <v>66</v>
      </c>
      <c r="G112" s="94"/>
      <c r="H112" t="str">
        <f t="shared" si="1"/>
        <v>OPTATIVO</v>
      </c>
    </row>
    <row r="113" spans="3:8" x14ac:dyDescent="0.25">
      <c r="C113" s="79">
        <v>933</v>
      </c>
      <c r="D113" s="80" t="s">
        <v>248</v>
      </c>
      <c r="E113" s="81" t="s">
        <v>66</v>
      </c>
      <c r="F113" s="82" t="s">
        <v>66</v>
      </c>
      <c r="G113" s="94"/>
      <c r="H113" t="str">
        <f t="shared" si="1"/>
        <v>OPTATIVO</v>
      </c>
    </row>
    <row r="114" spans="3:8" x14ac:dyDescent="0.25">
      <c r="C114" s="79"/>
      <c r="D114" s="80" t="s">
        <v>249</v>
      </c>
      <c r="E114" s="81"/>
      <c r="F114" s="82" t="s">
        <v>66</v>
      </c>
      <c r="G114" s="94"/>
      <c r="H114" t="str">
        <f t="shared" si="1"/>
        <v>OPTATIVO</v>
      </c>
    </row>
    <row r="115" spans="3:8" x14ac:dyDescent="0.25">
      <c r="C115" s="79"/>
      <c r="D115" s="80" t="s">
        <v>250</v>
      </c>
      <c r="E115" s="81"/>
      <c r="F115" s="82" t="s">
        <v>66</v>
      </c>
      <c r="G115" s="94"/>
      <c r="H115" t="str">
        <f t="shared" si="1"/>
        <v>OPTATIVO</v>
      </c>
    </row>
    <row r="116" spans="3:8" ht="76.5" x14ac:dyDescent="0.25">
      <c r="C116" s="79">
        <v>918</v>
      </c>
      <c r="D116" s="80" t="s">
        <v>251</v>
      </c>
      <c r="E116" s="81" t="s">
        <v>66</v>
      </c>
      <c r="F116" s="82" t="s">
        <v>66</v>
      </c>
      <c r="G116" s="94"/>
      <c r="H116" t="str">
        <f t="shared" si="1"/>
        <v>OPTATIVO</v>
      </c>
    </row>
    <row r="117" spans="3:8" ht="26.25" thickBot="1" x14ac:dyDescent="0.3">
      <c r="C117" s="104">
        <v>2586</v>
      </c>
      <c r="D117" s="105" t="s">
        <v>252</v>
      </c>
      <c r="E117" s="106"/>
      <c r="F117" s="107">
        <v>69</v>
      </c>
      <c r="G117" s="193" t="s">
        <v>24</v>
      </c>
      <c r="H117" t="str">
        <f t="shared" si="1"/>
        <v>OBLIGATORIO</v>
      </c>
    </row>
  </sheetData>
  <mergeCells count="5"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2026-01-25T21:18:42Z</dcterms:created>
  <dcterms:modified xsi:type="dcterms:W3CDTF">2026-01-26T04:24:12Z</dcterms:modified>
</cp:coreProperties>
</file>