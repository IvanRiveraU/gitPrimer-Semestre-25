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Ivan\Documents\gitPrimer-Semestre-25\Requisitos CIERRE\"/>
    </mc:Choice>
  </mc:AlternateContent>
  <xr:revisionPtr revIDLastSave="0" documentId="13_ncr:1_{7020962B-C0D7-4D2E-B412-FC37C75CDA29}" xr6:coauthVersionLast="47" xr6:coauthVersionMax="47" xr10:uidLastSave="{00000000-0000-0000-0000-000000000000}"/>
  <bookViews>
    <workbookView xWindow="-120" yWindow="-120" windowWidth="20730" windowHeight="11160" xr2:uid="{308FB4FC-A38D-436D-B0B2-F1F9BCAD63F9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15" i="1" l="1"/>
  <c r="E123" i="1"/>
  <c r="E124" i="1" s="1"/>
  <c r="E118" i="1"/>
  <c r="E121" i="1" s="1"/>
  <c r="E117" i="1"/>
  <c r="E120" i="1" s="1"/>
  <c r="E122" i="1" s="1"/>
  <c r="I115" i="1"/>
  <c r="E125" i="1" s="1"/>
  <c r="E107" i="1"/>
  <c r="E102" i="1"/>
  <c r="E101" i="1"/>
  <c r="J99" i="1"/>
  <c r="I99" i="1"/>
  <c r="E91" i="1"/>
  <c r="E86" i="1"/>
  <c r="E85" i="1"/>
  <c r="I83" i="1"/>
  <c r="E71" i="1"/>
  <c r="E76" i="1"/>
  <c r="E70" i="1"/>
  <c r="I68" i="1"/>
  <c r="E119" i="1" l="1"/>
  <c r="E103" i="1"/>
  <c r="E87" i="1"/>
  <c r="E59" i="1" l="1"/>
  <c r="E54" i="1"/>
  <c r="E53" i="1"/>
  <c r="I51" i="1"/>
  <c r="E72" i="1" l="1"/>
  <c r="E55" i="1"/>
  <c r="I35" i="1"/>
  <c r="I18" i="1"/>
  <c r="E43" i="1"/>
  <c r="E38" i="1"/>
  <c r="E37" i="1"/>
  <c r="J35" i="1" l="1"/>
  <c r="J51" i="1" s="1"/>
  <c r="J68" i="1" s="1"/>
  <c r="E26" i="1"/>
  <c r="E21" i="1"/>
  <c r="E24" i="1" s="1"/>
  <c r="E41" i="1" s="1"/>
  <c r="E57" i="1" s="1"/>
  <c r="E74" i="1" s="1"/>
  <c r="E89" i="1" s="1"/>
  <c r="E105" i="1" s="1"/>
  <c r="E20" i="1"/>
  <c r="E23" i="1" s="1"/>
  <c r="E40" i="1" s="1"/>
  <c r="E56" i="1" s="1"/>
  <c r="E73" i="1" s="1"/>
  <c r="E88" i="1" s="1"/>
  <c r="E90" i="1" l="1"/>
  <c r="E104" i="1"/>
  <c r="E106" i="1" s="1"/>
  <c r="J83" i="1"/>
  <c r="E75" i="1"/>
  <c r="E58" i="1"/>
  <c r="E25" i="1"/>
  <c r="E22" i="1"/>
  <c r="E27" i="1"/>
  <c r="E39" i="1"/>
  <c r="E28" i="1" l="1"/>
  <c r="E44" i="1"/>
  <c r="E42" i="1"/>
  <c r="E45" i="1" l="1"/>
  <c r="E60" i="1"/>
  <c r="E61" i="1" l="1"/>
  <c r="E77" i="1"/>
  <c r="E92" i="1" l="1"/>
  <c r="E78" i="1"/>
  <c r="E93" i="1" l="1"/>
  <c r="E108" i="1"/>
  <c r="E109" i="1" s="1"/>
</calcChain>
</file>

<file path=xl/sharedStrings.xml><?xml version="1.0" encoding="utf-8"?>
<sst xmlns="http://schemas.openxmlformats.org/spreadsheetml/2006/main" count="194" uniqueCount="62">
  <si>
    <t>Universidad de San Carlos de Guatemala</t>
  </si>
  <si>
    <t>Centro Universitario de Occidente</t>
  </si>
  <si>
    <t>División de Ciencias de la Ingeniería</t>
  </si>
  <si>
    <t xml:space="preserve">Ingeniería Civil </t>
  </si>
  <si>
    <t xml:space="preserve">MATRIZ DE CURSOS APROBADOS - INGENIERIA CIVIL </t>
  </si>
  <si>
    <t xml:space="preserve">ESTUDIANTE </t>
  </si>
  <si>
    <t>CARNÉ</t>
  </si>
  <si>
    <t xml:space="preserve">REGISTRO ACADEMICO </t>
  </si>
  <si>
    <t>Marlon Ivan Carreto Rivera</t>
  </si>
  <si>
    <t xml:space="preserve">INGENIERIA CIVIL </t>
  </si>
  <si>
    <t xml:space="preserve">PENSUM </t>
  </si>
  <si>
    <t>PRIMER SEMESTRE -2017</t>
  </si>
  <si>
    <t xml:space="preserve">NO </t>
  </si>
  <si>
    <t xml:space="preserve">CODIGO PRE-REQUISITO </t>
  </si>
  <si>
    <t xml:space="preserve">CODIGO CURSO </t>
  </si>
  <si>
    <t xml:space="preserve">CURSO </t>
  </si>
  <si>
    <t xml:space="preserve">NOTA FINAL </t>
  </si>
  <si>
    <t xml:space="preserve">FECHA APROBACIÓN </t>
  </si>
  <si>
    <t>No. CREDITOS</t>
  </si>
  <si>
    <t xml:space="preserve">CATEGORÍA </t>
  </si>
  <si>
    <t>DEPORTES 1</t>
  </si>
  <si>
    <t>SOCIAL HUMANISTICA 1</t>
  </si>
  <si>
    <t>TECNICA COMPLEMENTARIA 1</t>
  </si>
  <si>
    <t>ORIENTACION Y LIDERAZGO</t>
  </si>
  <si>
    <t>QUIMICA 1</t>
  </si>
  <si>
    <t>OBLIGATORIO</t>
  </si>
  <si>
    <t>OPTATIVO</t>
  </si>
  <si>
    <t>Créditos de Cursos Obligatorios</t>
  </si>
  <si>
    <t>Créditos de Cursos Optativos</t>
  </si>
  <si>
    <t>Créditos del Semestre</t>
  </si>
  <si>
    <t>Créditos Acumulados Obligatorios</t>
  </si>
  <si>
    <t>Créditos Acumulados Optativos</t>
  </si>
  <si>
    <t>Créditos Acumulados</t>
  </si>
  <si>
    <t>Cursos de Semestre</t>
  </si>
  <si>
    <t>Cursos Acumulados</t>
  </si>
  <si>
    <t>SOCIAL HUMANISTICA 2</t>
  </si>
  <si>
    <t>SEGUNDO SEMESTRE  -2017</t>
  </si>
  <si>
    <t>Promedio hasta el primer semestre 2017</t>
  </si>
  <si>
    <t>Promedio hasta el segundo semestre 2017</t>
  </si>
  <si>
    <t>TECNICAS DE INVESTIGACION Y ESTUDIO</t>
  </si>
  <si>
    <t>MATEMATICA BASICA 1</t>
  </si>
  <si>
    <t>NINGUNO</t>
  </si>
  <si>
    <t>PUNTEOS PREVIOS</t>
  </si>
  <si>
    <t xml:space="preserve">SEMESTRE </t>
  </si>
  <si>
    <t>PREVIO</t>
  </si>
  <si>
    <t>PRIMER SEMESETRE -2018</t>
  </si>
  <si>
    <t>FISICA BASICA</t>
  </si>
  <si>
    <t>MATEMATICA BASICA 2</t>
  </si>
  <si>
    <t>Promedio hasta el primer semestre 2018</t>
  </si>
  <si>
    <t>SEGUNDO SEMESETRE -2018</t>
  </si>
  <si>
    <t>DEPORTES 2</t>
  </si>
  <si>
    <t>LOGICA</t>
  </si>
  <si>
    <t>Promedio hasta el segundo semestre 2018</t>
  </si>
  <si>
    <t>FISICA 1</t>
  </si>
  <si>
    <t>170  - 72</t>
  </si>
  <si>
    <t>MATEMATICA INTERMEDIA 1</t>
  </si>
  <si>
    <t>SEGUNDO SEMESETRE -2019</t>
  </si>
  <si>
    <t>Promedio hasta el segundo semestre 2019</t>
  </si>
  <si>
    <t>PRIMER SEMESETRE -2020</t>
  </si>
  <si>
    <t>ESTADISTICA 1</t>
  </si>
  <si>
    <t>MATEMATICA INTERMEDIA 3</t>
  </si>
  <si>
    <t>Promedio hasta el primer semestre 2020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</si>
</sst>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1" fontId="0" fillId="0" borderId="0" xfId="0" applyNumberFormat="1"/>
    <xf numFmtId="14" fontId="0" fillId="0" borderId="0" xfId="0" applyNumberFormat="1"/>
    <xf numFmtId="0" fontId="2" fillId="0" borderId="0" xfId="0" applyFont="1"/>
    <xf numFmtId="1" fontId="0" fillId="0" borderId="0" xfId="0" applyNumberFormat="1" applyAlignment="1">
      <alignment horizontal="left"/>
    </xf>
    <xf numFmtId="0" fontId="0" fillId="0" borderId="9" xfId="0" applyBorder="1"/>
    <xf numFmtId="0" fontId="0" fillId="0" borderId="10" xfId="0" applyBorder="1"/>
    <xf numFmtId="0" fontId="2" fillId="0" borderId="11" xfId="0" applyFont="1" applyBorder="1"/>
    <xf numFmtId="0" fontId="2" fillId="0" borderId="12" xfId="0" applyFont="1" applyBorder="1"/>
    <xf numFmtId="0" fontId="0" fillId="0" borderId="3" xfId="0" applyBorder="1"/>
    <xf numFmtId="0" fontId="0" fillId="0" borderId="4" xfId="0" applyBorder="1"/>
    <xf numFmtId="14" fontId="0" fillId="0" borderId="13" xfId="0" applyNumberFormat="1" applyBorder="1"/>
    <xf numFmtId="0" fontId="0" fillId="0" borderId="5" xfId="0" applyBorder="1"/>
    <xf numFmtId="0" fontId="0" fillId="0" borderId="6" xfId="0" applyBorder="1"/>
    <xf numFmtId="14" fontId="0" fillId="0" borderId="14" xfId="0" applyNumberFormat="1" applyBorder="1"/>
    <xf numFmtId="0" fontId="0" fillId="0" borderId="11" xfId="0" applyBorder="1"/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1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14" fontId="0" fillId="0" borderId="15" xfId="0" applyNumberFormat="1" applyBorder="1"/>
    <xf numFmtId="0" fontId="0" fillId="0" borderId="16" xfId="0" applyBorder="1"/>
    <xf numFmtId="14" fontId="0" fillId="0" borderId="17" xfId="0" applyNumberFormat="1" applyBorder="1"/>
    <xf numFmtId="0" fontId="0" fillId="0" borderId="18" xfId="0" applyFill="1" applyBorder="1"/>
    <xf numFmtId="0" fontId="0" fillId="0" borderId="0" xfId="0" applyAlignment="1">
      <alignment horizontal="right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</xdr:colOff>
      <xdr:row>0</xdr:row>
      <xdr:rowOff>78740</xdr:rowOff>
    </xdr:from>
    <xdr:to>
      <xdr:col>1</xdr:col>
      <xdr:colOff>1601183</xdr:colOff>
      <xdr:row>4</xdr:row>
      <xdr:rowOff>14780</xdr:rowOff>
    </xdr:to>
    <xdr:pic>
      <xdr:nvPicPr>
        <xdr:cNvPr id="2" name="Imagen 1" descr="Imagen relacionada">
          <a:extLst>
            <a:ext uri="{FF2B5EF4-FFF2-40B4-BE49-F238E27FC236}">
              <a16:creationId xmlns:a16="http://schemas.microsoft.com/office/drawing/2014/main" id="{CDD5EBA9-E937-4CD4-B53A-BD7A2A699705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926" t="27858" r="21288" b="20523"/>
        <a:stretch/>
      </xdr:blipFill>
      <xdr:spPr bwMode="auto">
        <a:xfrm>
          <a:off x="30480" y="78740"/>
          <a:ext cx="2414618" cy="6675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8384E-41F9-44FE-9912-6AC0D7358934}">
  <sheetPr codeName="Hoja1"/>
  <dimension ref="A1:J125"/>
  <sheetViews>
    <sheetView tabSelected="1" topLeftCell="A124" zoomScaleNormal="100" workbookViewId="0">
      <selection activeCell="E125" sqref="E125"/>
    </sheetView>
  </sheetViews>
  <sheetFormatPr baseColWidth="10" defaultRowHeight="15" x14ac:dyDescent="0.25"/>
  <cols>
    <col min="1" max="1" width="11.5703125" customWidth="1"/>
    <col min="2" max="2" width="24.7109375" customWidth="1"/>
    <col min="3" max="3" width="17" customWidth="1"/>
    <col min="4" max="4" width="29.28515625" customWidth="1"/>
    <col min="5" max="5" width="21.140625" customWidth="1"/>
    <col min="6" max="6" width="20.85546875" customWidth="1"/>
    <col min="7" max="7" width="14.7109375" customWidth="1"/>
    <col min="8" max="8" width="15.140625" customWidth="1"/>
  </cols>
  <sheetData>
    <row r="1" spans="1:8" ht="15.75" x14ac:dyDescent="0.25">
      <c r="A1" s="1"/>
      <c r="B1" s="1"/>
      <c r="C1" s="1"/>
      <c r="D1" s="27" t="s">
        <v>0</v>
      </c>
      <c r="E1" s="27"/>
      <c r="F1" s="27"/>
      <c r="G1" s="27"/>
      <c r="H1" s="27"/>
    </row>
    <row r="2" spans="1:8" ht="15.75" x14ac:dyDescent="0.25">
      <c r="A2" s="1"/>
      <c r="B2" s="1"/>
      <c r="C2" s="1"/>
      <c r="D2" s="27" t="s">
        <v>1</v>
      </c>
      <c r="E2" s="27"/>
      <c r="F2" s="27"/>
      <c r="G2" s="27"/>
      <c r="H2" s="27"/>
    </row>
    <row r="3" spans="1:8" ht="15.75" x14ac:dyDescent="0.25">
      <c r="A3" s="1"/>
      <c r="B3" s="1"/>
      <c r="C3" s="1"/>
      <c r="D3" s="27" t="s">
        <v>2</v>
      </c>
      <c r="E3" s="27"/>
      <c r="F3" s="27"/>
      <c r="G3" s="27"/>
      <c r="H3" s="27"/>
    </row>
    <row r="4" spans="1:8" ht="15.75" x14ac:dyDescent="0.25">
      <c r="A4" s="1"/>
      <c r="B4" s="1"/>
      <c r="C4" s="1"/>
      <c r="D4" s="27" t="s">
        <v>3</v>
      </c>
      <c r="E4" s="27"/>
      <c r="F4" s="27"/>
      <c r="G4" s="27"/>
      <c r="H4" s="27"/>
    </row>
    <row r="6" spans="1:8" x14ac:dyDescent="0.25">
      <c r="E6" t="s">
        <v>4</v>
      </c>
    </row>
    <row r="8" spans="1:8" x14ac:dyDescent="0.25">
      <c r="A8" t="s">
        <v>5</v>
      </c>
      <c r="C8" t="s">
        <v>8</v>
      </c>
      <c r="G8" t="s">
        <v>9</v>
      </c>
    </row>
    <row r="9" spans="1:8" x14ac:dyDescent="0.25">
      <c r="A9" t="s">
        <v>6</v>
      </c>
      <c r="C9" s="6">
        <v>2733955050909</v>
      </c>
      <c r="D9" s="3"/>
      <c r="G9" t="s">
        <v>10</v>
      </c>
      <c r="H9">
        <v>2012</v>
      </c>
    </row>
    <row r="10" spans="1:8" x14ac:dyDescent="0.25">
      <c r="A10" t="s">
        <v>7</v>
      </c>
      <c r="C10" s="2">
        <v>201230088</v>
      </c>
    </row>
    <row r="12" spans="1:8" x14ac:dyDescent="0.25">
      <c r="A12" s="26" t="s">
        <v>11</v>
      </c>
      <c r="B12" s="26"/>
      <c r="C12" s="26"/>
      <c r="D12" s="26"/>
      <c r="E12" s="26"/>
      <c r="F12" s="26"/>
      <c r="G12" s="26"/>
      <c r="H12" s="26"/>
    </row>
    <row r="13" spans="1:8" x14ac:dyDescent="0.25">
      <c r="A13" t="s">
        <v>12</v>
      </c>
      <c r="B13" t="s">
        <v>13</v>
      </c>
      <c r="C13" t="s">
        <v>14</v>
      </c>
      <c r="D13" t="s">
        <v>15</v>
      </c>
      <c r="E13" t="s">
        <v>16</v>
      </c>
      <c r="F13" t="s">
        <v>17</v>
      </c>
      <c r="G13" t="s">
        <v>18</v>
      </c>
      <c r="H13" t="s">
        <v>19</v>
      </c>
    </row>
    <row r="14" spans="1:8" x14ac:dyDescent="0.25">
      <c r="A14">
        <v>1</v>
      </c>
      <c r="B14" t="s">
        <v>41</v>
      </c>
      <c r="C14">
        <v>2666</v>
      </c>
      <c r="D14" t="s">
        <v>23</v>
      </c>
      <c r="E14">
        <v>72</v>
      </c>
      <c r="F14" s="4">
        <v>42863</v>
      </c>
      <c r="G14">
        <v>1</v>
      </c>
      <c r="H14" t="s">
        <v>25</v>
      </c>
    </row>
    <row r="15" spans="1:8" x14ac:dyDescent="0.25">
      <c r="A15">
        <v>2</v>
      </c>
      <c r="B15" t="s">
        <v>41</v>
      </c>
      <c r="C15">
        <v>216</v>
      </c>
      <c r="D15" t="s">
        <v>24</v>
      </c>
      <c r="E15">
        <v>64</v>
      </c>
      <c r="F15" s="4">
        <v>42866</v>
      </c>
      <c r="G15">
        <v>3</v>
      </c>
      <c r="H15" t="s">
        <v>25</v>
      </c>
    </row>
    <row r="16" spans="1:8" x14ac:dyDescent="0.25">
      <c r="A16">
        <v>3</v>
      </c>
      <c r="B16" t="s">
        <v>41</v>
      </c>
      <c r="C16">
        <v>119</v>
      </c>
      <c r="D16" t="s">
        <v>22</v>
      </c>
      <c r="E16">
        <v>63</v>
      </c>
      <c r="F16" s="4">
        <v>42867</v>
      </c>
      <c r="G16">
        <v>3</v>
      </c>
      <c r="H16" t="s">
        <v>25</v>
      </c>
    </row>
    <row r="17" spans="1:9" x14ac:dyDescent="0.25">
      <c r="A17">
        <v>4</v>
      </c>
      <c r="B17" t="s">
        <v>41</v>
      </c>
      <c r="C17">
        <v>177</v>
      </c>
      <c r="D17" t="s">
        <v>20</v>
      </c>
      <c r="E17">
        <v>75</v>
      </c>
      <c r="F17" s="4">
        <v>42867</v>
      </c>
      <c r="G17">
        <v>1</v>
      </c>
      <c r="H17" t="s">
        <v>26</v>
      </c>
      <c r="I17" t="s">
        <v>42</v>
      </c>
    </row>
    <row r="18" spans="1:9" x14ac:dyDescent="0.25">
      <c r="A18">
        <v>5</v>
      </c>
      <c r="B18" t="s">
        <v>41</v>
      </c>
      <c r="C18">
        <v>28</v>
      </c>
      <c r="D18" t="s">
        <v>21</v>
      </c>
      <c r="E18">
        <v>69</v>
      </c>
      <c r="F18" s="4">
        <v>42881</v>
      </c>
      <c r="G18">
        <v>4</v>
      </c>
      <c r="H18" t="s">
        <v>25</v>
      </c>
      <c r="I18">
        <f>SUM(E14:E18)</f>
        <v>343</v>
      </c>
    </row>
    <row r="19" spans="1:9" ht="15.75" thickBot="1" x14ac:dyDescent="0.3"/>
    <row r="20" spans="1:9" ht="15.75" x14ac:dyDescent="0.25">
      <c r="B20" s="22" t="s">
        <v>27</v>
      </c>
      <c r="C20" s="23"/>
      <c r="D20" s="23"/>
      <c r="E20" s="7">
        <f>SUMIF(H14:H18,"*OBLIGATORIO*",G14:G18)</f>
        <v>11</v>
      </c>
    </row>
    <row r="21" spans="1:9" ht="15.75" x14ac:dyDescent="0.25">
      <c r="B21" s="18" t="s">
        <v>28</v>
      </c>
      <c r="C21" s="19"/>
      <c r="D21" s="19"/>
      <c r="E21" s="8">
        <f>SUMIF(H15:H19,"*OPTATIVO*",G15:G19)</f>
        <v>1</v>
      </c>
    </row>
    <row r="22" spans="1:9" ht="16.5" thickBot="1" x14ac:dyDescent="0.3">
      <c r="B22" s="20" t="s">
        <v>29</v>
      </c>
      <c r="C22" s="21"/>
      <c r="D22" s="21"/>
      <c r="E22" s="9">
        <f>SUM(E20:E21)</f>
        <v>12</v>
      </c>
    </row>
    <row r="23" spans="1:9" ht="15.75" x14ac:dyDescent="0.25">
      <c r="B23" s="22" t="s">
        <v>30</v>
      </c>
      <c r="C23" s="23"/>
      <c r="D23" s="23"/>
      <c r="E23" s="7">
        <f>E20</f>
        <v>11</v>
      </c>
    </row>
    <row r="24" spans="1:9" ht="15.75" x14ac:dyDescent="0.25">
      <c r="B24" s="18" t="s">
        <v>31</v>
      </c>
      <c r="C24" s="19"/>
      <c r="D24" s="19"/>
      <c r="E24" s="8">
        <f>E21</f>
        <v>1</v>
      </c>
    </row>
    <row r="25" spans="1:9" ht="16.5" thickBot="1" x14ac:dyDescent="0.3">
      <c r="B25" s="20" t="s">
        <v>32</v>
      </c>
      <c r="C25" s="21"/>
      <c r="D25" s="21"/>
      <c r="E25" s="9">
        <f>SUM(E23:E24)</f>
        <v>12</v>
      </c>
    </row>
    <row r="26" spans="1:9" ht="15.75" x14ac:dyDescent="0.25">
      <c r="B26" s="22" t="s">
        <v>33</v>
      </c>
      <c r="C26" s="23"/>
      <c r="D26" s="23"/>
      <c r="E26" s="7">
        <f>COUNT(E14:E18)</f>
        <v>5</v>
      </c>
    </row>
    <row r="27" spans="1:9" ht="16.5" thickBot="1" x14ac:dyDescent="0.3">
      <c r="B27" s="20" t="s">
        <v>34</v>
      </c>
      <c r="C27" s="21"/>
      <c r="D27" s="21"/>
      <c r="E27" s="9">
        <f>E26</f>
        <v>5</v>
      </c>
    </row>
    <row r="28" spans="1:9" ht="16.5" thickBot="1" x14ac:dyDescent="0.3">
      <c r="B28" s="24" t="s">
        <v>37</v>
      </c>
      <c r="C28" s="25"/>
      <c r="D28" s="25"/>
      <c r="E28" s="10">
        <f>I18/E27</f>
        <v>68.599999999999994</v>
      </c>
    </row>
    <row r="31" spans="1:9" x14ac:dyDescent="0.25">
      <c r="A31" s="26" t="s">
        <v>36</v>
      </c>
      <c r="B31" s="26"/>
      <c r="C31" s="26"/>
      <c r="D31" s="26"/>
      <c r="E31" s="26"/>
      <c r="F31" s="26"/>
      <c r="G31" s="26"/>
      <c r="H31" s="26"/>
    </row>
    <row r="32" spans="1:9" x14ac:dyDescent="0.25">
      <c r="A32" t="s">
        <v>12</v>
      </c>
      <c r="B32" t="s">
        <v>13</v>
      </c>
      <c r="C32" t="s">
        <v>14</v>
      </c>
      <c r="D32" t="s">
        <v>15</v>
      </c>
      <c r="E32" t="s">
        <v>16</v>
      </c>
      <c r="F32" t="s">
        <v>17</v>
      </c>
      <c r="G32" t="s">
        <v>18</v>
      </c>
      <c r="H32" t="s">
        <v>19</v>
      </c>
    </row>
    <row r="33" spans="1:10" x14ac:dyDescent="0.25">
      <c r="A33" s="11">
        <v>6</v>
      </c>
      <c r="B33">
        <v>28</v>
      </c>
      <c r="C33" s="12">
        <v>29</v>
      </c>
      <c r="D33" s="12" t="s">
        <v>35</v>
      </c>
      <c r="E33" s="12">
        <v>63</v>
      </c>
      <c r="F33" s="13">
        <v>43059</v>
      </c>
      <c r="G33" s="8">
        <v>4</v>
      </c>
      <c r="H33" t="s">
        <v>25</v>
      </c>
    </row>
    <row r="34" spans="1:10" x14ac:dyDescent="0.25">
      <c r="A34" s="11">
        <v>7</v>
      </c>
      <c r="B34" t="s">
        <v>41</v>
      </c>
      <c r="C34" s="12">
        <v>2667</v>
      </c>
      <c r="D34" s="12" t="s">
        <v>39</v>
      </c>
      <c r="E34" s="12">
        <v>61</v>
      </c>
      <c r="F34" s="13">
        <v>43116</v>
      </c>
      <c r="G34" s="8">
        <v>3</v>
      </c>
      <c r="H34" t="s">
        <v>25</v>
      </c>
      <c r="I34" t="s">
        <v>43</v>
      </c>
      <c r="J34" t="s">
        <v>44</v>
      </c>
    </row>
    <row r="35" spans="1:10" ht="15.75" thickBot="1" x14ac:dyDescent="0.3">
      <c r="A35" s="14">
        <v>8</v>
      </c>
      <c r="B35" t="s">
        <v>41</v>
      </c>
      <c r="C35" s="15">
        <v>169</v>
      </c>
      <c r="D35" s="15" t="s">
        <v>40</v>
      </c>
      <c r="E35" s="15">
        <v>61</v>
      </c>
      <c r="F35" s="16">
        <v>43118</v>
      </c>
      <c r="G35" s="17">
        <v>7</v>
      </c>
      <c r="H35" t="s">
        <v>25</v>
      </c>
      <c r="I35">
        <f>SUM(E33:E35)</f>
        <v>185</v>
      </c>
      <c r="J35">
        <f>I35+I18</f>
        <v>528</v>
      </c>
    </row>
    <row r="36" spans="1:10" ht="15.75" thickBot="1" x14ac:dyDescent="0.3"/>
    <row r="37" spans="1:10" ht="15.75" x14ac:dyDescent="0.25">
      <c r="B37" s="22" t="s">
        <v>27</v>
      </c>
      <c r="C37" s="23"/>
      <c r="D37" s="23"/>
      <c r="E37">
        <f>SUMIF(H33:H35,"*OBLIGATORIO*",G33:G35)</f>
        <v>14</v>
      </c>
    </row>
    <row r="38" spans="1:10" ht="15.75" x14ac:dyDescent="0.25">
      <c r="B38" s="18" t="s">
        <v>28</v>
      </c>
      <c r="C38" s="19"/>
      <c r="D38" s="19"/>
      <c r="E38">
        <f>SUMIF(H33:H35,"*OPTATIVO*",G33:G35)</f>
        <v>0</v>
      </c>
    </row>
    <row r="39" spans="1:10" ht="15.75" x14ac:dyDescent="0.25">
      <c r="B39" s="28" t="s">
        <v>29</v>
      </c>
      <c r="C39" s="29"/>
      <c r="D39" s="29"/>
      <c r="E39" s="5">
        <f>SUM(E37:E38)</f>
        <v>14</v>
      </c>
    </row>
    <row r="40" spans="1:10" ht="15.75" x14ac:dyDescent="0.25">
      <c r="B40" s="18" t="s">
        <v>30</v>
      </c>
      <c r="C40" s="19"/>
      <c r="D40" s="19"/>
      <c r="E40">
        <f>E37+E23</f>
        <v>25</v>
      </c>
    </row>
    <row r="41" spans="1:10" ht="15.75" x14ac:dyDescent="0.25">
      <c r="B41" s="18" t="s">
        <v>31</v>
      </c>
      <c r="C41" s="19"/>
      <c r="D41" s="19"/>
      <c r="E41">
        <f>E38+E24</f>
        <v>1</v>
      </c>
    </row>
    <row r="42" spans="1:10" ht="15.75" x14ac:dyDescent="0.25">
      <c r="B42" s="28" t="s">
        <v>32</v>
      </c>
      <c r="C42" s="29"/>
      <c r="D42" s="29"/>
      <c r="E42" s="5">
        <f>SUM(E40:E41)</f>
        <v>26</v>
      </c>
    </row>
    <row r="43" spans="1:10" ht="15.75" x14ac:dyDescent="0.25">
      <c r="B43" s="18" t="s">
        <v>33</v>
      </c>
      <c r="C43" s="19"/>
      <c r="D43" s="19"/>
      <c r="E43">
        <f>COUNT(E33:E35)</f>
        <v>3</v>
      </c>
    </row>
    <row r="44" spans="1:10" ht="15.75" x14ac:dyDescent="0.25">
      <c r="B44" s="28" t="s">
        <v>34</v>
      </c>
      <c r="C44" s="29"/>
      <c r="D44" s="29"/>
      <c r="E44" s="5">
        <f>E43+E27</f>
        <v>8</v>
      </c>
    </row>
    <row r="45" spans="1:10" ht="16.5" thickBot="1" x14ac:dyDescent="0.3">
      <c r="B45" s="20" t="s">
        <v>38</v>
      </c>
      <c r="C45" s="21"/>
      <c r="D45" s="21"/>
      <c r="E45" s="5">
        <f>J35/E44</f>
        <v>66</v>
      </c>
    </row>
    <row r="48" spans="1:10" x14ac:dyDescent="0.25">
      <c r="A48" s="26" t="s">
        <v>45</v>
      </c>
      <c r="B48" s="26"/>
      <c r="C48" s="26"/>
      <c r="D48" s="26"/>
      <c r="E48" s="26"/>
      <c r="F48" s="26"/>
      <c r="G48" s="26"/>
      <c r="H48" s="26"/>
    </row>
    <row r="49" spans="1:10" ht="15.75" thickBot="1" x14ac:dyDescent="0.3">
      <c r="A49" t="s">
        <v>12</v>
      </c>
      <c r="B49" t="s">
        <v>13</v>
      </c>
      <c r="C49" t="s">
        <v>14</v>
      </c>
      <c r="D49" t="s">
        <v>15</v>
      </c>
      <c r="E49" t="s">
        <v>16</v>
      </c>
      <c r="F49" t="s">
        <v>17</v>
      </c>
      <c r="G49" t="s">
        <v>18</v>
      </c>
      <c r="H49" t="s">
        <v>19</v>
      </c>
    </row>
    <row r="50" spans="1:10" x14ac:dyDescent="0.25">
      <c r="A50" s="30">
        <v>9</v>
      </c>
      <c r="B50">
        <v>169</v>
      </c>
      <c r="C50" s="31">
        <v>72</v>
      </c>
      <c r="D50" s="31" t="s">
        <v>46</v>
      </c>
      <c r="E50" s="31">
        <v>82</v>
      </c>
      <c r="F50" s="32">
        <v>43229</v>
      </c>
      <c r="G50" s="8">
        <v>5</v>
      </c>
      <c r="H50" t="s">
        <v>25</v>
      </c>
      <c r="I50" t="s">
        <v>43</v>
      </c>
      <c r="J50" t="s">
        <v>44</v>
      </c>
    </row>
    <row r="51" spans="1:10" ht="15.75" thickBot="1" x14ac:dyDescent="0.3">
      <c r="A51" s="14">
        <v>10</v>
      </c>
      <c r="B51">
        <v>169</v>
      </c>
      <c r="C51" s="15">
        <v>170</v>
      </c>
      <c r="D51" s="15" t="s">
        <v>47</v>
      </c>
      <c r="E51" s="15">
        <v>61</v>
      </c>
      <c r="F51" s="16">
        <v>43294</v>
      </c>
      <c r="G51" s="8">
        <v>7</v>
      </c>
      <c r="H51" t="s">
        <v>25</v>
      </c>
      <c r="I51">
        <f>SUM(E50:E51)</f>
        <v>143</v>
      </c>
      <c r="J51">
        <f>I51+J35</f>
        <v>671</v>
      </c>
    </row>
    <row r="52" spans="1:10" ht="15.75" thickBot="1" x14ac:dyDescent="0.3"/>
    <row r="53" spans="1:10" ht="15.75" x14ac:dyDescent="0.25">
      <c r="B53" s="22" t="s">
        <v>27</v>
      </c>
      <c r="C53" s="23"/>
      <c r="D53" s="23"/>
      <c r="E53">
        <f>SUMIF(H50:H51,"*OBLIGATORIO*",G50:G51)</f>
        <v>12</v>
      </c>
    </row>
    <row r="54" spans="1:10" ht="15.75" x14ac:dyDescent="0.25">
      <c r="B54" s="18" t="s">
        <v>28</v>
      </c>
      <c r="C54" s="19"/>
      <c r="D54" s="19"/>
      <c r="E54">
        <f>SUMIF(H50:H51,"*OPTATIVO*",G50:G51)</f>
        <v>0</v>
      </c>
    </row>
    <row r="55" spans="1:10" ht="15.75" x14ac:dyDescent="0.25">
      <c r="B55" s="28" t="s">
        <v>29</v>
      </c>
      <c r="C55" s="29"/>
      <c r="D55" s="29"/>
      <c r="E55" s="5">
        <f>SUM(E53:E54)</f>
        <v>12</v>
      </c>
    </row>
    <row r="56" spans="1:10" ht="15.75" x14ac:dyDescent="0.25">
      <c r="B56" s="18" t="s">
        <v>30</v>
      </c>
      <c r="C56" s="19"/>
      <c r="D56" s="19"/>
      <c r="E56">
        <f>E53+E40</f>
        <v>37</v>
      </c>
    </row>
    <row r="57" spans="1:10" ht="15.75" x14ac:dyDescent="0.25">
      <c r="B57" s="18" t="s">
        <v>31</v>
      </c>
      <c r="C57" s="19"/>
      <c r="D57" s="19"/>
      <c r="E57">
        <f>E54+E41</f>
        <v>1</v>
      </c>
    </row>
    <row r="58" spans="1:10" ht="15.75" x14ac:dyDescent="0.25">
      <c r="B58" s="28" t="s">
        <v>32</v>
      </c>
      <c r="C58" s="29"/>
      <c r="D58" s="29"/>
      <c r="E58" s="5">
        <f>SUM(E56:E57)</f>
        <v>38</v>
      </c>
    </row>
    <row r="59" spans="1:10" ht="15.75" x14ac:dyDescent="0.25">
      <c r="B59" s="18" t="s">
        <v>33</v>
      </c>
      <c r="C59" s="19"/>
      <c r="D59" s="19"/>
      <c r="E59">
        <f>COUNT(E50:E51)</f>
        <v>2</v>
      </c>
    </row>
    <row r="60" spans="1:10" ht="15.75" x14ac:dyDescent="0.25">
      <c r="B60" s="28" t="s">
        <v>34</v>
      </c>
      <c r="C60" s="29"/>
      <c r="D60" s="29"/>
      <c r="E60" s="5">
        <f>E59+E44</f>
        <v>10</v>
      </c>
    </row>
    <row r="61" spans="1:10" ht="16.5" thickBot="1" x14ac:dyDescent="0.3">
      <c r="B61" s="20" t="s">
        <v>48</v>
      </c>
      <c r="C61" s="21"/>
      <c r="D61" s="21"/>
      <c r="E61" s="5">
        <f>J51/E60</f>
        <v>67.099999999999994</v>
      </c>
    </row>
    <row r="64" spans="1:10" x14ac:dyDescent="0.25">
      <c r="A64" s="26" t="s">
        <v>49</v>
      </c>
      <c r="B64" s="26"/>
      <c r="C64" s="26"/>
      <c r="D64" s="26"/>
      <c r="E64" s="26"/>
      <c r="F64" s="26"/>
      <c r="G64" s="26"/>
      <c r="H64" s="26"/>
    </row>
    <row r="65" spans="1:10" x14ac:dyDescent="0.25">
      <c r="A65" t="s">
        <v>12</v>
      </c>
      <c r="B65" t="s">
        <v>13</v>
      </c>
      <c r="C65" t="s">
        <v>14</v>
      </c>
      <c r="D65" t="s">
        <v>15</v>
      </c>
      <c r="E65" t="s">
        <v>16</v>
      </c>
      <c r="F65" t="s">
        <v>17</v>
      </c>
      <c r="G65" t="s">
        <v>18</v>
      </c>
      <c r="H65" t="s">
        <v>19</v>
      </c>
    </row>
    <row r="66" spans="1:10" x14ac:dyDescent="0.25">
      <c r="A66" s="33">
        <v>11</v>
      </c>
      <c r="B66">
        <v>177</v>
      </c>
      <c r="C66" s="33">
        <v>178</v>
      </c>
      <c r="D66" s="33" t="s">
        <v>50</v>
      </c>
      <c r="E66" s="33">
        <v>68</v>
      </c>
      <c r="F66" s="34">
        <v>43423</v>
      </c>
      <c r="G66" s="8">
        <v>1</v>
      </c>
      <c r="H66" t="s">
        <v>26</v>
      </c>
    </row>
    <row r="67" spans="1:10" x14ac:dyDescent="0.25">
      <c r="A67" s="12">
        <v>12</v>
      </c>
      <c r="B67" s="3">
        <v>29</v>
      </c>
      <c r="C67" s="12">
        <v>85</v>
      </c>
      <c r="D67" s="12" t="s">
        <v>51</v>
      </c>
      <c r="E67" s="12">
        <v>65</v>
      </c>
      <c r="F67" s="13">
        <v>43425</v>
      </c>
      <c r="G67" s="8">
        <v>2</v>
      </c>
      <c r="H67" t="s">
        <v>26</v>
      </c>
      <c r="I67" t="s">
        <v>43</v>
      </c>
      <c r="J67" t="s">
        <v>44</v>
      </c>
    </row>
    <row r="68" spans="1:10" x14ac:dyDescent="0.25">
      <c r="A68" s="12">
        <v>13</v>
      </c>
      <c r="B68" s="36" t="s">
        <v>54</v>
      </c>
      <c r="C68" s="12">
        <v>146</v>
      </c>
      <c r="D68" s="12" t="s">
        <v>53</v>
      </c>
      <c r="E68" s="12">
        <v>63</v>
      </c>
      <c r="F68" s="13">
        <v>43483</v>
      </c>
      <c r="G68" s="35">
        <v>6</v>
      </c>
      <c r="H68" t="s">
        <v>25</v>
      </c>
      <c r="I68">
        <f>SUM(E66:E68)</f>
        <v>196</v>
      </c>
      <c r="J68">
        <f>I68+J51</f>
        <v>867</v>
      </c>
    </row>
    <row r="69" spans="1:10" ht="15.75" thickBot="1" x14ac:dyDescent="0.3"/>
    <row r="70" spans="1:10" ht="15.75" x14ac:dyDescent="0.25">
      <c r="B70" s="22" t="s">
        <v>27</v>
      </c>
      <c r="C70" s="23"/>
      <c r="D70" s="23"/>
      <c r="E70">
        <f>SUMIF(H66:H68,"*OBLIGATORIO*",G66:G68)</f>
        <v>6</v>
      </c>
    </row>
    <row r="71" spans="1:10" ht="15.75" x14ac:dyDescent="0.25">
      <c r="B71" s="18" t="s">
        <v>28</v>
      </c>
      <c r="C71" s="19"/>
      <c r="D71" s="19"/>
      <c r="E71">
        <f>SUMIF(H66:H68,"*OPTATIVO*",G66:G68)</f>
        <v>3</v>
      </c>
    </row>
    <row r="72" spans="1:10" ht="15.75" x14ac:dyDescent="0.25">
      <c r="B72" s="28" t="s">
        <v>29</v>
      </c>
      <c r="C72" s="29"/>
      <c r="D72" s="29"/>
      <c r="E72" s="5">
        <f>SUM(E70:E71)</f>
        <v>9</v>
      </c>
    </row>
    <row r="73" spans="1:10" ht="15.75" x14ac:dyDescent="0.25">
      <c r="B73" s="18" t="s">
        <v>30</v>
      </c>
      <c r="C73" s="19"/>
      <c r="D73" s="19"/>
      <c r="E73">
        <f>E70+E56</f>
        <v>43</v>
      </c>
    </row>
    <row r="74" spans="1:10" ht="15.75" x14ac:dyDescent="0.25">
      <c r="B74" s="18" t="s">
        <v>31</v>
      </c>
      <c r="C74" s="19"/>
      <c r="D74" s="19"/>
      <c r="E74">
        <f>E71+E57</f>
        <v>4</v>
      </c>
    </row>
    <row r="75" spans="1:10" ht="15.75" x14ac:dyDescent="0.25">
      <c r="B75" s="28" t="s">
        <v>32</v>
      </c>
      <c r="C75" s="29"/>
      <c r="D75" s="29"/>
      <c r="E75" s="5">
        <f>SUM(E73:E74)</f>
        <v>47</v>
      </c>
    </row>
    <row r="76" spans="1:10" ht="15.75" x14ac:dyDescent="0.25">
      <c r="B76" s="18" t="s">
        <v>33</v>
      </c>
      <c r="C76" s="19"/>
      <c r="D76" s="19"/>
      <c r="E76">
        <f>COUNT(E66:E68)</f>
        <v>3</v>
      </c>
    </row>
    <row r="77" spans="1:10" ht="15.75" x14ac:dyDescent="0.25">
      <c r="B77" s="28" t="s">
        <v>34</v>
      </c>
      <c r="C77" s="29"/>
      <c r="D77" s="29"/>
      <c r="E77" s="5">
        <f>E76+E60</f>
        <v>13</v>
      </c>
    </row>
    <row r="78" spans="1:10" ht="16.5" thickBot="1" x14ac:dyDescent="0.3">
      <c r="B78" s="20" t="s">
        <v>52</v>
      </c>
      <c r="C78" s="21"/>
      <c r="D78" s="21"/>
      <c r="E78" s="5">
        <f>J68/E77</f>
        <v>66.692307692307693</v>
      </c>
    </row>
    <row r="81" spans="1:10" x14ac:dyDescent="0.25">
      <c r="A81" s="26" t="s">
        <v>56</v>
      </c>
      <c r="B81" s="26"/>
      <c r="C81" s="26"/>
      <c r="D81" s="26"/>
      <c r="E81" s="26"/>
      <c r="F81" s="26"/>
      <c r="G81" s="26"/>
      <c r="H81" s="26"/>
    </row>
    <row r="82" spans="1:10" x14ac:dyDescent="0.25">
      <c r="A82" t="s">
        <v>12</v>
      </c>
      <c r="B82" t="s">
        <v>13</v>
      </c>
      <c r="C82" t="s">
        <v>14</v>
      </c>
      <c r="D82" t="s">
        <v>15</v>
      </c>
      <c r="E82" t="s">
        <v>16</v>
      </c>
      <c r="F82" t="s">
        <v>17</v>
      </c>
      <c r="G82" t="s">
        <v>18</v>
      </c>
      <c r="H82" t="s">
        <v>19</v>
      </c>
      <c r="I82" t="s">
        <v>43</v>
      </c>
      <c r="J82" t="s">
        <v>44</v>
      </c>
    </row>
    <row r="83" spans="1:10" x14ac:dyDescent="0.25">
      <c r="A83" s="12">
        <v>14</v>
      </c>
      <c r="B83">
        <v>170</v>
      </c>
      <c r="C83" s="12">
        <v>290</v>
      </c>
      <c r="D83" s="12" t="s">
        <v>55</v>
      </c>
      <c r="E83" s="12">
        <v>61</v>
      </c>
      <c r="F83" s="13">
        <v>43787</v>
      </c>
      <c r="G83" s="35">
        <v>10</v>
      </c>
      <c r="H83" t="s">
        <v>25</v>
      </c>
      <c r="I83">
        <f>SUM(E83:E83)</f>
        <v>61</v>
      </c>
      <c r="J83">
        <f>I83+J68</f>
        <v>928</v>
      </c>
    </row>
    <row r="84" spans="1:10" ht="15.75" thickBot="1" x14ac:dyDescent="0.3"/>
    <row r="85" spans="1:10" ht="15.75" x14ac:dyDescent="0.25">
      <c r="B85" s="22" t="s">
        <v>27</v>
      </c>
      <c r="C85" s="23"/>
      <c r="D85" s="23"/>
      <c r="E85">
        <f>SUMIF(H83:H83,"*OBLIGATORIO*",G83:G83)</f>
        <v>10</v>
      </c>
    </row>
    <row r="86" spans="1:10" ht="15.75" x14ac:dyDescent="0.25">
      <c r="B86" s="18" t="s">
        <v>28</v>
      </c>
      <c r="C86" s="19"/>
      <c r="D86" s="19"/>
      <c r="E86">
        <f>SUMIF(H83:H83,"*OPTATIVO*",G83:G83)</f>
        <v>0</v>
      </c>
    </row>
    <row r="87" spans="1:10" ht="15.75" x14ac:dyDescent="0.25">
      <c r="B87" s="28" t="s">
        <v>29</v>
      </c>
      <c r="C87" s="29"/>
      <c r="D87" s="29"/>
      <c r="E87" s="5">
        <f>SUM(E85:E86)</f>
        <v>10</v>
      </c>
    </row>
    <row r="88" spans="1:10" ht="15.75" x14ac:dyDescent="0.25">
      <c r="B88" s="18" t="s">
        <v>30</v>
      </c>
      <c r="C88" s="19"/>
      <c r="D88" s="19"/>
      <c r="E88">
        <f>E85+E73</f>
        <v>53</v>
      </c>
    </row>
    <row r="89" spans="1:10" ht="15.75" x14ac:dyDescent="0.25">
      <c r="B89" s="18" t="s">
        <v>31</v>
      </c>
      <c r="C89" s="19"/>
      <c r="D89" s="19"/>
      <c r="E89">
        <f>E86+E74</f>
        <v>4</v>
      </c>
    </row>
    <row r="90" spans="1:10" ht="15.75" x14ac:dyDescent="0.25">
      <c r="B90" s="28" t="s">
        <v>32</v>
      </c>
      <c r="C90" s="29"/>
      <c r="D90" s="29"/>
      <c r="E90" s="5">
        <f>SUM(E88:E89)</f>
        <v>57</v>
      </c>
    </row>
    <row r="91" spans="1:10" ht="15.75" x14ac:dyDescent="0.25">
      <c r="B91" s="18" t="s">
        <v>33</v>
      </c>
      <c r="C91" s="19"/>
      <c r="D91" s="19"/>
      <c r="E91">
        <f>COUNT(E83:E83)</f>
        <v>1</v>
      </c>
    </row>
    <row r="92" spans="1:10" ht="15.75" x14ac:dyDescent="0.25">
      <c r="B92" s="28" t="s">
        <v>34</v>
      </c>
      <c r="C92" s="29"/>
      <c r="D92" s="29"/>
      <c r="E92" s="5">
        <f>E91+E77</f>
        <v>14</v>
      </c>
    </row>
    <row r="93" spans="1:10" ht="16.5" thickBot="1" x14ac:dyDescent="0.3">
      <c r="B93" s="20" t="s">
        <v>57</v>
      </c>
      <c r="C93" s="21"/>
      <c r="D93" s="21"/>
      <c r="E93" s="5">
        <f>J83/E92</f>
        <v>66.285714285714292</v>
      </c>
    </row>
    <row r="96" spans="1:10" x14ac:dyDescent="0.25">
      <c r="A96" s="26" t="s">
        <v>58</v>
      </c>
      <c r="B96" s="26"/>
      <c r="C96" s="26"/>
      <c r="D96" s="26"/>
      <c r="E96" s="26"/>
      <c r="F96" s="26"/>
      <c r="G96" s="26"/>
      <c r="H96" s="26"/>
    </row>
    <row r="97" spans="1:10" x14ac:dyDescent="0.25">
      <c r="A97" t="s">
        <v>12</v>
      </c>
      <c r="B97" t="s">
        <v>13</v>
      </c>
      <c r="C97" t="s">
        <v>14</v>
      </c>
      <c r="D97" t="s">
        <v>15</v>
      </c>
      <c r="E97" t="s">
        <v>16</v>
      </c>
      <c r="F97" t="s">
        <v>17</v>
      </c>
      <c r="G97" t="s">
        <v>18</v>
      </c>
      <c r="H97" t="s">
        <v>19</v>
      </c>
    </row>
    <row r="98" spans="1:10" x14ac:dyDescent="0.25">
      <c r="A98" s="12">
        <v>15</v>
      </c>
      <c r="B98">
        <v>290</v>
      </c>
      <c r="C98" s="12">
        <v>949</v>
      </c>
      <c r="D98" s="12" t="s">
        <v>59</v>
      </c>
      <c r="E98" s="12">
        <v>61</v>
      </c>
      <c r="F98" s="13">
        <v>43963</v>
      </c>
      <c r="G98" s="35">
        <v>5</v>
      </c>
      <c r="H98" t="s">
        <v>25</v>
      </c>
      <c r="I98" t="s">
        <v>43</v>
      </c>
      <c r="J98" t="s">
        <v>44</v>
      </c>
    </row>
    <row r="99" spans="1:10" x14ac:dyDescent="0.25">
      <c r="A99" s="12">
        <v>16</v>
      </c>
      <c r="B99">
        <v>290</v>
      </c>
      <c r="C99" s="12">
        <v>292</v>
      </c>
      <c r="D99" s="12" t="s">
        <v>60</v>
      </c>
      <c r="E99" s="12">
        <v>77</v>
      </c>
      <c r="F99" s="13">
        <v>43964</v>
      </c>
      <c r="G99" s="35">
        <v>5</v>
      </c>
      <c r="H99" t="s">
        <v>25</v>
      </c>
      <c r="I99">
        <f>SUM(E98:E99)</f>
        <v>138</v>
      </c>
      <c r="J99">
        <f>I99+J83</f>
        <v>1066</v>
      </c>
    </row>
    <row r="100" spans="1:10" ht="15.75" thickBot="1" x14ac:dyDescent="0.3"/>
    <row r="101" spans="1:10" ht="15.75" x14ac:dyDescent="0.25">
      <c r="B101" s="22" t="s">
        <v>27</v>
      </c>
      <c r="C101" s="23"/>
      <c r="D101" s="23"/>
      <c r="E101">
        <f>SUMIF(H98:H99,"*OBLIGATORIO*",G98:G99)</f>
        <v>10</v>
      </c>
    </row>
    <row r="102" spans="1:10" ht="15.75" x14ac:dyDescent="0.25">
      <c r="B102" s="18" t="s">
        <v>28</v>
      </c>
      <c r="C102" s="19"/>
      <c r="D102" s="19"/>
      <c r="E102">
        <f>SUMIF(H98:H99,"*OPTATIVO*",G98:G99)</f>
        <v>0</v>
      </c>
    </row>
    <row r="103" spans="1:10" ht="15.75" x14ac:dyDescent="0.25">
      <c r="B103" s="28" t="s">
        <v>29</v>
      </c>
      <c r="C103" s="29"/>
      <c r="D103" s="29"/>
      <c r="E103" s="5">
        <f>SUM(E101:E102)</f>
        <v>10</v>
      </c>
    </row>
    <row r="104" spans="1:10" ht="15.75" x14ac:dyDescent="0.25">
      <c r="B104" s="18" t="s">
        <v>30</v>
      </c>
      <c r="C104" s="19"/>
      <c r="D104" s="19"/>
      <c r="E104">
        <f>E101+E88</f>
        <v>63</v>
      </c>
    </row>
    <row r="105" spans="1:10" ht="15.75" x14ac:dyDescent="0.25">
      <c r="B105" s="18" t="s">
        <v>31</v>
      </c>
      <c r="C105" s="19"/>
      <c r="D105" s="19"/>
      <c r="E105">
        <f>E102+E89</f>
        <v>4</v>
      </c>
    </row>
    <row r="106" spans="1:10" ht="15.75" x14ac:dyDescent="0.25">
      <c r="B106" s="28" t="s">
        <v>32</v>
      </c>
      <c r="C106" s="29"/>
      <c r="D106" s="29"/>
      <c r="E106" s="5">
        <f>SUM(E104:E105)</f>
        <v>67</v>
      </c>
    </row>
    <row r="107" spans="1:10" ht="15.75" x14ac:dyDescent="0.25">
      <c r="B107" s="18" t="s">
        <v>33</v>
      </c>
      <c r="C107" s="19"/>
      <c r="D107" s="19"/>
      <c r="E107">
        <f>COUNT(E98:E99)</f>
        <v>2</v>
      </c>
    </row>
    <row r="108" spans="1:10" ht="15.75" x14ac:dyDescent="0.25">
      <c r="B108" s="28" t="s">
        <v>34</v>
      </c>
      <c r="C108" s="29"/>
      <c r="D108" s="29"/>
      <c r="E108" s="5">
        <f>E107+E92</f>
        <v>16</v>
      </c>
    </row>
    <row r="109" spans="1:10" ht="16.5" thickBot="1" x14ac:dyDescent="0.3">
      <c r="B109" s="20" t="s">
        <v>61</v>
      </c>
      <c r="C109" s="21"/>
      <c r="D109" s="21"/>
      <c r="E109" s="5">
        <f>J99/E108</f>
        <v>66.625</v>
      </c>
    </row>
    <row r="112" spans="1:10" x14ac:dyDescent="0.25">
      <c r="A112" s="26" t="s">
        <v>58</v>
      </c>
      <c r="B112" s="26"/>
      <c r="C112" s="26"/>
      <c r="D112" s="26"/>
      <c r="E112" s="26"/>
      <c r="F112" s="26"/>
      <c r="G112" s="26"/>
      <c r="H112" s="26"/>
    </row>
    <row r="113" spans="1:10" x14ac:dyDescent="0.25">
      <c r="A113" t="s">
        <v>12</v>
      </c>
      <c r="B113" t="s">
        <v>13</v>
      </c>
      <c r="C113" t="s">
        <v>14</v>
      </c>
      <c r="D113" t="s">
        <v>15</v>
      </c>
      <c r="E113" t="s">
        <v>16</v>
      </c>
      <c r="F113" t="s">
        <v>17</v>
      </c>
      <c r="G113" t="s">
        <v>18</v>
      </c>
      <c r="H113" t="s">
        <v>19</v>
      </c>
    </row>
    <row r="114" spans="1:10" x14ac:dyDescent="0.25">
      <c r="A114" s="12">
        <v>15</v>
      </c>
      <c r="B114">
        <v>290</v>
      </c>
      <c r="C114" s="12">
        <v>949</v>
      </c>
      <c r="D114" s="12" t="s">
        <v>59</v>
      </c>
      <c r="E114" s="12">
        <v>61</v>
      </c>
      <c r="F114" s="13">
        <v>43963</v>
      </c>
      <c r="G114" s="35">
        <v>5</v>
      </c>
      <c r="H114" t="s">
        <v>25</v>
      </c>
      <c r="I114" t="s">
        <v>43</v>
      </c>
      <c r="J114" t="s">
        <v>44</v>
      </c>
    </row>
    <row r="115" spans="1:10" x14ac:dyDescent="0.25">
      <c r="A115" s="12">
        <v>16</v>
      </c>
      <c r="B115">
        <v>290</v>
      </c>
      <c r="C115" s="12">
        <v>292</v>
      </c>
      <c r="D115" s="12" t="s">
        <v>60</v>
      </c>
      <c r="E115" s="12">
        <v>77</v>
      </c>
      <c r="F115" s="13">
        <v>43964</v>
      </c>
      <c r="G115" s="35">
        <v>5</v>
      </c>
      <c r="H115" t="s">
        <v>25</v>
      </c>
      <c r="I115">
        <f>SUM(E114:E115)</f>
        <v>138</v>
      </c>
      <c r="J115">
        <f>I115+J99</f>
        <v>1204</v>
      </c>
    </row>
    <row r="116" spans="1:10" ht="15.75" thickBot="1" x14ac:dyDescent="0.3"/>
    <row r="117" spans="1:10" ht="15.75" x14ac:dyDescent="0.25">
      <c r="B117" s="43" t="s">
        <v>27</v>
      </c>
      <c r="C117" s="44"/>
      <c r="D117" s="45"/>
      <c r="E117">
        <f>SUMIF(H114:H115,"*OBLIGATORIO*",G114:G115)</f>
        <v>10</v>
      </c>
    </row>
    <row r="118" spans="1:10" ht="15.75" x14ac:dyDescent="0.25">
      <c r="B118" s="37" t="s">
        <v>28</v>
      </c>
      <c r="C118" s="38"/>
      <c r="D118" s="39"/>
      <c r="E118">
        <f>SUMIF(H114:H115,"*OPTATIVO*",G114:G115)</f>
        <v>0</v>
      </c>
    </row>
    <row r="119" spans="1:10" ht="15.75" x14ac:dyDescent="0.25">
      <c r="B119" s="40" t="s">
        <v>29</v>
      </c>
      <c r="C119" s="41"/>
      <c r="D119" s="42"/>
      <c r="E119" s="5">
        <f>SUM(E117:E118)</f>
        <v>10</v>
      </c>
    </row>
    <row r="120" spans="1:10" ht="15.75" x14ac:dyDescent="0.25">
      <c r="B120" s="37" t="s">
        <v>30</v>
      </c>
      <c r="C120" s="38"/>
      <c r="D120" s="39"/>
      <c r="E120">
        <f>E117+E104</f>
        <v>73</v>
      </c>
    </row>
    <row r="121" spans="1:10" ht="15.75" x14ac:dyDescent="0.25">
      <c r="B121" s="37" t="s">
        <v>31</v>
      </c>
      <c r="C121" s="38"/>
      <c r="D121" s="39"/>
      <c r="E121">
        <f>E118+E105</f>
        <v>4</v>
      </c>
    </row>
    <row r="122" spans="1:10" ht="15.75" x14ac:dyDescent="0.25">
      <c r="B122" s="40" t="s">
        <v>32</v>
      </c>
      <c r="C122" s="41"/>
      <c r="D122" s="42"/>
      <c r="E122" s="5">
        <f>SUM(E120:E121)</f>
        <v>77</v>
      </c>
    </row>
    <row r="123" spans="1:10" ht="15.75" x14ac:dyDescent="0.25">
      <c r="B123" s="37" t="s">
        <v>33</v>
      </c>
      <c r="C123" s="38"/>
      <c r="D123" s="39"/>
      <c r="E123">
        <f>COUNT(E114:E115)</f>
        <v>2</v>
      </c>
    </row>
    <row r="124" spans="1:10" ht="15.75" x14ac:dyDescent="0.25">
      <c r="B124" s="40" t="s">
        <v>34</v>
      </c>
      <c r="C124" s="41"/>
      <c r="D124" s="42"/>
      <c r="E124" s="5">
        <f>E123+E108</f>
        <v>18</v>
      </c>
    </row>
    <row r="125" spans="1:10" ht="16.5" thickBot="1" x14ac:dyDescent="0.3">
      <c r="B125" s="46" t="s">
        <v>61</v>
      </c>
      <c r="C125" s="47"/>
      <c r="D125" s="48"/>
      <c r="E125" s="5">
        <f>J115/E124</f>
        <v>66.888888888888886</v>
      </c>
    </row>
  </sheetData>
  <mergeCells count="74">
    <mergeCell ref="B121:D121"/>
    <mergeCell ref="B122:D122"/>
    <mergeCell ref="B123:D123"/>
    <mergeCell ref="B124:D124"/>
    <mergeCell ref="B125:D125"/>
    <mergeCell ref="A112:H112"/>
    <mergeCell ref="B117:D117"/>
    <mergeCell ref="B118:D118"/>
    <mergeCell ref="B119:D119"/>
    <mergeCell ref="B120:D120"/>
    <mergeCell ref="B105:D105"/>
    <mergeCell ref="B106:D106"/>
    <mergeCell ref="B107:D107"/>
    <mergeCell ref="B108:D108"/>
    <mergeCell ref="B109:D109"/>
    <mergeCell ref="A96:H96"/>
    <mergeCell ref="B101:D101"/>
    <mergeCell ref="B102:D102"/>
    <mergeCell ref="B103:D103"/>
    <mergeCell ref="B104:D104"/>
    <mergeCell ref="B93:D93"/>
    <mergeCell ref="A81:H81"/>
    <mergeCell ref="B85:D85"/>
    <mergeCell ref="B86:D86"/>
    <mergeCell ref="B87:D87"/>
    <mergeCell ref="B88:D88"/>
    <mergeCell ref="B89:D89"/>
    <mergeCell ref="B90:D90"/>
    <mergeCell ref="B91:D91"/>
    <mergeCell ref="B92:D92"/>
    <mergeCell ref="B78:D78"/>
    <mergeCell ref="B73:D73"/>
    <mergeCell ref="B74:D74"/>
    <mergeCell ref="B75:D75"/>
    <mergeCell ref="B76:D76"/>
    <mergeCell ref="B77:D77"/>
    <mergeCell ref="B61:D61"/>
    <mergeCell ref="A64:H64"/>
    <mergeCell ref="B70:D70"/>
    <mergeCell ref="B71:D71"/>
    <mergeCell ref="B72:D72"/>
    <mergeCell ref="B44:D44"/>
    <mergeCell ref="B45:D45"/>
    <mergeCell ref="B39:D39"/>
    <mergeCell ref="B40:D40"/>
    <mergeCell ref="B41:D41"/>
    <mergeCell ref="B42:D42"/>
    <mergeCell ref="B43:D43"/>
    <mergeCell ref="B26:D26"/>
    <mergeCell ref="B27:D27"/>
    <mergeCell ref="B28:D28"/>
    <mergeCell ref="B37:D37"/>
    <mergeCell ref="B38:D38"/>
    <mergeCell ref="A31:H31"/>
    <mergeCell ref="B21:D21"/>
    <mergeCell ref="B22:D22"/>
    <mergeCell ref="B23:D23"/>
    <mergeCell ref="B24:D24"/>
    <mergeCell ref="B25:D25"/>
    <mergeCell ref="D1:H1"/>
    <mergeCell ref="D2:H2"/>
    <mergeCell ref="D3:H3"/>
    <mergeCell ref="D4:H4"/>
    <mergeCell ref="B20:D20"/>
    <mergeCell ref="A12:H12"/>
    <mergeCell ref="A48:H48"/>
    <mergeCell ref="B53:D53"/>
    <mergeCell ref="B54:D54"/>
    <mergeCell ref="B55:D55"/>
    <mergeCell ref="B56:D56"/>
    <mergeCell ref="B57:D57"/>
    <mergeCell ref="B58:D58"/>
    <mergeCell ref="B59:D59"/>
    <mergeCell ref="B60:D60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Rivera</dc:creator>
  <cp:lastModifiedBy>Marlon Ivan Carreto Rivera</cp:lastModifiedBy>
  <dcterms:created xsi:type="dcterms:W3CDTF">2026-01-23T04:27:34Z</dcterms:created>
  <dcterms:modified xsi:type="dcterms:W3CDTF">2026-01-28T02:35:28Z</dcterms:modified>
</cp:coreProperties>
</file>