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\Documents\gitPrimer-Semestre-25\Requisitos CIERRE\"/>
    </mc:Choice>
  </mc:AlternateContent>
  <xr:revisionPtr revIDLastSave="0" documentId="13_ncr:1_{8DEF8AB1-BA12-440E-B208-874FD2667F71}" xr6:coauthVersionLast="47" xr6:coauthVersionMax="47" xr10:uidLastSave="{00000000-0000-0000-0000-000000000000}"/>
  <bookViews>
    <workbookView xWindow="-120" yWindow="-120" windowWidth="20730" windowHeight="11160" xr2:uid="{308FB4FC-A38D-436D-B0B2-F1F9BCAD63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3" i="1" l="1"/>
  <c r="E42" i="1"/>
  <c r="E41" i="1"/>
  <c r="E36" i="1"/>
  <c r="E39" i="1" s="1"/>
  <c r="E35" i="1"/>
  <c r="E38" i="1" s="1"/>
  <c r="E40" i="1" s="1"/>
  <c r="E26" i="1"/>
  <c r="E28" i="1" s="1"/>
  <c r="E21" i="1"/>
  <c r="E24" i="1" s="1"/>
  <c r="E20" i="1"/>
  <c r="E23" i="1" s="1"/>
  <c r="E25" i="1" s="1"/>
  <c r="E22" i="1" l="1"/>
  <c r="E27" i="1"/>
  <c r="E37" i="1"/>
</calcChain>
</file>

<file path=xl/sharedStrings.xml><?xml version="1.0" encoding="utf-8"?>
<sst xmlns="http://schemas.openxmlformats.org/spreadsheetml/2006/main" count="65" uniqueCount="38">
  <si>
    <t>Universidad de San Carlos de Guatemala</t>
  </si>
  <si>
    <t>Centro Universitario de Occidente</t>
  </si>
  <si>
    <t>División de Ciencias de la Ingeniería</t>
  </si>
  <si>
    <t xml:space="preserve">Ingeniería Civil </t>
  </si>
  <si>
    <t xml:space="preserve">MATRIZ DE CURSOS APROBADOS - INGENIERIA CIVIL </t>
  </si>
  <si>
    <t xml:space="preserve">ESTUDIANTE </t>
  </si>
  <si>
    <t>CARNÉ</t>
  </si>
  <si>
    <t xml:space="preserve">REGISTRO ACADEMICO </t>
  </si>
  <si>
    <t>Marlon Ivan Carreto Rivera</t>
  </si>
  <si>
    <t xml:space="preserve">INGENIERIA CIVIL </t>
  </si>
  <si>
    <t xml:space="preserve">PENSUM </t>
  </si>
  <si>
    <t>PRIMER SEMESTRE -2017</t>
  </si>
  <si>
    <t xml:space="preserve">NO </t>
  </si>
  <si>
    <t xml:space="preserve">CODIGO PRE-REQUISITO </t>
  </si>
  <si>
    <t xml:space="preserve">CODIGO CURSO </t>
  </si>
  <si>
    <t xml:space="preserve">CURSO </t>
  </si>
  <si>
    <t xml:space="preserve">NOTA FINAL </t>
  </si>
  <si>
    <t xml:space="preserve">FECHA APROBACIÓN </t>
  </si>
  <si>
    <t>No. CREDITOS</t>
  </si>
  <si>
    <t xml:space="preserve">CATEGORÍA </t>
  </si>
  <si>
    <t>NO REQUIERE</t>
  </si>
  <si>
    <t>DEPORTES 1</t>
  </si>
  <si>
    <t>SOCIAL HUMANISTICA 1</t>
  </si>
  <si>
    <t>TECNICA COMPLEMENTARIA 1</t>
  </si>
  <si>
    <t>ORIENTACION Y LIDERAZGO</t>
  </si>
  <si>
    <t>QUIMICA 1</t>
  </si>
  <si>
    <t>OBLIGATORIO</t>
  </si>
  <si>
    <t>OPTATIVO</t>
  </si>
  <si>
    <t>Créditos de Cursos Obligatorios</t>
  </si>
  <si>
    <t>Créditos de Cursos Optativos</t>
  </si>
  <si>
    <t>Créditos del Semestre</t>
  </si>
  <si>
    <t>Créditos Acumulados Obligatorios</t>
  </si>
  <si>
    <t>Créditos Acumulados Optativos</t>
  </si>
  <si>
    <t>Créditos Acumulados</t>
  </si>
  <si>
    <t>Cursos de Semestre</t>
  </si>
  <si>
    <t>Cursos Acumulados</t>
  </si>
  <si>
    <t>Promedio hasta el primer semestre 2018</t>
  </si>
  <si>
    <t>SOCIAL HUMANISTICA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</si>
</sst>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1" fontId="0" fillId="0" borderId="0" xfId="0" applyNumberFormat="1"/>
    <xf numFmtId="0" fontId="1" fillId="0" borderId="0" xfId="0" applyFont="1" applyAlignment="1">
      <alignment horizontal="center" vertical="center"/>
    </xf>
    <xf numFmtId="1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78740</xdr:rowOff>
    </xdr:from>
    <xdr:to>
      <xdr:col>1</xdr:col>
      <xdr:colOff>1601183</xdr:colOff>
      <xdr:row>4</xdr:row>
      <xdr:rowOff>14780</xdr:rowOff>
    </xdr:to>
    <xdr:pic>
      <xdr:nvPicPr>
        <xdr:cNvPr id="2" name="Imagen 1" descr="Imagen relacionada">
          <a:extLst>
            <a:ext uri="{FF2B5EF4-FFF2-40B4-BE49-F238E27FC236}">
              <a16:creationId xmlns:a16="http://schemas.microsoft.com/office/drawing/2014/main" id="{CDD5EBA9-E937-4CD4-B53A-BD7A2A69970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926" t="27858" r="21288" b="20523"/>
        <a:stretch/>
      </xdr:blipFill>
      <xdr:spPr bwMode="auto">
        <a:xfrm>
          <a:off x="30480" y="78740"/>
          <a:ext cx="2414618" cy="667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8384E-41F9-44FE-9912-6AC0D7358934}">
  <dimension ref="A1:H43"/>
  <sheetViews>
    <sheetView tabSelected="1" topLeftCell="A22" workbookViewId="0">
      <selection activeCell="F36" sqref="F36"/>
    </sheetView>
  </sheetViews>
  <sheetFormatPr baseColWidth="10" defaultRowHeight="15" x14ac:dyDescent="0.25"/>
  <cols>
    <col min="1" max="1" width="11.5703125" customWidth="1"/>
    <col min="2" max="2" width="24.7109375" customWidth="1"/>
    <col min="3" max="3" width="17" customWidth="1"/>
    <col min="4" max="4" width="29.28515625" customWidth="1"/>
    <col min="5" max="5" width="21.140625" customWidth="1"/>
    <col min="6" max="6" width="20.85546875" customWidth="1"/>
    <col min="7" max="7" width="14.7109375" customWidth="1"/>
    <col min="8" max="8" width="15.140625" customWidth="1"/>
  </cols>
  <sheetData>
    <row r="1" spans="1:8" ht="15.75" x14ac:dyDescent="0.25">
      <c r="A1" s="1"/>
      <c r="B1" s="1"/>
      <c r="C1" s="1"/>
      <c r="D1" s="4" t="s">
        <v>0</v>
      </c>
      <c r="E1" s="4"/>
      <c r="F1" s="4"/>
      <c r="G1" s="4"/>
      <c r="H1" s="4"/>
    </row>
    <row r="2" spans="1:8" ht="15.75" x14ac:dyDescent="0.25">
      <c r="A2" s="1"/>
      <c r="B2" s="1"/>
      <c r="C2" s="1"/>
      <c r="D2" s="4" t="s">
        <v>1</v>
      </c>
      <c r="E2" s="4"/>
      <c r="F2" s="4"/>
      <c r="G2" s="4"/>
      <c r="H2" s="4"/>
    </row>
    <row r="3" spans="1:8" ht="15.75" x14ac:dyDescent="0.25">
      <c r="A3" s="1"/>
      <c r="B3" s="1"/>
      <c r="C3" s="1"/>
      <c r="D3" s="4" t="s">
        <v>2</v>
      </c>
      <c r="E3" s="4"/>
      <c r="F3" s="4"/>
      <c r="G3" s="4"/>
      <c r="H3" s="4"/>
    </row>
    <row r="4" spans="1:8" ht="15.75" x14ac:dyDescent="0.25">
      <c r="A4" s="1"/>
      <c r="B4" s="1"/>
      <c r="C4" s="1"/>
      <c r="D4" s="4" t="s">
        <v>3</v>
      </c>
      <c r="E4" s="4"/>
      <c r="F4" s="4"/>
      <c r="G4" s="4"/>
      <c r="H4" s="4"/>
    </row>
    <row r="6" spans="1:8" x14ac:dyDescent="0.25">
      <c r="E6" t="s">
        <v>4</v>
      </c>
    </row>
    <row r="8" spans="1:8" x14ac:dyDescent="0.25">
      <c r="A8" t="s">
        <v>5</v>
      </c>
      <c r="C8" t="s">
        <v>8</v>
      </c>
      <c r="G8" t="s">
        <v>9</v>
      </c>
    </row>
    <row r="9" spans="1:8" x14ac:dyDescent="0.25">
      <c r="A9" t="s">
        <v>6</v>
      </c>
      <c r="C9" s="3">
        <v>2733955050909</v>
      </c>
      <c r="D9" s="3"/>
      <c r="G9" t="s">
        <v>10</v>
      </c>
      <c r="H9">
        <v>2012</v>
      </c>
    </row>
    <row r="10" spans="1:8" x14ac:dyDescent="0.25">
      <c r="A10" t="s">
        <v>7</v>
      </c>
      <c r="C10" s="2">
        <v>201230088</v>
      </c>
    </row>
    <row r="12" spans="1:8" x14ac:dyDescent="0.25">
      <c r="E12" t="s">
        <v>11</v>
      </c>
    </row>
    <row r="13" spans="1:8" x14ac:dyDescent="0.25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</row>
    <row r="14" spans="1:8" x14ac:dyDescent="0.25">
      <c r="A14">
        <v>1</v>
      </c>
      <c r="B14" t="s">
        <v>20</v>
      </c>
      <c r="C14">
        <v>2666</v>
      </c>
      <c r="D14" t="s">
        <v>24</v>
      </c>
      <c r="E14">
        <v>72</v>
      </c>
      <c r="F14" s="5">
        <v>42863</v>
      </c>
      <c r="G14">
        <v>1</v>
      </c>
      <c r="H14" t="s">
        <v>26</v>
      </c>
    </row>
    <row r="15" spans="1:8" x14ac:dyDescent="0.25">
      <c r="A15">
        <v>2</v>
      </c>
      <c r="B15" t="s">
        <v>20</v>
      </c>
      <c r="C15">
        <v>216</v>
      </c>
      <c r="D15" t="s">
        <v>25</v>
      </c>
      <c r="E15">
        <v>64</v>
      </c>
      <c r="F15" s="5">
        <v>42866</v>
      </c>
      <c r="G15">
        <v>3</v>
      </c>
      <c r="H15" t="s">
        <v>26</v>
      </c>
    </row>
    <row r="16" spans="1:8" x14ac:dyDescent="0.25">
      <c r="A16">
        <v>3</v>
      </c>
      <c r="B16" t="s">
        <v>20</v>
      </c>
      <c r="C16">
        <v>119</v>
      </c>
      <c r="D16" t="s">
        <v>23</v>
      </c>
      <c r="E16">
        <v>63</v>
      </c>
      <c r="F16" s="5">
        <v>42867</v>
      </c>
      <c r="G16">
        <v>3</v>
      </c>
      <c r="H16" t="s">
        <v>26</v>
      </c>
    </row>
    <row r="17" spans="1:8" x14ac:dyDescent="0.25">
      <c r="A17">
        <v>4</v>
      </c>
      <c r="B17" t="s">
        <v>20</v>
      </c>
      <c r="C17">
        <v>177</v>
      </c>
      <c r="D17" t="s">
        <v>21</v>
      </c>
      <c r="E17">
        <v>75</v>
      </c>
      <c r="F17" s="5">
        <v>42867</v>
      </c>
      <c r="G17">
        <v>1</v>
      </c>
      <c r="H17" t="s">
        <v>27</v>
      </c>
    </row>
    <row r="18" spans="1:8" x14ac:dyDescent="0.25">
      <c r="A18">
        <v>5</v>
      </c>
      <c r="B18" t="s">
        <v>20</v>
      </c>
      <c r="C18">
        <v>28</v>
      </c>
      <c r="D18" t="s">
        <v>22</v>
      </c>
      <c r="E18">
        <v>69</v>
      </c>
      <c r="F18" s="5">
        <v>42881</v>
      </c>
      <c r="G18">
        <v>4</v>
      </c>
      <c r="H18" t="s">
        <v>26</v>
      </c>
    </row>
    <row r="19" spans="1:8" ht="15.75" thickBot="1" x14ac:dyDescent="0.3"/>
    <row r="20" spans="1:8" ht="15.75" x14ac:dyDescent="0.25">
      <c r="B20" s="6" t="s">
        <v>28</v>
      </c>
      <c r="C20" s="7"/>
      <c r="D20" s="7"/>
      <c r="E20">
        <f>SUMIF(H14:H18,"*OBLIGATORIO*",G14:G18)</f>
        <v>11</v>
      </c>
    </row>
    <row r="21" spans="1:8" ht="15.75" x14ac:dyDescent="0.25">
      <c r="B21" s="8" t="s">
        <v>29</v>
      </c>
      <c r="C21" s="9"/>
      <c r="D21" s="9"/>
      <c r="E21">
        <f>SUMIF(H15:H19,"*OPTATIVO*",G15:G19)</f>
        <v>1</v>
      </c>
    </row>
    <row r="22" spans="1:8" ht="15.75" x14ac:dyDescent="0.25">
      <c r="B22" s="10" t="s">
        <v>30</v>
      </c>
      <c r="C22" s="11"/>
      <c r="D22" s="11"/>
      <c r="E22" s="14">
        <f>SUM(E20:E21)</f>
        <v>12</v>
      </c>
    </row>
    <row r="23" spans="1:8" ht="15.75" x14ac:dyDescent="0.25">
      <c r="B23" s="8" t="s">
        <v>31</v>
      </c>
      <c r="C23" s="9"/>
      <c r="D23" s="9"/>
      <c r="E23">
        <f>E20</f>
        <v>11</v>
      </c>
    </row>
    <row r="24" spans="1:8" ht="15.75" x14ac:dyDescent="0.25">
      <c r="B24" s="8" t="s">
        <v>32</v>
      </c>
      <c r="C24" s="9"/>
      <c r="D24" s="9"/>
      <c r="E24">
        <f>E21</f>
        <v>1</v>
      </c>
    </row>
    <row r="25" spans="1:8" ht="15.75" x14ac:dyDescent="0.25">
      <c r="B25" s="10" t="s">
        <v>33</v>
      </c>
      <c r="C25" s="11"/>
      <c r="D25" s="11"/>
      <c r="E25" s="14">
        <f>SUM(E23:E24)</f>
        <v>12</v>
      </c>
    </row>
    <row r="26" spans="1:8" ht="15.75" x14ac:dyDescent="0.25">
      <c r="B26" s="8" t="s">
        <v>34</v>
      </c>
      <c r="C26" s="9"/>
      <c r="D26" s="9"/>
      <c r="E26">
        <f>COUNT(E14:E18)</f>
        <v>5</v>
      </c>
    </row>
    <row r="27" spans="1:8" ht="15.75" x14ac:dyDescent="0.25">
      <c r="B27" s="10" t="s">
        <v>35</v>
      </c>
      <c r="C27" s="11"/>
      <c r="D27" s="11"/>
      <c r="E27" s="14">
        <f>E26</f>
        <v>5</v>
      </c>
    </row>
    <row r="28" spans="1:8" ht="16.5" thickBot="1" x14ac:dyDescent="0.3">
      <c r="B28" s="12" t="s">
        <v>36</v>
      </c>
      <c r="C28" s="13"/>
      <c r="D28" s="13"/>
      <c r="E28" s="14">
        <f>SUM(E14:E18)/E26</f>
        <v>68.599999999999994</v>
      </c>
    </row>
    <row r="31" spans="1:8" x14ac:dyDescent="0.25">
      <c r="E31" t="s">
        <v>11</v>
      </c>
    </row>
    <row r="32" spans="1:8" x14ac:dyDescent="0.25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</row>
    <row r="33" spans="1:8" x14ac:dyDescent="0.25">
      <c r="A33">
        <v>1</v>
      </c>
      <c r="B33" t="s">
        <v>20</v>
      </c>
      <c r="C33">
        <v>2666</v>
      </c>
      <c r="D33" t="s">
        <v>37</v>
      </c>
      <c r="E33">
        <v>72</v>
      </c>
      <c r="F33" s="5">
        <v>42863</v>
      </c>
      <c r="G33">
        <v>1</v>
      </c>
      <c r="H33" t="s">
        <v>26</v>
      </c>
    </row>
    <row r="34" spans="1:8" ht="15.75" thickBot="1" x14ac:dyDescent="0.3"/>
    <row r="35" spans="1:8" ht="15.75" x14ac:dyDescent="0.25">
      <c r="B35" s="6" t="s">
        <v>28</v>
      </c>
      <c r="C35" s="7"/>
      <c r="D35" s="7"/>
      <c r="E35">
        <f>SUMIF(H33:H33,"*OBLIGATORIO*",G33:G33)</f>
        <v>1</v>
      </c>
    </row>
    <row r="36" spans="1:8" ht="15.75" x14ac:dyDescent="0.25">
      <c r="B36" s="8" t="s">
        <v>29</v>
      </c>
      <c r="C36" s="9"/>
      <c r="D36" s="9"/>
      <c r="E36">
        <f>SUMIF(H34:H34,"*OPTATIVO*",G34:G34)</f>
        <v>0</v>
      </c>
    </row>
    <row r="37" spans="1:8" ht="15.75" x14ac:dyDescent="0.25">
      <c r="B37" s="10" t="s">
        <v>30</v>
      </c>
      <c r="C37" s="11"/>
      <c r="D37" s="11"/>
      <c r="E37" s="14">
        <f>SUM(E35:E36)</f>
        <v>1</v>
      </c>
    </row>
    <row r="38" spans="1:8" ht="15.75" x14ac:dyDescent="0.25">
      <c r="B38" s="8" t="s">
        <v>31</v>
      </c>
      <c r="C38" s="9"/>
      <c r="D38" s="9"/>
      <c r="E38">
        <f>E35</f>
        <v>1</v>
      </c>
    </row>
    <row r="39" spans="1:8" ht="15.75" x14ac:dyDescent="0.25">
      <c r="B39" s="8" t="s">
        <v>32</v>
      </c>
      <c r="C39" s="9"/>
      <c r="D39" s="9"/>
      <c r="E39">
        <f>E36</f>
        <v>0</v>
      </c>
    </row>
    <row r="40" spans="1:8" ht="15.75" x14ac:dyDescent="0.25">
      <c r="B40" s="10" t="s">
        <v>33</v>
      </c>
      <c r="C40" s="11"/>
      <c r="D40" s="11"/>
      <c r="E40" s="14">
        <f>SUM(E38:E39)</f>
        <v>1</v>
      </c>
    </row>
    <row r="41" spans="1:8" ht="15.75" x14ac:dyDescent="0.25">
      <c r="B41" s="8" t="s">
        <v>34</v>
      </c>
      <c r="C41" s="9"/>
      <c r="D41" s="9"/>
      <c r="E41">
        <f>COUNT(E33:E33)</f>
        <v>1</v>
      </c>
    </row>
    <row r="42" spans="1:8" ht="15.75" x14ac:dyDescent="0.25">
      <c r="B42" s="10" t="s">
        <v>35</v>
      </c>
      <c r="C42" s="11"/>
      <c r="D42" s="11"/>
      <c r="E42" s="14">
        <f>E41</f>
        <v>1</v>
      </c>
    </row>
    <row r="43" spans="1:8" ht="16.5" thickBot="1" x14ac:dyDescent="0.3">
      <c r="B43" s="12" t="s">
        <v>36</v>
      </c>
      <c r="C43" s="13"/>
      <c r="D43" s="13"/>
      <c r="E43" s="14">
        <f>SUM(E33:E33)/E41</f>
        <v>72</v>
      </c>
    </row>
  </sheetData>
  <mergeCells count="22">
    <mergeCell ref="B42:D42"/>
    <mergeCell ref="B43:D43"/>
    <mergeCell ref="B37:D37"/>
    <mergeCell ref="B38:D38"/>
    <mergeCell ref="B39:D39"/>
    <mergeCell ref="B40:D40"/>
    <mergeCell ref="B41:D41"/>
    <mergeCell ref="B26:D26"/>
    <mergeCell ref="B27:D27"/>
    <mergeCell ref="B28:D28"/>
    <mergeCell ref="B35:D35"/>
    <mergeCell ref="B36:D36"/>
    <mergeCell ref="B21:D21"/>
    <mergeCell ref="B22:D22"/>
    <mergeCell ref="B23:D23"/>
    <mergeCell ref="B24:D24"/>
    <mergeCell ref="B25:D25"/>
    <mergeCell ref="D1:H1"/>
    <mergeCell ref="D2:H2"/>
    <mergeCell ref="D3:H3"/>
    <mergeCell ref="D4:H4"/>
    <mergeCell ref="B20:D2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Rivera</dc:creator>
  <cp:lastModifiedBy>Marlon Ivan Carreto Rivera</cp:lastModifiedBy>
  <dcterms:created xsi:type="dcterms:W3CDTF">2026-01-23T04:27:34Z</dcterms:created>
  <dcterms:modified xsi:type="dcterms:W3CDTF">2026-01-24T01:41:48Z</dcterms:modified>
</cp:coreProperties>
</file>