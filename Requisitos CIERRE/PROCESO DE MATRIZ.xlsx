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Primer-Semestre-25\Requisitos CIERRE\"/>
    </mc:Choice>
  </mc:AlternateContent>
  <xr:revisionPtr revIDLastSave="0" documentId="13_ncr:1_{9A6C0A64-23CF-432E-B9CF-D2021D2BB56F}" xr6:coauthVersionLast="47" xr6:coauthVersionMax="47" xr10:uidLastSave="{00000000-0000-0000-0000-000000000000}"/>
  <bookViews>
    <workbookView xWindow="-120" yWindow="-120" windowWidth="20730" windowHeight="11160" xr2:uid="{308FB4FC-A38D-436D-B0B2-F1F9BCAD63F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09" i="1" l="1"/>
  <c r="E410" i="1" s="1"/>
  <c r="E404" i="1"/>
  <c r="E407" i="1" s="1"/>
  <c r="E403" i="1"/>
  <c r="E406" i="1" s="1"/>
  <c r="E408" i="1" s="1"/>
  <c r="I401" i="1"/>
  <c r="J401" i="1" s="1"/>
  <c r="E411" i="1" s="1"/>
  <c r="E387" i="1"/>
  <c r="E388" i="1" s="1"/>
  <c r="E382" i="1"/>
  <c r="E385" i="1" s="1"/>
  <c r="E381" i="1"/>
  <c r="E384" i="1" s="1"/>
  <c r="E386" i="1" s="1"/>
  <c r="I379" i="1"/>
  <c r="J379" i="1" s="1"/>
  <c r="E389" i="1" s="1"/>
  <c r="E365" i="1"/>
  <c r="E366" i="1" s="1"/>
  <c r="E360" i="1"/>
  <c r="E363" i="1" s="1"/>
  <c r="E359" i="1"/>
  <c r="E362" i="1" s="1"/>
  <c r="E364" i="1" s="1"/>
  <c r="I357" i="1"/>
  <c r="J357" i="1" s="1"/>
  <c r="E367" i="1" s="1"/>
  <c r="E343" i="1"/>
  <c r="E344" i="1" s="1"/>
  <c r="E338" i="1"/>
  <c r="E341" i="1" s="1"/>
  <c r="E337" i="1"/>
  <c r="E340" i="1" s="1"/>
  <c r="E342" i="1" s="1"/>
  <c r="I335" i="1"/>
  <c r="J335" i="1" s="1"/>
  <c r="E345" i="1" s="1"/>
  <c r="E321" i="1"/>
  <c r="E322" i="1" s="1"/>
  <c r="E316" i="1"/>
  <c r="E319" i="1" s="1"/>
  <c r="E315" i="1"/>
  <c r="E318" i="1" s="1"/>
  <c r="E320" i="1" s="1"/>
  <c r="I313" i="1"/>
  <c r="J313" i="1" s="1"/>
  <c r="E323" i="1" s="1"/>
  <c r="E299" i="1"/>
  <c r="E300" i="1" s="1"/>
  <c r="E294" i="1"/>
  <c r="E297" i="1" s="1"/>
  <c r="E293" i="1"/>
  <c r="E296" i="1" s="1"/>
  <c r="E298" i="1" s="1"/>
  <c r="I291" i="1"/>
  <c r="J291" i="1" s="1"/>
  <c r="E301" i="1" s="1"/>
  <c r="E405" i="1" l="1"/>
  <c r="E383" i="1"/>
  <c r="E361" i="1"/>
  <c r="E339" i="1"/>
  <c r="E317" i="1"/>
  <c r="E295" i="1"/>
  <c r="E277" i="1"/>
  <c r="E272" i="1"/>
  <c r="E271" i="1"/>
  <c r="I269" i="1"/>
  <c r="E261" i="1"/>
  <c r="E256" i="1"/>
  <c r="E255" i="1"/>
  <c r="I253" i="1"/>
  <c r="E242" i="1"/>
  <c r="E237" i="1"/>
  <c r="E236" i="1"/>
  <c r="I234" i="1"/>
  <c r="E227" i="1"/>
  <c r="E222" i="1"/>
  <c r="E221" i="1"/>
  <c r="I219" i="1"/>
  <c r="E205" i="1"/>
  <c r="E200" i="1"/>
  <c r="E199" i="1"/>
  <c r="I197" i="1"/>
  <c r="E190" i="1"/>
  <c r="E185" i="1"/>
  <c r="E184" i="1"/>
  <c r="I182" i="1"/>
  <c r="E170" i="1"/>
  <c r="E165" i="1"/>
  <c r="E164" i="1"/>
  <c r="I162" i="1"/>
  <c r="E155" i="1"/>
  <c r="E150" i="1"/>
  <c r="E149" i="1"/>
  <c r="I147" i="1"/>
  <c r="E140" i="1"/>
  <c r="E135" i="1"/>
  <c r="E134" i="1"/>
  <c r="I132" i="1"/>
  <c r="E123" i="1"/>
  <c r="E118" i="1"/>
  <c r="E117" i="1"/>
  <c r="I115" i="1"/>
  <c r="E107" i="1"/>
  <c r="E102" i="1"/>
  <c r="E101" i="1"/>
  <c r="I99" i="1"/>
  <c r="E91" i="1"/>
  <c r="E86" i="1"/>
  <c r="E85" i="1"/>
  <c r="I83" i="1"/>
  <c r="E71" i="1"/>
  <c r="E76" i="1"/>
  <c r="E70" i="1"/>
  <c r="I68" i="1"/>
  <c r="E273" i="1" l="1"/>
  <c r="E257" i="1"/>
  <c r="E238" i="1"/>
  <c r="E223" i="1"/>
  <c r="E201" i="1"/>
  <c r="E186" i="1"/>
  <c r="E166" i="1"/>
  <c r="E151" i="1"/>
  <c r="E136" i="1"/>
  <c r="E119" i="1"/>
  <c r="E103" i="1"/>
  <c r="E87" i="1"/>
  <c r="E59" i="1" l="1"/>
  <c r="E54" i="1"/>
  <c r="E53" i="1"/>
  <c r="I51" i="1"/>
  <c r="E72" i="1" l="1"/>
  <c r="E55" i="1"/>
  <c r="I35" i="1"/>
  <c r="I18" i="1"/>
  <c r="E43" i="1"/>
  <c r="E38" i="1"/>
  <c r="E37" i="1"/>
  <c r="J35" i="1" l="1"/>
  <c r="J51" i="1" s="1"/>
  <c r="J68" i="1" s="1"/>
  <c r="E26" i="1"/>
  <c r="E21" i="1"/>
  <c r="E24" i="1" s="1"/>
  <c r="E41" i="1" s="1"/>
  <c r="E57" i="1" s="1"/>
  <c r="E74" i="1" s="1"/>
  <c r="E89" i="1" s="1"/>
  <c r="E105" i="1" s="1"/>
  <c r="E121" i="1" s="1"/>
  <c r="E138" i="1" s="1"/>
  <c r="E153" i="1" s="1"/>
  <c r="E168" i="1" s="1"/>
  <c r="E188" i="1" s="1"/>
  <c r="E203" i="1" s="1"/>
  <c r="E225" i="1" s="1"/>
  <c r="E240" i="1" s="1"/>
  <c r="E20" i="1"/>
  <c r="E23" i="1" s="1"/>
  <c r="E40" i="1" s="1"/>
  <c r="E56" i="1" s="1"/>
  <c r="E73" i="1" s="1"/>
  <c r="E88" i="1" s="1"/>
  <c r="E259" i="1" l="1"/>
  <c r="E275" i="1" s="1"/>
  <c r="E90" i="1"/>
  <c r="E104" i="1"/>
  <c r="J83" i="1"/>
  <c r="J99" i="1" s="1"/>
  <c r="J115" i="1" s="1"/>
  <c r="J132" i="1" s="1"/>
  <c r="E75" i="1"/>
  <c r="E58" i="1"/>
  <c r="E25" i="1"/>
  <c r="E22" i="1"/>
  <c r="E27" i="1"/>
  <c r="E39" i="1"/>
  <c r="J147" i="1" l="1"/>
  <c r="E106" i="1"/>
  <c r="E120" i="1"/>
  <c r="E28" i="1"/>
  <c r="E44" i="1"/>
  <c r="E42" i="1"/>
  <c r="J162" i="1" l="1"/>
  <c r="E122" i="1"/>
  <c r="E137" i="1"/>
  <c r="E45" i="1"/>
  <c r="E60" i="1"/>
  <c r="J182" i="1" l="1"/>
  <c r="E139" i="1"/>
  <c r="E152" i="1"/>
  <c r="E61" i="1"/>
  <c r="E77" i="1"/>
  <c r="J197" i="1" l="1"/>
  <c r="E154" i="1"/>
  <c r="E167" i="1"/>
  <c r="E92" i="1"/>
  <c r="E78" i="1"/>
  <c r="E169" i="1" l="1"/>
  <c r="E187" i="1"/>
  <c r="J219" i="1"/>
  <c r="E93" i="1"/>
  <c r="E108" i="1"/>
  <c r="J234" i="1" l="1"/>
  <c r="E189" i="1"/>
  <c r="E202" i="1"/>
  <c r="E109" i="1"/>
  <c r="E124" i="1"/>
  <c r="E125" i="1" l="1"/>
  <c r="E141" i="1"/>
  <c r="E204" i="1"/>
  <c r="E224" i="1"/>
  <c r="J253" i="1"/>
  <c r="J269" i="1" l="1"/>
  <c r="E239" i="1"/>
  <c r="E226" i="1"/>
  <c r="E156" i="1"/>
  <c r="E142" i="1"/>
  <c r="E258" i="1" l="1"/>
  <c r="E241" i="1"/>
  <c r="E171" i="1"/>
  <c r="E157" i="1"/>
  <c r="E191" i="1" l="1"/>
  <c r="E172" i="1"/>
  <c r="E260" i="1"/>
  <c r="E274" i="1"/>
  <c r="E276" i="1" s="1"/>
  <c r="E206" i="1" l="1"/>
  <c r="E192" i="1"/>
  <c r="E228" i="1" l="1"/>
  <c r="E207" i="1"/>
  <c r="E243" i="1" l="1"/>
  <c r="E229" i="1"/>
  <c r="E262" i="1" l="1"/>
  <c r="E244" i="1"/>
  <c r="E278" i="1" l="1"/>
  <c r="E279" i="1" s="1"/>
  <c r="E263" i="1"/>
</calcChain>
</file>

<file path=xl/sharedStrings.xml><?xml version="1.0" encoding="utf-8"?>
<sst xmlns="http://schemas.openxmlformats.org/spreadsheetml/2006/main" count="670" uniqueCount="126">
  <si>
    <t>Universidad de San Carlos de Guatemala</t>
  </si>
  <si>
    <t>Centro Universitario de Occidente</t>
  </si>
  <si>
    <t>División de Ciencias de la Ingeniería</t>
  </si>
  <si>
    <t xml:space="preserve">Ingeniería Civil </t>
  </si>
  <si>
    <t xml:space="preserve">MATRIZ DE CURSOS APROBADOS - INGENIERIA CIVIL </t>
  </si>
  <si>
    <t xml:space="preserve">ESTUDIANTE </t>
  </si>
  <si>
    <t>CARNÉ</t>
  </si>
  <si>
    <t xml:space="preserve">REGISTRO ACADEMICO </t>
  </si>
  <si>
    <t>Marlon Ivan Carreto Rivera</t>
  </si>
  <si>
    <t xml:space="preserve">INGENIERIA CIVIL </t>
  </si>
  <si>
    <t xml:space="preserve">PENSUM </t>
  </si>
  <si>
    <t>PRIMER SEMESTRE -2017</t>
  </si>
  <si>
    <t xml:space="preserve">NO </t>
  </si>
  <si>
    <t xml:space="preserve">CODIGO PRE-REQUISITO </t>
  </si>
  <si>
    <t xml:space="preserve">CODIGO CURSO </t>
  </si>
  <si>
    <t xml:space="preserve">CURSO </t>
  </si>
  <si>
    <t xml:space="preserve">NOTA FINAL </t>
  </si>
  <si>
    <t xml:space="preserve">FECHA APROBACIÓN </t>
  </si>
  <si>
    <t>No. CREDITOS</t>
  </si>
  <si>
    <t xml:space="preserve">CATEGORÍA </t>
  </si>
  <si>
    <t>DEPORTES 1</t>
  </si>
  <si>
    <t>SOCIAL HUMANISTICA 1</t>
  </si>
  <si>
    <t>TECNICA COMPLEMENTARIA 1</t>
  </si>
  <si>
    <t>ORIENTACION Y LIDERAZGO</t>
  </si>
  <si>
    <t>QUIMICA 1</t>
  </si>
  <si>
    <t>OBLIGATORIO</t>
  </si>
  <si>
    <t>OPTATIVO</t>
  </si>
  <si>
    <t>Créditos de Cursos Obligatorios</t>
  </si>
  <si>
    <t>Créditos de Cursos Optativos</t>
  </si>
  <si>
    <t>Créditos del Semestre</t>
  </si>
  <si>
    <t>Créditos Acumulados Obligatorios</t>
  </si>
  <si>
    <t>Créditos Acumulados Optativos</t>
  </si>
  <si>
    <t>Créditos Acumulados</t>
  </si>
  <si>
    <t>Cursos de Semestre</t>
  </si>
  <si>
    <t>Cursos Acumulados</t>
  </si>
  <si>
    <t>SOCIAL HUMANISTICA 2</t>
  </si>
  <si>
    <t>SEGUNDO SEMESTRE  -2017</t>
  </si>
  <si>
    <t>Promedio hasta el primer semestre 2017</t>
  </si>
  <si>
    <t>Promedio hasta el segundo semestre 2017</t>
  </si>
  <si>
    <t>TECNICAS DE INVESTIGACION Y ESTUDIO</t>
  </si>
  <si>
    <t>MATEMATICA BASICA 1</t>
  </si>
  <si>
    <t>NINGUNO</t>
  </si>
  <si>
    <t>PUNTEOS PREVIOS</t>
  </si>
  <si>
    <t xml:space="preserve">SEMESTRE </t>
  </si>
  <si>
    <t>PREVIO</t>
  </si>
  <si>
    <t>PRIMER SEMESETRE -2018</t>
  </si>
  <si>
    <t>FISICA BASICA</t>
  </si>
  <si>
    <t>MATEMATICA BASICA 2</t>
  </si>
  <si>
    <t>Promedio hasta el primer semestre 2018</t>
  </si>
  <si>
    <t>SEGUNDO SEMESETRE -2018</t>
  </si>
  <si>
    <t>DEPORTES 2</t>
  </si>
  <si>
    <t>LOGICA</t>
  </si>
  <si>
    <t>Promedio hasta el segundo semestre 2018</t>
  </si>
  <si>
    <t>FISICA 1</t>
  </si>
  <si>
    <t>170  - 72</t>
  </si>
  <si>
    <t>MATEMATICA INTERMEDIA 1</t>
  </si>
  <si>
    <t>SEGUNDO SEMESETRE -2019</t>
  </si>
  <si>
    <t>Promedio hasta el segundo semestre 2019</t>
  </si>
  <si>
    <t>PRIMER SEMESETRE -2020</t>
  </si>
  <si>
    <t>ESTADISTICA 1</t>
  </si>
  <si>
    <t>MATEMATICA INTERMEDIA 3</t>
  </si>
  <si>
    <t>Promedio hasta el primer semestre 2020</t>
  </si>
  <si>
    <t>Promedio hasta escuela de vacaciones junio 2020</t>
  </si>
  <si>
    <t>290 - 146</t>
  </si>
  <si>
    <t>FISICA 2</t>
  </si>
  <si>
    <t>MATEMATICA INTERMEDIA 2</t>
  </si>
  <si>
    <t>ESCUELA DE VACACIONES JUNIO - 2020</t>
  </si>
  <si>
    <t>SEGUNDO SEMESTRE -2020</t>
  </si>
  <si>
    <t>Promedio hasta el segndo semestre 2020</t>
  </si>
  <si>
    <t>291 - 292</t>
  </si>
  <si>
    <t>MATEMATICA APLICADA 1</t>
  </si>
  <si>
    <t>MATEMATICA APLICADA 3</t>
  </si>
  <si>
    <t>292 - 147</t>
  </si>
  <si>
    <t>INGENIERIA ELECTRICA 1</t>
  </si>
  <si>
    <t>SEGUNDO SEMESTRE - 2021</t>
  </si>
  <si>
    <t>Promedio hasta el segundo semestre 2021</t>
  </si>
  <si>
    <t>90Cr</t>
  </si>
  <si>
    <t>CONTABILIDAD 1</t>
  </si>
  <si>
    <t>PRIMER SEMESTRE - 2022</t>
  </si>
  <si>
    <t>Promedio hasta el prime semestre 2022</t>
  </si>
  <si>
    <t>ECOLOGIA</t>
  </si>
  <si>
    <t xml:space="preserve">OBLIGATORIO </t>
  </si>
  <si>
    <t>PRIMER SEMESTRE - 2023</t>
  </si>
  <si>
    <t>Promedio hasta el primer semestre 2023</t>
  </si>
  <si>
    <t>292 - 949</t>
  </si>
  <si>
    <t>PROGRAMACION DE COMPUTADORAS 1</t>
  </si>
  <si>
    <t>PRACTICAS INICIALES</t>
  </si>
  <si>
    <t>169 - 72 -216</t>
  </si>
  <si>
    <t>QUIMICA 2</t>
  </si>
  <si>
    <t>LEGISLACION 1</t>
  </si>
  <si>
    <t>TOPOGRAFIA 1</t>
  </si>
  <si>
    <t>MECANICA ANALITICA 1</t>
  </si>
  <si>
    <t>ESCUELA DE VACACIONES JUNIO - 2023</t>
  </si>
  <si>
    <t>Promedio hasta escuela de vacaciones junio 2023</t>
  </si>
  <si>
    <t>292 - 109</t>
  </si>
  <si>
    <t>RESISTENCIA DE MATERIALES 1</t>
  </si>
  <si>
    <t>SEGUNDO SEMESTRE - 2023</t>
  </si>
  <si>
    <t>Promedio hasta el segundo semestre 2023</t>
  </si>
  <si>
    <t>INGENIERIA ECONOMICA 1</t>
  </si>
  <si>
    <t>TECNICA COMPLEMENTARIA 2</t>
  </si>
  <si>
    <t>MECANICA DE FLUIDOS</t>
  </si>
  <si>
    <t>MATERIALES DE CONSTRUCCION</t>
  </si>
  <si>
    <t>MECANICA DE SUELOS</t>
  </si>
  <si>
    <t>LEGISLACION 2</t>
  </si>
  <si>
    <t>RESISTENCIA DE MATERIALES 2</t>
  </si>
  <si>
    <t>2394 - 120Cr</t>
  </si>
  <si>
    <t>PRACTICAS INTERMEDIAS</t>
  </si>
  <si>
    <t>ESCUELA DE VACACIONES DICIEMBRE - 2023</t>
  </si>
  <si>
    <t>Promedio hasta escuela de vacaciones diciembre 2023</t>
  </si>
  <si>
    <t>HIDRAULICA</t>
  </si>
  <si>
    <t>PRIMER SEMESTRE - 2024</t>
  </si>
  <si>
    <t>Promedio hasta el primer semestre 2024</t>
  </si>
  <si>
    <t>165Cr</t>
  </si>
  <si>
    <t>INGENIERIA DE LA PRODUCCION</t>
  </si>
  <si>
    <t>677 - 679</t>
  </si>
  <si>
    <t>CONCRETO ARMADO 1</t>
  </si>
  <si>
    <t>HIDROLOGIA</t>
  </si>
  <si>
    <t>TOPOGRAFIA 2</t>
  </si>
  <si>
    <t>150Cr</t>
  </si>
  <si>
    <t>ADMINISTRACION DE EMPRESAS 1</t>
  </si>
  <si>
    <t>ESCUELA DE VACACIONES JUNIO - 2024</t>
  </si>
  <si>
    <t>Promedio hasta escuela de vacaciones junio 2024</t>
  </si>
  <si>
    <t>ANALISIS ESTRUCTURAL 1</t>
  </si>
  <si>
    <t>747 - 748</t>
  </si>
  <si>
    <t>VIAS TERRESTRES 1</t>
  </si>
  <si>
    <t>SEGUNDO SEMESTRE - 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</si>
</sst>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1" fontId="0" fillId="0" borderId="0" xfId="0" applyNumberFormat="1" applyAlignment="1">
      <alignment horizontal="left"/>
    </xf>
    <xf numFmtId="0" fontId="0" fillId="0" borderId="9" xfId="0" applyBorder="1"/>
    <xf numFmtId="0" fontId="0" fillId="0" borderId="10" xfId="0" applyBorder="1"/>
    <xf numFmtId="0" fontId="2" fillId="0" borderId="11" xfId="0" applyFont="1" applyBorder="1"/>
    <xf numFmtId="0" fontId="2" fillId="0" borderId="12" xfId="0" applyFont="1" applyBorder="1"/>
    <xf numFmtId="0" fontId="0" fillId="0" borderId="3" xfId="0" applyBorder="1"/>
    <xf numFmtId="0" fontId="0" fillId="0" borderId="4" xfId="0" applyBorder="1"/>
    <xf numFmtId="14" fontId="0" fillId="0" borderId="13" xfId="0" applyNumberFormat="1" applyBorder="1"/>
    <xf numFmtId="0" fontId="0" fillId="0" borderId="5" xfId="0" applyBorder="1"/>
    <xf numFmtId="0" fontId="0" fillId="0" borderId="6" xfId="0" applyBorder="1"/>
    <xf numFmtId="14" fontId="0" fillId="0" borderId="14" xfId="0" applyNumberFormat="1" applyBorder="1"/>
    <xf numFmtId="0" fontId="0" fillId="0" borderId="11" xfId="0" applyBorder="1"/>
    <xf numFmtId="0" fontId="0" fillId="0" borderId="1" xfId="0" applyBorder="1"/>
    <xf numFmtId="0" fontId="0" fillId="0" borderId="2" xfId="0" applyBorder="1"/>
    <xf numFmtId="14" fontId="0" fillId="0" borderId="15" xfId="0" applyNumberFormat="1" applyBorder="1"/>
    <xf numFmtId="0" fontId="0" fillId="0" borderId="16" xfId="0" applyBorder="1"/>
    <xf numFmtId="14" fontId="0" fillId="0" borderId="17" xfId="0" applyNumberFormat="1" applyBorder="1"/>
    <xf numFmtId="0" fontId="0" fillId="0" borderId="18" xfId="0" applyBorder="1"/>
    <xf numFmtId="0" fontId="0" fillId="0" borderId="0" xfId="0" applyAlignment="1">
      <alignment horizontal="right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28" xfId="0" applyFont="1" applyFill="1" applyBorder="1" applyAlignment="1">
      <alignment horizontal="center"/>
    </xf>
    <xf numFmtId="0" fontId="2" fillId="2" borderId="29" xfId="0" applyFont="1" applyFill="1" applyBorder="1" applyAlignment="1">
      <alignment horizontal="center"/>
    </xf>
    <xf numFmtId="0" fontId="2" fillId="2" borderId="30" xfId="0" applyFont="1" applyFill="1" applyBorder="1" applyAlignment="1">
      <alignment horizontal="center"/>
    </xf>
    <xf numFmtId="0" fontId="0" fillId="0" borderId="31" xfId="0" applyBorder="1"/>
    <xf numFmtId="0" fontId="0" fillId="0" borderId="32" xfId="0" applyBorder="1"/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78740</xdr:rowOff>
    </xdr:from>
    <xdr:to>
      <xdr:col>1</xdr:col>
      <xdr:colOff>1601183</xdr:colOff>
      <xdr:row>4</xdr:row>
      <xdr:rowOff>14780</xdr:rowOff>
    </xdr:to>
    <xdr:pic>
      <xdr:nvPicPr>
        <xdr:cNvPr id="2" name="Imagen 1" descr="Imagen relacionada">
          <a:extLst>
            <a:ext uri="{FF2B5EF4-FFF2-40B4-BE49-F238E27FC236}">
              <a16:creationId xmlns:a16="http://schemas.microsoft.com/office/drawing/2014/main" id="{CDD5EBA9-E937-4CD4-B53A-BD7A2A69970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26" t="27858" r="21288" b="20523"/>
        <a:stretch/>
      </xdr:blipFill>
      <xdr:spPr bwMode="auto">
        <a:xfrm>
          <a:off x="30480" y="78740"/>
          <a:ext cx="2414618" cy="667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8384E-41F9-44FE-9912-6AC0D7358934}">
  <sheetPr codeName="Hoja1"/>
  <dimension ref="A1:J411"/>
  <sheetViews>
    <sheetView tabSelected="1" topLeftCell="A272" zoomScale="85" zoomScaleNormal="85" workbookViewId="0">
      <selection activeCell="J277" sqref="J277"/>
    </sheetView>
  </sheetViews>
  <sheetFormatPr baseColWidth="10" defaultRowHeight="15" x14ac:dyDescent="0.25"/>
  <cols>
    <col min="1" max="1" width="11.5703125" customWidth="1"/>
    <col min="2" max="2" width="24.7109375" customWidth="1"/>
    <col min="3" max="3" width="17" customWidth="1"/>
    <col min="4" max="4" width="29.28515625" customWidth="1"/>
    <col min="5" max="5" width="21.140625" customWidth="1"/>
    <col min="6" max="6" width="20.85546875" customWidth="1"/>
    <col min="7" max="7" width="14.7109375" customWidth="1"/>
    <col min="8" max="8" width="15.140625" customWidth="1"/>
  </cols>
  <sheetData>
    <row r="1" spans="1:8" ht="15.75" x14ac:dyDescent="0.25">
      <c r="A1" s="1"/>
      <c r="B1" s="1"/>
      <c r="C1" s="1"/>
      <c r="D1" s="48" t="s">
        <v>0</v>
      </c>
      <c r="E1" s="48"/>
      <c r="F1" s="48"/>
      <c r="G1" s="48"/>
      <c r="H1" s="48"/>
    </row>
    <row r="2" spans="1:8" ht="15.75" x14ac:dyDescent="0.25">
      <c r="A2" s="1"/>
      <c r="B2" s="1"/>
      <c r="C2" s="1"/>
      <c r="D2" s="48" t="s">
        <v>1</v>
      </c>
      <c r="E2" s="48"/>
      <c r="F2" s="48"/>
      <c r="G2" s="48"/>
      <c r="H2" s="48"/>
    </row>
    <row r="3" spans="1:8" ht="15.75" x14ac:dyDescent="0.25">
      <c r="A3" s="1"/>
      <c r="B3" s="1"/>
      <c r="C3" s="1"/>
      <c r="D3" s="48" t="s">
        <v>2</v>
      </c>
      <c r="E3" s="48"/>
      <c r="F3" s="48"/>
      <c r="G3" s="48"/>
      <c r="H3" s="48"/>
    </row>
    <row r="4" spans="1:8" ht="15.75" x14ac:dyDescent="0.25">
      <c r="A4" s="1"/>
      <c r="B4" s="1"/>
      <c r="C4" s="1"/>
      <c r="D4" s="48" t="s">
        <v>3</v>
      </c>
      <c r="E4" s="48"/>
      <c r="F4" s="48"/>
      <c r="G4" s="48"/>
      <c r="H4" s="48"/>
    </row>
    <row r="6" spans="1:8" x14ac:dyDescent="0.25">
      <c r="E6" t="s">
        <v>4</v>
      </c>
    </row>
    <row r="8" spans="1:8" x14ac:dyDescent="0.25">
      <c r="A8" t="s">
        <v>5</v>
      </c>
      <c r="C8" t="s">
        <v>8</v>
      </c>
      <c r="G8" t="s">
        <v>9</v>
      </c>
    </row>
    <row r="9" spans="1:8" x14ac:dyDescent="0.25">
      <c r="A9" t="s">
        <v>6</v>
      </c>
      <c r="C9" s="6">
        <v>2733955050909</v>
      </c>
      <c r="D9" s="3"/>
      <c r="G9" t="s">
        <v>10</v>
      </c>
      <c r="H9">
        <v>2012</v>
      </c>
    </row>
    <row r="10" spans="1:8" x14ac:dyDescent="0.25">
      <c r="A10" t="s">
        <v>7</v>
      </c>
      <c r="C10" s="2">
        <v>201230088</v>
      </c>
    </row>
    <row r="12" spans="1:8" x14ac:dyDescent="0.25">
      <c r="A12" s="34" t="s">
        <v>11</v>
      </c>
      <c r="B12" s="34"/>
      <c r="C12" s="34"/>
      <c r="D12" s="34"/>
      <c r="E12" s="34"/>
      <c r="F12" s="34"/>
      <c r="G12" s="34"/>
      <c r="H12" s="34"/>
    </row>
    <row r="13" spans="1:8" x14ac:dyDescent="0.25">
      <c r="A13" t="s">
        <v>12</v>
      </c>
      <c r="B13" t="s">
        <v>13</v>
      </c>
      <c r="C13" t="s">
        <v>14</v>
      </c>
      <c r="D13" t="s">
        <v>15</v>
      </c>
      <c r="E13" t="s">
        <v>16</v>
      </c>
      <c r="F13" t="s">
        <v>17</v>
      </c>
      <c r="G13" t="s">
        <v>18</v>
      </c>
      <c r="H13" t="s">
        <v>19</v>
      </c>
    </row>
    <row r="14" spans="1:8" x14ac:dyDescent="0.25">
      <c r="A14">
        <v>1</v>
      </c>
      <c r="B14" t="s">
        <v>41</v>
      </c>
      <c r="C14">
        <v>2666</v>
      </c>
      <c r="D14" t="s">
        <v>23</v>
      </c>
      <c r="E14">
        <v>72</v>
      </c>
      <c r="F14" s="4">
        <v>42863</v>
      </c>
      <c r="G14">
        <v>1</v>
      </c>
      <c r="H14" t="s">
        <v>25</v>
      </c>
    </row>
    <row r="15" spans="1:8" x14ac:dyDescent="0.25">
      <c r="A15">
        <v>2</v>
      </c>
      <c r="B15" t="s">
        <v>41</v>
      </c>
      <c r="C15">
        <v>216</v>
      </c>
      <c r="D15" t="s">
        <v>24</v>
      </c>
      <c r="E15">
        <v>64</v>
      </c>
      <c r="F15" s="4">
        <v>42866</v>
      </c>
      <c r="G15">
        <v>3</v>
      </c>
      <c r="H15" t="s">
        <v>25</v>
      </c>
    </row>
    <row r="16" spans="1:8" x14ac:dyDescent="0.25">
      <c r="A16">
        <v>3</v>
      </c>
      <c r="B16" t="s">
        <v>41</v>
      </c>
      <c r="C16">
        <v>119</v>
      </c>
      <c r="D16" t="s">
        <v>22</v>
      </c>
      <c r="E16">
        <v>63</v>
      </c>
      <c r="F16" s="4">
        <v>42867</v>
      </c>
      <c r="G16">
        <v>3</v>
      </c>
      <c r="H16" t="s">
        <v>25</v>
      </c>
    </row>
    <row r="17" spans="1:9" x14ac:dyDescent="0.25">
      <c r="A17">
        <v>4</v>
      </c>
      <c r="B17" t="s">
        <v>41</v>
      </c>
      <c r="C17">
        <v>177</v>
      </c>
      <c r="D17" t="s">
        <v>20</v>
      </c>
      <c r="E17">
        <v>75</v>
      </c>
      <c r="F17" s="4">
        <v>42867</v>
      </c>
      <c r="G17">
        <v>1</v>
      </c>
      <c r="H17" t="s">
        <v>26</v>
      </c>
      <c r="I17" t="s">
        <v>42</v>
      </c>
    </row>
    <row r="18" spans="1:9" x14ac:dyDescent="0.25">
      <c r="A18">
        <v>5</v>
      </c>
      <c r="B18" t="s">
        <v>41</v>
      </c>
      <c r="C18">
        <v>28</v>
      </c>
      <c r="D18" t="s">
        <v>21</v>
      </c>
      <c r="E18">
        <v>69</v>
      </c>
      <c r="F18" s="4">
        <v>42881</v>
      </c>
      <c r="G18">
        <v>4</v>
      </c>
      <c r="H18" t="s">
        <v>25</v>
      </c>
      <c r="I18">
        <f>SUM(E14:E18)</f>
        <v>343</v>
      </c>
    </row>
    <row r="19" spans="1:9" ht="15.75" thickBot="1" x14ac:dyDescent="0.3"/>
    <row r="20" spans="1:9" ht="15.75" x14ac:dyDescent="0.25">
      <c r="B20" s="44" t="s">
        <v>27</v>
      </c>
      <c r="C20" s="45"/>
      <c r="D20" s="45"/>
      <c r="E20" s="7">
        <f>SUMIF(H14:H18,"*OBLIGATORIO*",G14:G18)</f>
        <v>11</v>
      </c>
    </row>
    <row r="21" spans="1:9" ht="15.75" x14ac:dyDescent="0.25">
      <c r="B21" s="38" t="s">
        <v>28</v>
      </c>
      <c r="C21" s="39"/>
      <c r="D21" s="39"/>
      <c r="E21" s="8">
        <f>SUMIF(H15:H19,"*OPTATIVO*",G15:G19)</f>
        <v>1</v>
      </c>
    </row>
    <row r="22" spans="1:9" ht="16.5" thickBot="1" x14ac:dyDescent="0.3">
      <c r="B22" s="42" t="s">
        <v>29</v>
      </c>
      <c r="C22" s="43"/>
      <c r="D22" s="43"/>
      <c r="E22" s="9">
        <f>SUM(E20:E21)</f>
        <v>12</v>
      </c>
    </row>
    <row r="23" spans="1:9" ht="15.75" x14ac:dyDescent="0.25">
      <c r="B23" s="44" t="s">
        <v>30</v>
      </c>
      <c r="C23" s="45"/>
      <c r="D23" s="45"/>
      <c r="E23" s="7">
        <f>E20</f>
        <v>11</v>
      </c>
    </row>
    <row r="24" spans="1:9" ht="15.75" x14ac:dyDescent="0.25">
      <c r="B24" s="38" t="s">
        <v>31</v>
      </c>
      <c r="C24" s="39"/>
      <c r="D24" s="39"/>
      <c r="E24" s="8">
        <f>E21</f>
        <v>1</v>
      </c>
    </row>
    <row r="25" spans="1:9" ht="16.5" thickBot="1" x14ac:dyDescent="0.3">
      <c r="B25" s="42" t="s">
        <v>32</v>
      </c>
      <c r="C25" s="43"/>
      <c r="D25" s="43"/>
      <c r="E25" s="9">
        <f>SUM(E23:E24)</f>
        <v>12</v>
      </c>
    </row>
    <row r="26" spans="1:9" ht="15.75" x14ac:dyDescent="0.25">
      <c r="B26" s="44" t="s">
        <v>33</v>
      </c>
      <c r="C26" s="45"/>
      <c r="D26" s="45"/>
      <c r="E26" s="7">
        <f>COUNT(E14:E18)</f>
        <v>5</v>
      </c>
    </row>
    <row r="27" spans="1:9" ht="16.5" thickBot="1" x14ac:dyDescent="0.3">
      <c r="B27" s="42" t="s">
        <v>34</v>
      </c>
      <c r="C27" s="43"/>
      <c r="D27" s="43"/>
      <c r="E27" s="9">
        <f>E26</f>
        <v>5</v>
      </c>
    </row>
    <row r="28" spans="1:9" ht="16.5" thickBot="1" x14ac:dyDescent="0.3">
      <c r="B28" s="46" t="s">
        <v>37</v>
      </c>
      <c r="C28" s="47"/>
      <c r="D28" s="47"/>
      <c r="E28" s="10">
        <f>I18/E27</f>
        <v>68.599999999999994</v>
      </c>
    </row>
    <row r="31" spans="1:9" x14ac:dyDescent="0.25">
      <c r="A31" s="34" t="s">
        <v>36</v>
      </c>
      <c r="B31" s="34"/>
      <c r="C31" s="34"/>
      <c r="D31" s="34"/>
      <c r="E31" s="34"/>
      <c r="F31" s="34"/>
      <c r="G31" s="34"/>
      <c r="H31" s="34"/>
    </row>
    <row r="32" spans="1:9" x14ac:dyDescent="0.25">
      <c r="A32" t="s">
        <v>12</v>
      </c>
      <c r="B32" t="s">
        <v>13</v>
      </c>
      <c r="C32" t="s">
        <v>14</v>
      </c>
      <c r="D32" t="s">
        <v>15</v>
      </c>
      <c r="E32" t="s">
        <v>16</v>
      </c>
      <c r="F32" t="s">
        <v>17</v>
      </c>
      <c r="G32" t="s">
        <v>18</v>
      </c>
      <c r="H32" t="s">
        <v>19</v>
      </c>
    </row>
    <row r="33" spans="1:10" x14ac:dyDescent="0.25">
      <c r="A33" s="11">
        <v>6</v>
      </c>
      <c r="B33">
        <v>28</v>
      </c>
      <c r="C33" s="12">
        <v>29</v>
      </c>
      <c r="D33" s="12" t="s">
        <v>35</v>
      </c>
      <c r="E33" s="12">
        <v>63</v>
      </c>
      <c r="F33" s="13">
        <v>43059</v>
      </c>
      <c r="G33" s="8">
        <v>4</v>
      </c>
      <c r="H33" t="s">
        <v>25</v>
      </c>
    </row>
    <row r="34" spans="1:10" x14ac:dyDescent="0.25">
      <c r="A34" s="11">
        <v>7</v>
      </c>
      <c r="B34" t="s">
        <v>41</v>
      </c>
      <c r="C34" s="12">
        <v>2667</v>
      </c>
      <c r="D34" s="12" t="s">
        <v>39</v>
      </c>
      <c r="E34" s="12">
        <v>61</v>
      </c>
      <c r="F34" s="13">
        <v>43116</v>
      </c>
      <c r="G34" s="8">
        <v>3</v>
      </c>
      <c r="H34" t="s">
        <v>25</v>
      </c>
      <c r="I34" t="s">
        <v>43</v>
      </c>
      <c r="J34" t="s">
        <v>44</v>
      </c>
    </row>
    <row r="35" spans="1:10" ht="15.75" thickBot="1" x14ac:dyDescent="0.3">
      <c r="A35" s="14">
        <v>8</v>
      </c>
      <c r="B35" t="s">
        <v>41</v>
      </c>
      <c r="C35" s="15">
        <v>169</v>
      </c>
      <c r="D35" s="15" t="s">
        <v>40</v>
      </c>
      <c r="E35" s="15">
        <v>61</v>
      </c>
      <c r="F35" s="16">
        <v>43118</v>
      </c>
      <c r="G35" s="17">
        <v>7</v>
      </c>
      <c r="H35" t="s">
        <v>25</v>
      </c>
      <c r="I35">
        <f>SUM(E33:E35)</f>
        <v>185</v>
      </c>
      <c r="J35">
        <f>I35+I18</f>
        <v>528</v>
      </c>
    </row>
    <row r="36" spans="1:10" ht="15.75" thickBot="1" x14ac:dyDescent="0.3"/>
    <row r="37" spans="1:10" ht="15.75" x14ac:dyDescent="0.25">
      <c r="B37" s="44" t="s">
        <v>27</v>
      </c>
      <c r="C37" s="45"/>
      <c r="D37" s="45"/>
      <c r="E37">
        <f>SUMIF(H33:H35,"*OBLIGATORIO*",G33:G35)</f>
        <v>14</v>
      </c>
    </row>
    <row r="38" spans="1:10" ht="15.75" x14ac:dyDescent="0.25">
      <c r="B38" s="38" t="s">
        <v>28</v>
      </c>
      <c r="C38" s="39"/>
      <c r="D38" s="39"/>
      <c r="E38">
        <f>SUMIF(H33:H35,"*OPTATIVO*",G33:G35)</f>
        <v>0</v>
      </c>
    </row>
    <row r="39" spans="1:10" ht="15.75" x14ac:dyDescent="0.25">
      <c r="B39" s="40" t="s">
        <v>29</v>
      </c>
      <c r="C39" s="41"/>
      <c r="D39" s="41"/>
      <c r="E39" s="5">
        <f>SUM(E37:E38)</f>
        <v>14</v>
      </c>
    </row>
    <row r="40" spans="1:10" ht="15.75" x14ac:dyDescent="0.25">
      <c r="B40" s="38" t="s">
        <v>30</v>
      </c>
      <c r="C40" s="39"/>
      <c r="D40" s="39"/>
      <c r="E40">
        <f>E37+E23</f>
        <v>25</v>
      </c>
    </row>
    <row r="41" spans="1:10" ht="15.75" x14ac:dyDescent="0.25">
      <c r="B41" s="38" t="s">
        <v>31</v>
      </c>
      <c r="C41" s="39"/>
      <c r="D41" s="39"/>
      <c r="E41">
        <f>E38+E24</f>
        <v>1</v>
      </c>
    </row>
    <row r="42" spans="1:10" ht="15.75" x14ac:dyDescent="0.25">
      <c r="B42" s="40" t="s">
        <v>32</v>
      </c>
      <c r="C42" s="41"/>
      <c r="D42" s="41"/>
      <c r="E42" s="5">
        <f>SUM(E40:E41)</f>
        <v>26</v>
      </c>
    </row>
    <row r="43" spans="1:10" ht="15.75" x14ac:dyDescent="0.25">
      <c r="B43" s="38" t="s">
        <v>33</v>
      </c>
      <c r="C43" s="39"/>
      <c r="D43" s="39"/>
      <c r="E43">
        <f>COUNT(E33:E35)</f>
        <v>3</v>
      </c>
    </row>
    <row r="44" spans="1:10" ht="15.75" x14ac:dyDescent="0.25">
      <c r="B44" s="40" t="s">
        <v>34</v>
      </c>
      <c r="C44" s="41"/>
      <c r="D44" s="41"/>
      <c r="E44" s="5">
        <f>E43+E27</f>
        <v>8</v>
      </c>
    </row>
    <row r="45" spans="1:10" ht="16.5" thickBot="1" x14ac:dyDescent="0.3">
      <c r="B45" s="42" t="s">
        <v>38</v>
      </c>
      <c r="C45" s="43"/>
      <c r="D45" s="43"/>
      <c r="E45" s="5">
        <f>J35/E44</f>
        <v>66</v>
      </c>
    </row>
    <row r="48" spans="1:10" x14ac:dyDescent="0.25">
      <c r="A48" s="34" t="s">
        <v>45</v>
      </c>
      <c r="B48" s="34"/>
      <c r="C48" s="34"/>
      <c r="D48" s="34"/>
      <c r="E48" s="34"/>
      <c r="F48" s="34"/>
      <c r="G48" s="34"/>
      <c r="H48" s="34"/>
    </row>
    <row r="49" spans="1:10" ht="15.75" thickBot="1" x14ac:dyDescent="0.3">
      <c r="A49" t="s">
        <v>12</v>
      </c>
      <c r="B49" t="s">
        <v>13</v>
      </c>
      <c r="C49" t="s">
        <v>14</v>
      </c>
      <c r="D49" t="s">
        <v>15</v>
      </c>
      <c r="E49" t="s">
        <v>16</v>
      </c>
      <c r="F49" t="s">
        <v>17</v>
      </c>
      <c r="G49" t="s">
        <v>18</v>
      </c>
      <c r="H49" t="s">
        <v>19</v>
      </c>
    </row>
    <row r="50" spans="1:10" x14ac:dyDescent="0.25">
      <c r="A50" s="18">
        <v>9</v>
      </c>
      <c r="B50">
        <v>169</v>
      </c>
      <c r="C50" s="19">
        <v>72</v>
      </c>
      <c r="D50" s="19" t="s">
        <v>46</v>
      </c>
      <c r="E50" s="19">
        <v>82</v>
      </c>
      <c r="F50" s="20">
        <v>43229</v>
      </c>
      <c r="G50" s="8">
        <v>5</v>
      </c>
      <c r="H50" t="s">
        <v>25</v>
      </c>
      <c r="I50" t="s">
        <v>43</v>
      </c>
      <c r="J50" t="s">
        <v>44</v>
      </c>
    </row>
    <row r="51" spans="1:10" ht="15.75" thickBot="1" x14ac:dyDescent="0.3">
      <c r="A51" s="14">
        <v>10</v>
      </c>
      <c r="B51">
        <v>169</v>
      </c>
      <c r="C51" s="15">
        <v>170</v>
      </c>
      <c r="D51" s="15" t="s">
        <v>47</v>
      </c>
      <c r="E51" s="15">
        <v>61</v>
      </c>
      <c r="F51" s="16">
        <v>43294</v>
      </c>
      <c r="G51" s="8">
        <v>7</v>
      </c>
      <c r="H51" t="s">
        <v>25</v>
      </c>
      <c r="I51">
        <f>SUM(E50:E51)</f>
        <v>143</v>
      </c>
      <c r="J51">
        <f>I51+J35</f>
        <v>671</v>
      </c>
    </row>
    <row r="52" spans="1:10" ht="15.75" thickBot="1" x14ac:dyDescent="0.3"/>
    <row r="53" spans="1:10" ht="15.75" x14ac:dyDescent="0.25">
      <c r="B53" s="44" t="s">
        <v>27</v>
      </c>
      <c r="C53" s="45"/>
      <c r="D53" s="45"/>
      <c r="E53">
        <f>SUMIF(H50:H51,"*OBLIGATORIO*",G50:G51)</f>
        <v>12</v>
      </c>
    </row>
    <row r="54" spans="1:10" ht="15.75" x14ac:dyDescent="0.25">
      <c r="B54" s="38" t="s">
        <v>28</v>
      </c>
      <c r="C54" s="39"/>
      <c r="D54" s="39"/>
      <c r="E54">
        <f>SUMIF(H50:H51,"*OPTATIVO*",G50:G51)</f>
        <v>0</v>
      </c>
    </row>
    <row r="55" spans="1:10" ht="15.75" x14ac:dyDescent="0.25">
      <c r="B55" s="40" t="s">
        <v>29</v>
      </c>
      <c r="C55" s="41"/>
      <c r="D55" s="41"/>
      <c r="E55" s="5">
        <f>SUM(E53:E54)</f>
        <v>12</v>
      </c>
    </row>
    <row r="56" spans="1:10" ht="15.75" x14ac:dyDescent="0.25">
      <c r="B56" s="38" t="s">
        <v>30</v>
      </c>
      <c r="C56" s="39"/>
      <c r="D56" s="39"/>
      <c r="E56">
        <f>E53+E40</f>
        <v>37</v>
      </c>
    </row>
    <row r="57" spans="1:10" ht="15.75" x14ac:dyDescent="0.25">
      <c r="B57" s="38" t="s">
        <v>31</v>
      </c>
      <c r="C57" s="39"/>
      <c r="D57" s="39"/>
      <c r="E57">
        <f>E54+E41</f>
        <v>1</v>
      </c>
    </row>
    <row r="58" spans="1:10" ht="15.75" x14ac:dyDescent="0.25">
      <c r="B58" s="40" t="s">
        <v>32</v>
      </c>
      <c r="C58" s="41"/>
      <c r="D58" s="41"/>
      <c r="E58" s="5">
        <f>SUM(E56:E57)</f>
        <v>38</v>
      </c>
    </row>
    <row r="59" spans="1:10" ht="15.75" x14ac:dyDescent="0.25">
      <c r="B59" s="38" t="s">
        <v>33</v>
      </c>
      <c r="C59" s="39"/>
      <c r="D59" s="39"/>
      <c r="E59">
        <f>COUNT(E50:E51)</f>
        <v>2</v>
      </c>
    </row>
    <row r="60" spans="1:10" ht="15.75" x14ac:dyDescent="0.25">
      <c r="B60" s="40" t="s">
        <v>34</v>
      </c>
      <c r="C60" s="41"/>
      <c r="D60" s="41"/>
      <c r="E60" s="5">
        <f>E59+E44</f>
        <v>10</v>
      </c>
    </row>
    <row r="61" spans="1:10" ht="16.5" thickBot="1" x14ac:dyDescent="0.3">
      <c r="B61" s="42" t="s">
        <v>48</v>
      </c>
      <c r="C61" s="43"/>
      <c r="D61" s="43"/>
      <c r="E61" s="5">
        <f>J51/E60</f>
        <v>67.099999999999994</v>
      </c>
    </row>
    <row r="64" spans="1:10" x14ac:dyDescent="0.25">
      <c r="A64" s="34" t="s">
        <v>49</v>
      </c>
      <c r="B64" s="34"/>
      <c r="C64" s="34"/>
      <c r="D64" s="34"/>
      <c r="E64" s="34"/>
      <c r="F64" s="34"/>
      <c r="G64" s="34"/>
      <c r="H64" s="34"/>
    </row>
    <row r="65" spans="1:10" x14ac:dyDescent="0.25">
      <c r="A65" t="s">
        <v>12</v>
      </c>
      <c r="B65" t="s">
        <v>13</v>
      </c>
      <c r="C65" t="s">
        <v>14</v>
      </c>
      <c r="D65" t="s">
        <v>15</v>
      </c>
      <c r="E65" t="s">
        <v>16</v>
      </c>
      <c r="F65" t="s">
        <v>17</v>
      </c>
      <c r="G65" t="s">
        <v>18</v>
      </c>
      <c r="H65" t="s">
        <v>19</v>
      </c>
    </row>
    <row r="66" spans="1:10" x14ac:dyDescent="0.25">
      <c r="A66" s="21">
        <v>11</v>
      </c>
      <c r="B66">
        <v>177</v>
      </c>
      <c r="C66" s="21">
        <v>178</v>
      </c>
      <c r="D66" s="21" t="s">
        <v>50</v>
      </c>
      <c r="E66" s="21">
        <v>68</v>
      </c>
      <c r="F66" s="22">
        <v>43423</v>
      </c>
      <c r="G66" s="8">
        <v>1</v>
      </c>
      <c r="H66" t="s">
        <v>26</v>
      </c>
    </row>
    <row r="67" spans="1:10" x14ac:dyDescent="0.25">
      <c r="A67" s="12">
        <v>12</v>
      </c>
      <c r="B67" s="3">
        <v>29</v>
      </c>
      <c r="C67" s="12">
        <v>85</v>
      </c>
      <c r="D67" s="12" t="s">
        <v>51</v>
      </c>
      <c r="E67" s="12">
        <v>65</v>
      </c>
      <c r="F67" s="13">
        <v>43425</v>
      </c>
      <c r="G67" s="8">
        <v>2</v>
      </c>
      <c r="H67" t="s">
        <v>26</v>
      </c>
      <c r="I67" t="s">
        <v>43</v>
      </c>
      <c r="J67" t="s">
        <v>44</v>
      </c>
    </row>
    <row r="68" spans="1:10" x14ac:dyDescent="0.25">
      <c r="A68" s="12">
        <v>13</v>
      </c>
      <c r="B68" s="24" t="s">
        <v>54</v>
      </c>
      <c r="C68" s="12">
        <v>146</v>
      </c>
      <c r="D68" s="12" t="s">
        <v>53</v>
      </c>
      <c r="E68" s="12">
        <v>63</v>
      </c>
      <c r="F68" s="13">
        <v>43483</v>
      </c>
      <c r="G68" s="23">
        <v>6</v>
      </c>
      <c r="H68" t="s">
        <v>25</v>
      </c>
      <c r="I68">
        <f>SUM(E66:E68)</f>
        <v>196</v>
      </c>
      <c r="J68">
        <f>I68+J51</f>
        <v>867</v>
      </c>
    </row>
    <row r="69" spans="1:10" ht="15.75" thickBot="1" x14ac:dyDescent="0.3"/>
    <row r="70" spans="1:10" ht="15.75" x14ac:dyDescent="0.25">
      <c r="B70" s="44" t="s">
        <v>27</v>
      </c>
      <c r="C70" s="45"/>
      <c r="D70" s="45"/>
      <c r="E70">
        <f>SUMIF(H66:H68,"*OBLIGATORIO*",G66:G68)</f>
        <v>6</v>
      </c>
    </row>
    <row r="71" spans="1:10" ht="15.75" x14ac:dyDescent="0.25">
      <c r="B71" s="38" t="s">
        <v>28</v>
      </c>
      <c r="C71" s="39"/>
      <c r="D71" s="39"/>
      <c r="E71">
        <f>SUMIF(H66:H68,"*OPTATIVO*",G66:G68)</f>
        <v>3</v>
      </c>
    </row>
    <row r="72" spans="1:10" ht="15.75" x14ac:dyDescent="0.25">
      <c r="B72" s="40" t="s">
        <v>29</v>
      </c>
      <c r="C72" s="41"/>
      <c r="D72" s="41"/>
      <c r="E72" s="5">
        <f>SUM(E70:E71)</f>
        <v>9</v>
      </c>
    </row>
    <row r="73" spans="1:10" ht="15.75" x14ac:dyDescent="0.25">
      <c r="B73" s="38" t="s">
        <v>30</v>
      </c>
      <c r="C73" s="39"/>
      <c r="D73" s="39"/>
      <c r="E73">
        <f>E70+E56</f>
        <v>43</v>
      </c>
    </row>
    <row r="74" spans="1:10" ht="15.75" x14ac:dyDescent="0.25">
      <c r="B74" s="38" t="s">
        <v>31</v>
      </c>
      <c r="C74" s="39"/>
      <c r="D74" s="39"/>
      <c r="E74">
        <f>E71+E57</f>
        <v>4</v>
      </c>
    </row>
    <row r="75" spans="1:10" ht="15.75" x14ac:dyDescent="0.25">
      <c r="B75" s="40" t="s">
        <v>32</v>
      </c>
      <c r="C75" s="41"/>
      <c r="D75" s="41"/>
      <c r="E75" s="5">
        <f>SUM(E73:E74)</f>
        <v>47</v>
      </c>
    </row>
    <row r="76" spans="1:10" ht="15.75" x14ac:dyDescent="0.25">
      <c r="B76" s="38" t="s">
        <v>33</v>
      </c>
      <c r="C76" s="39"/>
      <c r="D76" s="39"/>
      <c r="E76">
        <f>COUNT(E66:E68)</f>
        <v>3</v>
      </c>
    </row>
    <row r="77" spans="1:10" ht="15.75" x14ac:dyDescent="0.25">
      <c r="B77" s="40" t="s">
        <v>34</v>
      </c>
      <c r="C77" s="41"/>
      <c r="D77" s="41"/>
      <c r="E77" s="5">
        <f>E76+E60</f>
        <v>13</v>
      </c>
    </row>
    <row r="78" spans="1:10" ht="16.5" thickBot="1" x14ac:dyDescent="0.3">
      <c r="B78" s="42" t="s">
        <v>52</v>
      </c>
      <c r="C78" s="43"/>
      <c r="D78" s="43"/>
      <c r="E78" s="5">
        <f>J68/E77</f>
        <v>66.692307692307693</v>
      </c>
    </row>
    <row r="81" spans="1:10" x14ac:dyDescent="0.25">
      <c r="A81" s="34" t="s">
        <v>56</v>
      </c>
      <c r="B81" s="34"/>
      <c r="C81" s="34"/>
      <c r="D81" s="34"/>
      <c r="E81" s="34"/>
      <c r="F81" s="34"/>
      <c r="G81" s="34"/>
      <c r="H81" s="34"/>
    </row>
    <row r="82" spans="1:10" x14ac:dyDescent="0.25">
      <c r="A82" t="s">
        <v>12</v>
      </c>
      <c r="B82" t="s">
        <v>13</v>
      </c>
      <c r="C82" t="s">
        <v>14</v>
      </c>
      <c r="D82" t="s">
        <v>15</v>
      </c>
      <c r="E82" t="s">
        <v>16</v>
      </c>
      <c r="F82" t="s">
        <v>17</v>
      </c>
      <c r="G82" t="s">
        <v>18</v>
      </c>
      <c r="H82" t="s">
        <v>19</v>
      </c>
      <c r="I82" t="s">
        <v>43</v>
      </c>
      <c r="J82" t="s">
        <v>44</v>
      </c>
    </row>
    <row r="83" spans="1:10" x14ac:dyDescent="0.25">
      <c r="A83" s="12">
        <v>14</v>
      </c>
      <c r="B83">
        <v>170</v>
      </c>
      <c r="C83" s="12">
        <v>290</v>
      </c>
      <c r="D83" s="12" t="s">
        <v>55</v>
      </c>
      <c r="E83" s="12">
        <v>61</v>
      </c>
      <c r="F83" s="13">
        <v>43787</v>
      </c>
      <c r="G83" s="23">
        <v>10</v>
      </c>
      <c r="H83" t="s">
        <v>25</v>
      </c>
      <c r="I83">
        <f>SUM(E83:E83)</f>
        <v>61</v>
      </c>
      <c r="J83">
        <f>I83+J68</f>
        <v>928</v>
      </c>
    </row>
    <row r="84" spans="1:10" ht="15.75" thickBot="1" x14ac:dyDescent="0.3"/>
    <row r="85" spans="1:10" ht="15.75" x14ac:dyDescent="0.25">
      <c r="B85" s="44" t="s">
        <v>27</v>
      </c>
      <c r="C85" s="45"/>
      <c r="D85" s="45"/>
      <c r="E85">
        <f>SUMIF(H83:H83,"*OBLIGATORIO*",G83:G83)</f>
        <v>10</v>
      </c>
    </row>
    <row r="86" spans="1:10" ht="15.75" x14ac:dyDescent="0.25">
      <c r="B86" s="38" t="s">
        <v>28</v>
      </c>
      <c r="C86" s="39"/>
      <c r="D86" s="39"/>
      <c r="E86">
        <f>SUMIF(H83:H83,"*OPTATIVO*",G83:G83)</f>
        <v>0</v>
      </c>
    </row>
    <row r="87" spans="1:10" ht="15.75" x14ac:dyDescent="0.25">
      <c r="B87" s="40" t="s">
        <v>29</v>
      </c>
      <c r="C87" s="41"/>
      <c r="D87" s="41"/>
      <c r="E87" s="5">
        <f>SUM(E85:E86)</f>
        <v>10</v>
      </c>
    </row>
    <row r="88" spans="1:10" ht="15.75" x14ac:dyDescent="0.25">
      <c r="B88" s="38" t="s">
        <v>30</v>
      </c>
      <c r="C88" s="39"/>
      <c r="D88" s="39"/>
      <c r="E88">
        <f>E85+E73</f>
        <v>53</v>
      </c>
    </row>
    <row r="89" spans="1:10" ht="15.75" x14ac:dyDescent="0.25">
      <c r="B89" s="38" t="s">
        <v>31</v>
      </c>
      <c r="C89" s="39"/>
      <c r="D89" s="39"/>
      <c r="E89">
        <f>E86+E74</f>
        <v>4</v>
      </c>
    </row>
    <row r="90" spans="1:10" ht="15.75" x14ac:dyDescent="0.25">
      <c r="B90" s="40" t="s">
        <v>32</v>
      </c>
      <c r="C90" s="41"/>
      <c r="D90" s="41"/>
      <c r="E90" s="5">
        <f>SUM(E88:E89)</f>
        <v>57</v>
      </c>
    </row>
    <row r="91" spans="1:10" ht="15.75" x14ac:dyDescent="0.25">
      <c r="B91" s="38" t="s">
        <v>33</v>
      </c>
      <c r="C91" s="39"/>
      <c r="D91" s="39"/>
      <c r="E91">
        <f>COUNT(E83:E83)</f>
        <v>1</v>
      </c>
    </row>
    <row r="92" spans="1:10" ht="15.75" x14ac:dyDescent="0.25">
      <c r="B92" s="40" t="s">
        <v>34</v>
      </c>
      <c r="C92" s="41"/>
      <c r="D92" s="41"/>
      <c r="E92" s="5">
        <f>E91+E77</f>
        <v>14</v>
      </c>
    </row>
    <row r="93" spans="1:10" ht="16.5" thickBot="1" x14ac:dyDescent="0.3">
      <c r="B93" s="42" t="s">
        <v>57</v>
      </c>
      <c r="C93" s="43"/>
      <c r="D93" s="43"/>
      <c r="E93" s="5">
        <f>J83/E92</f>
        <v>66.285714285714292</v>
      </c>
    </row>
    <row r="96" spans="1:10" x14ac:dyDescent="0.25">
      <c r="A96" s="34" t="s">
        <v>58</v>
      </c>
      <c r="B96" s="34"/>
      <c r="C96" s="34"/>
      <c r="D96" s="34"/>
      <c r="E96" s="34"/>
      <c r="F96" s="34"/>
      <c r="G96" s="34"/>
      <c r="H96" s="34"/>
    </row>
    <row r="97" spans="1:10" x14ac:dyDescent="0.25">
      <c r="A97" t="s">
        <v>12</v>
      </c>
      <c r="B97" t="s">
        <v>13</v>
      </c>
      <c r="C97" t="s">
        <v>14</v>
      </c>
      <c r="D97" t="s">
        <v>15</v>
      </c>
      <c r="E97" t="s">
        <v>16</v>
      </c>
      <c r="F97" t="s">
        <v>17</v>
      </c>
      <c r="G97" t="s">
        <v>18</v>
      </c>
      <c r="H97" t="s">
        <v>19</v>
      </c>
    </row>
    <row r="98" spans="1:10" x14ac:dyDescent="0.25">
      <c r="A98" s="12">
        <v>15</v>
      </c>
      <c r="B98">
        <v>290</v>
      </c>
      <c r="C98" s="12">
        <v>949</v>
      </c>
      <c r="D98" s="12" t="s">
        <v>59</v>
      </c>
      <c r="E98" s="12">
        <v>61</v>
      </c>
      <c r="F98" s="13">
        <v>43963</v>
      </c>
      <c r="G98" s="23">
        <v>5</v>
      </c>
      <c r="H98" t="s">
        <v>25</v>
      </c>
      <c r="I98" t="s">
        <v>43</v>
      </c>
      <c r="J98" t="s">
        <v>44</v>
      </c>
    </row>
    <row r="99" spans="1:10" x14ac:dyDescent="0.25">
      <c r="A99" s="12">
        <v>16</v>
      </c>
      <c r="B99">
        <v>290</v>
      </c>
      <c r="C99" s="12">
        <v>292</v>
      </c>
      <c r="D99" s="12" t="s">
        <v>60</v>
      </c>
      <c r="E99" s="12">
        <v>77</v>
      </c>
      <c r="F99" s="13">
        <v>43964</v>
      </c>
      <c r="G99" s="23">
        <v>5</v>
      </c>
      <c r="H99" t="s">
        <v>25</v>
      </c>
      <c r="I99">
        <f>SUM(E98:E99)</f>
        <v>138</v>
      </c>
      <c r="J99">
        <f>I99+J83</f>
        <v>1066</v>
      </c>
    </row>
    <row r="100" spans="1:10" ht="15.75" thickBot="1" x14ac:dyDescent="0.3"/>
    <row r="101" spans="1:10" ht="15.75" x14ac:dyDescent="0.25">
      <c r="B101" s="44" t="s">
        <v>27</v>
      </c>
      <c r="C101" s="45"/>
      <c r="D101" s="45"/>
      <c r="E101">
        <f>SUMIF(H98:H99,"*OBLIGATORIO*",G98:G99)</f>
        <v>10</v>
      </c>
    </row>
    <row r="102" spans="1:10" ht="15.75" x14ac:dyDescent="0.25">
      <c r="B102" s="38" t="s">
        <v>28</v>
      </c>
      <c r="C102" s="39"/>
      <c r="D102" s="39"/>
      <c r="E102">
        <f>SUMIF(H98:H99,"*OPTATIVO*",G98:G99)</f>
        <v>0</v>
      </c>
    </row>
    <row r="103" spans="1:10" ht="15.75" x14ac:dyDescent="0.25">
      <c r="B103" s="40" t="s">
        <v>29</v>
      </c>
      <c r="C103" s="41"/>
      <c r="D103" s="41"/>
      <c r="E103" s="5">
        <f>SUM(E101:E102)</f>
        <v>10</v>
      </c>
    </row>
    <row r="104" spans="1:10" ht="15.75" x14ac:dyDescent="0.25">
      <c r="B104" s="38" t="s">
        <v>30</v>
      </c>
      <c r="C104" s="39"/>
      <c r="D104" s="39"/>
      <c r="E104">
        <f>E101+E88</f>
        <v>63</v>
      </c>
    </row>
    <row r="105" spans="1:10" ht="15.75" x14ac:dyDescent="0.25">
      <c r="B105" s="38" t="s">
        <v>31</v>
      </c>
      <c r="C105" s="39"/>
      <c r="D105" s="39"/>
      <c r="E105">
        <f>E102+E89</f>
        <v>4</v>
      </c>
    </row>
    <row r="106" spans="1:10" ht="15.75" x14ac:dyDescent="0.25">
      <c r="B106" s="40" t="s">
        <v>32</v>
      </c>
      <c r="C106" s="41"/>
      <c r="D106" s="41"/>
      <c r="E106" s="5">
        <f>SUM(E104:E105)</f>
        <v>67</v>
      </c>
    </row>
    <row r="107" spans="1:10" ht="15.75" x14ac:dyDescent="0.25">
      <c r="B107" s="38" t="s">
        <v>33</v>
      </c>
      <c r="C107" s="39"/>
      <c r="D107" s="39"/>
      <c r="E107">
        <f>COUNT(E98:E99)</f>
        <v>2</v>
      </c>
    </row>
    <row r="108" spans="1:10" ht="15.75" x14ac:dyDescent="0.25">
      <c r="B108" s="40" t="s">
        <v>34</v>
      </c>
      <c r="C108" s="41"/>
      <c r="D108" s="41"/>
      <c r="E108" s="5">
        <f>E107+E92</f>
        <v>16</v>
      </c>
    </row>
    <row r="109" spans="1:10" ht="16.5" thickBot="1" x14ac:dyDescent="0.3">
      <c r="B109" s="42" t="s">
        <v>61</v>
      </c>
      <c r="C109" s="43"/>
      <c r="D109" s="43"/>
      <c r="E109" s="5">
        <f>J99/E108</f>
        <v>66.625</v>
      </c>
    </row>
    <row r="111" spans="1:10" ht="15.75" thickBot="1" x14ac:dyDescent="0.3"/>
    <row r="112" spans="1:10" ht="15.75" thickBot="1" x14ac:dyDescent="0.3">
      <c r="A112" s="49" t="s">
        <v>66</v>
      </c>
      <c r="B112" s="50"/>
      <c r="C112" s="50"/>
      <c r="D112" s="50"/>
      <c r="E112" s="50"/>
      <c r="F112" s="50"/>
      <c r="G112" s="50"/>
      <c r="H112" s="51"/>
    </row>
    <row r="113" spans="1:10" x14ac:dyDescent="0.25">
      <c r="A113" s="52" t="s">
        <v>12</v>
      </c>
      <c r="B113" s="21" t="s">
        <v>13</v>
      </c>
      <c r="C113" s="21" t="s">
        <v>14</v>
      </c>
      <c r="D113" s="21" t="s">
        <v>15</v>
      </c>
      <c r="E113" s="21" t="s">
        <v>16</v>
      </c>
      <c r="F113" s="21" t="s">
        <v>17</v>
      </c>
      <c r="G113" s="21" t="s">
        <v>18</v>
      </c>
      <c r="H113" s="53" t="s">
        <v>19</v>
      </c>
      <c r="I113" t="s">
        <v>43</v>
      </c>
      <c r="J113" t="s">
        <v>44</v>
      </c>
    </row>
    <row r="114" spans="1:10" x14ac:dyDescent="0.25">
      <c r="A114" s="12">
        <v>17</v>
      </c>
      <c r="B114" s="54" t="s">
        <v>63</v>
      </c>
      <c r="C114" s="12">
        <v>147</v>
      </c>
      <c r="D114" s="12" t="s">
        <v>64</v>
      </c>
      <c r="E114" s="12">
        <v>79</v>
      </c>
      <c r="F114" s="13">
        <v>44011</v>
      </c>
      <c r="G114" s="12">
        <v>6</v>
      </c>
      <c r="H114" t="s">
        <v>25</v>
      </c>
    </row>
    <row r="115" spans="1:10" x14ac:dyDescent="0.25">
      <c r="A115" s="12">
        <v>18</v>
      </c>
      <c r="B115" s="54">
        <v>290</v>
      </c>
      <c r="C115" s="12">
        <v>291</v>
      </c>
      <c r="D115" s="12" t="s">
        <v>65</v>
      </c>
      <c r="E115" s="12">
        <v>61</v>
      </c>
      <c r="F115" s="13">
        <v>44011</v>
      </c>
      <c r="G115" s="12">
        <v>5</v>
      </c>
      <c r="H115" t="s">
        <v>25</v>
      </c>
      <c r="I115">
        <f>SUM(E114:E115)</f>
        <v>140</v>
      </c>
      <c r="J115">
        <f>I115+J99</f>
        <v>1206</v>
      </c>
    </row>
    <row r="116" spans="1:10" ht="15.75" thickBot="1" x14ac:dyDescent="0.3"/>
    <row r="117" spans="1:10" ht="15.75" x14ac:dyDescent="0.25">
      <c r="B117" s="35" t="s">
        <v>27</v>
      </c>
      <c r="C117" s="36"/>
      <c r="D117" s="37"/>
      <c r="E117">
        <f>SUMIF(H114:H115,"*OBLIGATORIO*",G114:G115)</f>
        <v>11</v>
      </c>
    </row>
    <row r="118" spans="1:10" ht="15.75" x14ac:dyDescent="0.25">
      <c r="B118" s="25" t="s">
        <v>28</v>
      </c>
      <c r="C118" s="26"/>
      <c r="D118" s="27"/>
      <c r="E118">
        <f>SUMIF(H114:H115,"*OPTATIVO*",G114:G115)</f>
        <v>0</v>
      </c>
    </row>
    <row r="119" spans="1:10" ht="15.75" x14ac:dyDescent="0.25">
      <c r="B119" s="28" t="s">
        <v>29</v>
      </c>
      <c r="C119" s="29"/>
      <c r="D119" s="30"/>
      <c r="E119" s="5">
        <f>SUM(E117:E118)</f>
        <v>11</v>
      </c>
    </row>
    <row r="120" spans="1:10" ht="15.75" x14ac:dyDescent="0.25">
      <c r="B120" s="25" t="s">
        <v>30</v>
      </c>
      <c r="C120" s="26"/>
      <c r="D120" s="27"/>
      <c r="E120">
        <f>E117+E104</f>
        <v>74</v>
      </c>
    </row>
    <row r="121" spans="1:10" ht="15.75" x14ac:dyDescent="0.25">
      <c r="B121" s="25" t="s">
        <v>31</v>
      </c>
      <c r="C121" s="26"/>
      <c r="D121" s="27"/>
      <c r="E121">
        <f>E118+E105</f>
        <v>4</v>
      </c>
    </row>
    <row r="122" spans="1:10" ht="15.75" x14ac:dyDescent="0.25">
      <c r="B122" s="28" t="s">
        <v>32</v>
      </c>
      <c r="C122" s="29"/>
      <c r="D122" s="30"/>
      <c r="E122" s="5">
        <f>SUM(E120:E121)</f>
        <v>78</v>
      </c>
    </row>
    <row r="123" spans="1:10" ht="15.75" x14ac:dyDescent="0.25">
      <c r="B123" s="25" t="s">
        <v>33</v>
      </c>
      <c r="C123" s="26"/>
      <c r="D123" s="27"/>
      <c r="E123">
        <f>COUNT(E114:E115)</f>
        <v>2</v>
      </c>
    </row>
    <row r="124" spans="1:10" ht="15.75" x14ac:dyDescent="0.25">
      <c r="B124" s="28" t="s">
        <v>34</v>
      </c>
      <c r="C124" s="29"/>
      <c r="D124" s="30"/>
      <c r="E124" s="5">
        <f>E123+E108</f>
        <v>18</v>
      </c>
    </row>
    <row r="125" spans="1:10" ht="16.5" thickBot="1" x14ac:dyDescent="0.3">
      <c r="B125" s="31" t="s">
        <v>62</v>
      </c>
      <c r="C125" s="32"/>
      <c r="D125" s="33"/>
      <c r="E125" s="5">
        <f>J115/E124</f>
        <v>67</v>
      </c>
    </row>
    <row r="127" spans="1:10" ht="15.75" thickBot="1" x14ac:dyDescent="0.3"/>
    <row r="128" spans="1:10" ht="15.75" thickBot="1" x14ac:dyDescent="0.3">
      <c r="A128" s="49" t="s">
        <v>67</v>
      </c>
      <c r="B128" s="50"/>
      <c r="C128" s="50"/>
      <c r="D128" s="50"/>
      <c r="E128" s="50"/>
      <c r="F128" s="50"/>
      <c r="G128" s="50"/>
      <c r="H128" s="51"/>
    </row>
    <row r="129" spans="1:10" x14ac:dyDescent="0.25">
      <c r="A129" s="52" t="s">
        <v>12</v>
      </c>
      <c r="B129" s="21" t="s">
        <v>13</v>
      </c>
      <c r="C129" s="21" t="s">
        <v>14</v>
      </c>
      <c r="D129" s="21" t="s">
        <v>15</v>
      </c>
      <c r="E129" s="21" t="s">
        <v>16</v>
      </c>
      <c r="F129" s="21" t="s">
        <v>17</v>
      </c>
      <c r="G129" s="21" t="s">
        <v>18</v>
      </c>
      <c r="H129" s="53" t="s">
        <v>19</v>
      </c>
      <c r="I129" t="s">
        <v>43</v>
      </c>
      <c r="J129" t="s">
        <v>44</v>
      </c>
    </row>
    <row r="130" spans="1:10" x14ac:dyDescent="0.25">
      <c r="A130" s="12">
        <v>19</v>
      </c>
      <c r="B130" s="54" t="s">
        <v>69</v>
      </c>
      <c r="C130" s="12">
        <v>673</v>
      </c>
      <c r="D130" s="12" t="s">
        <v>70</v>
      </c>
      <c r="E130" s="12">
        <v>68</v>
      </c>
      <c r="F130" s="13">
        <v>44139</v>
      </c>
      <c r="G130" s="12">
        <v>6</v>
      </c>
      <c r="H130" t="s">
        <v>25</v>
      </c>
    </row>
    <row r="131" spans="1:10" x14ac:dyDescent="0.25">
      <c r="A131" s="12">
        <v>20</v>
      </c>
      <c r="B131" s="54" t="s">
        <v>69</v>
      </c>
      <c r="C131" s="12">
        <v>674</v>
      </c>
      <c r="D131" s="12" t="s">
        <v>71</v>
      </c>
      <c r="E131" s="12">
        <v>64</v>
      </c>
      <c r="F131" s="13">
        <v>44145</v>
      </c>
      <c r="G131" s="12">
        <v>5</v>
      </c>
      <c r="H131" t="s">
        <v>25</v>
      </c>
    </row>
    <row r="132" spans="1:10" x14ac:dyDescent="0.25">
      <c r="A132" s="12">
        <v>21</v>
      </c>
      <c r="B132" s="54" t="s">
        <v>72</v>
      </c>
      <c r="C132" s="12">
        <v>670</v>
      </c>
      <c r="D132" s="12" t="s">
        <v>73</v>
      </c>
      <c r="E132" s="12">
        <v>80</v>
      </c>
      <c r="F132" s="13">
        <v>44211</v>
      </c>
      <c r="G132" s="12">
        <v>5</v>
      </c>
      <c r="H132" t="s">
        <v>25</v>
      </c>
      <c r="I132">
        <f>SUM(E130:E132)</f>
        <v>212</v>
      </c>
      <c r="J132">
        <f>I132+J115</f>
        <v>1418</v>
      </c>
    </row>
    <row r="133" spans="1:10" ht="15.75" thickBot="1" x14ac:dyDescent="0.3"/>
    <row r="134" spans="1:10" ht="15.75" x14ac:dyDescent="0.25">
      <c r="B134" s="35" t="s">
        <v>27</v>
      </c>
      <c r="C134" s="36"/>
      <c r="D134" s="37"/>
      <c r="E134">
        <f>SUMIF(H130:H132,"*OBLIGATORIO*",G130:G132)</f>
        <v>16</v>
      </c>
    </row>
    <row r="135" spans="1:10" ht="15.75" x14ac:dyDescent="0.25">
      <c r="B135" s="25" t="s">
        <v>28</v>
      </c>
      <c r="C135" s="26"/>
      <c r="D135" s="27"/>
      <c r="E135">
        <f>SUMIF(H130:H132,"*OPTATIVO*",G130:G132)</f>
        <v>0</v>
      </c>
    </row>
    <row r="136" spans="1:10" ht="15.75" x14ac:dyDescent="0.25">
      <c r="B136" s="28" t="s">
        <v>29</v>
      </c>
      <c r="C136" s="29"/>
      <c r="D136" s="30"/>
      <c r="E136" s="5">
        <f>SUM(E134:E135)</f>
        <v>16</v>
      </c>
    </row>
    <row r="137" spans="1:10" ht="15.75" x14ac:dyDescent="0.25">
      <c r="B137" s="25" t="s">
        <v>30</v>
      </c>
      <c r="C137" s="26"/>
      <c r="D137" s="27"/>
      <c r="E137">
        <f>E134+E120</f>
        <v>90</v>
      </c>
    </row>
    <row r="138" spans="1:10" ht="15.75" x14ac:dyDescent="0.25">
      <c r="B138" s="25" t="s">
        <v>31</v>
      </c>
      <c r="C138" s="26"/>
      <c r="D138" s="27"/>
      <c r="E138">
        <f>E135+E121</f>
        <v>4</v>
      </c>
    </row>
    <row r="139" spans="1:10" ht="15.75" x14ac:dyDescent="0.25">
      <c r="B139" s="28" t="s">
        <v>32</v>
      </c>
      <c r="C139" s="29"/>
      <c r="D139" s="30"/>
      <c r="E139" s="5">
        <f>SUM(E137:E138)</f>
        <v>94</v>
      </c>
    </row>
    <row r="140" spans="1:10" ht="15.75" x14ac:dyDescent="0.25">
      <c r="B140" s="25" t="s">
        <v>33</v>
      </c>
      <c r="C140" s="26"/>
      <c r="D140" s="27"/>
      <c r="E140">
        <f>COUNT(E130:E132)</f>
        <v>3</v>
      </c>
    </row>
    <row r="141" spans="1:10" ht="15.75" x14ac:dyDescent="0.25">
      <c r="B141" s="28" t="s">
        <v>34</v>
      </c>
      <c r="C141" s="29"/>
      <c r="D141" s="30"/>
      <c r="E141" s="5">
        <f>E140+E124</f>
        <v>21</v>
      </c>
    </row>
    <row r="142" spans="1:10" ht="16.5" thickBot="1" x14ac:dyDescent="0.3">
      <c r="B142" s="31" t="s">
        <v>68</v>
      </c>
      <c r="C142" s="32"/>
      <c r="D142" s="33"/>
      <c r="E142" s="5">
        <f>J132/E141</f>
        <v>67.523809523809518</v>
      </c>
    </row>
    <row r="144" spans="1:10" ht="15.75" thickBot="1" x14ac:dyDescent="0.3"/>
    <row r="145" spans="1:10" ht="15.75" thickBot="1" x14ac:dyDescent="0.3">
      <c r="A145" s="49" t="s">
        <v>74</v>
      </c>
      <c r="B145" s="50"/>
      <c r="C145" s="50"/>
      <c r="D145" s="50"/>
      <c r="E145" s="50"/>
      <c r="F145" s="50"/>
      <c r="G145" s="50"/>
      <c r="H145" s="51"/>
    </row>
    <row r="146" spans="1:10" x14ac:dyDescent="0.25">
      <c r="A146" s="52" t="s">
        <v>12</v>
      </c>
      <c r="B146" s="21" t="s">
        <v>13</v>
      </c>
      <c r="C146" s="21" t="s">
        <v>14</v>
      </c>
      <c r="D146" s="21" t="s">
        <v>15</v>
      </c>
      <c r="E146" s="21" t="s">
        <v>16</v>
      </c>
      <c r="F146" s="21" t="s">
        <v>17</v>
      </c>
      <c r="G146" s="21" t="s">
        <v>18</v>
      </c>
      <c r="H146" s="53" t="s">
        <v>19</v>
      </c>
      <c r="I146" t="s">
        <v>43</v>
      </c>
      <c r="J146" t="s">
        <v>44</v>
      </c>
    </row>
    <row r="147" spans="1:10" x14ac:dyDescent="0.25">
      <c r="A147" s="12">
        <v>22</v>
      </c>
      <c r="B147" s="54" t="s">
        <v>76</v>
      </c>
      <c r="C147" s="12">
        <v>694</v>
      </c>
      <c r="D147" s="12" t="s">
        <v>77</v>
      </c>
      <c r="E147" s="12">
        <v>70</v>
      </c>
      <c r="F147" s="13">
        <v>44504</v>
      </c>
      <c r="G147" s="12">
        <v>3</v>
      </c>
      <c r="H147" t="s">
        <v>26</v>
      </c>
      <c r="I147">
        <f>SUM(E147:E147)</f>
        <v>70</v>
      </c>
      <c r="J147">
        <f>I147+J132</f>
        <v>1488</v>
      </c>
    </row>
    <row r="148" spans="1:10" ht="15.75" thickBot="1" x14ac:dyDescent="0.3"/>
    <row r="149" spans="1:10" ht="15.75" x14ac:dyDescent="0.25">
      <c r="B149" s="35" t="s">
        <v>27</v>
      </c>
      <c r="C149" s="36"/>
      <c r="D149" s="37"/>
      <c r="E149">
        <f>SUMIF(H147:H147,"*OBLIGATORIO*",G147:G147)</f>
        <v>0</v>
      </c>
    </row>
    <row r="150" spans="1:10" ht="15.75" x14ac:dyDescent="0.25">
      <c r="B150" s="25" t="s">
        <v>28</v>
      </c>
      <c r="C150" s="26"/>
      <c r="D150" s="27"/>
      <c r="E150">
        <f>SUMIF(H147:H147,"*OPTATIVO*",G147:G147)</f>
        <v>3</v>
      </c>
    </row>
    <row r="151" spans="1:10" ht="15.75" x14ac:dyDescent="0.25">
      <c r="B151" s="28" t="s">
        <v>29</v>
      </c>
      <c r="C151" s="29"/>
      <c r="D151" s="30"/>
      <c r="E151" s="5">
        <f>SUM(E149:E150)</f>
        <v>3</v>
      </c>
    </row>
    <row r="152" spans="1:10" ht="15.75" x14ac:dyDescent="0.25">
      <c r="B152" s="25" t="s">
        <v>30</v>
      </c>
      <c r="C152" s="26"/>
      <c r="D152" s="27"/>
      <c r="E152">
        <f>E149+E137</f>
        <v>90</v>
      </c>
    </row>
    <row r="153" spans="1:10" ht="15.75" x14ac:dyDescent="0.25">
      <c r="B153" s="25" t="s">
        <v>31</v>
      </c>
      <c r="C153" s="26"/>
      <c r="D153" s="27"/>
      <c r="E153">
        <f>E150+E138</f>
        <v>7</v>
      </c>
    </row>
    <row r="154" spans="1:10" ht="15.75" x14ac:dyDescent="0.25">
      <c r="B154" s="28" t="s">
        <v>32</v>
      </c>
      <c r="C154" s="29"/>
      <c r="D154" s="30"/>
      <c r="E154" s="5">
        <f>SUM(E152:E153)</f>
        <v>97</v>
      </c>
    </row>
    <row r="155" spans="1:10" ht="15.75" x14ac:dyDescent="0.25">
      <c r="B155" s="25" t="s">
        <v>33</v>
      </c>
      <c r="C155" s="26"/>
      <c r="D155" s="27"/>
      <c r="E155">
        <f>COUNT(E147:E147)</f>
        <v>1</v>
      </c>
    </row>
    <row r="156" spans="1:10" ht="15.75" x14ac:dyDescent="0.25">
      <c r="B156" s="28" t="s">
        <v>34</v>
      </c>
      <c r="C156" s="29"/>
      <c r="D156" s="30"/>
      <c r="E156" s="5">
        <f>E155+E141</f>
        <v>22</v>
      </c>
    </row>
    <row r="157" spans="1:10" ht="16.5" thickBot="1" x14ac:dyDescent="0.3">
      <c r="B157" s="31" t="s">
        <v>75</v>
      </c>
      <c r="C157" s="32"/>
      <c r="D157" s="33"/>
      <c r="E157" s="5">
        <f>J147/E156</f>
        <v>67.63636363636364</v>
      </c>
    </row>
    <row r="159" spans="1:10" ht="15.75" thickBot="1" x14ac:dyDescent="0.3"/>
    <row r="160" spans="1:10" ht="15.75" thickBot="1" x14ac:dyDescent="0.3">
      <c r="A160" s="49" t="s">
        <v>78</v>
      </c>
      <c r="B160" s="50"/>
      <c r="C160" s="50"/>
      <c r="D160" s="50"/>
      <c r="E160" s="50"/>
      <c r="F160" s="50"/>
      <c r="G160" s="50"/>
      <c r="H160" s="51"/>
    </row>
    <row r="161" spans="1:10" x14ac:dyDescent="0.25">
      <c r="A161" s="52" t="s">
        <v>12</v>
      </c>
      <c r="B161" s="21" t="s">
        <v>13</v>
      </c>
      <c r="C161" s="21" t="s">
        <v>14</v>
      </c>
      <c r="D161" s="21" t="s">
        <v>15</v>
      </c>
      <c r="E161" s="21" t="s">
        <v>16</v>
      </c>
      <c r="F161" s="21" t="s">
        <v>17</v>
      </c>
      <c r="G161" s="21" t="s">
        <v>18</v>
      </c>
      <c r="H161" s="53" t="s">
        <v>19</v>
      </c>
      <c r="I161" t="s">
        <v>43</v>
      </c>
      <c r="J161" t="s">
        <v>44</v>
      </c>
    </row>
    <row r="162" spans="1:10" x14ac:dyDescent="0.25">
      <c r="A162" s="12">
        <v>23</v>
      </c>
      <c r="B162" s="54" t="s">
        <v>76</v>
      </c>
      <c r="C162" s="12">
        <v>94</v>
      </c>
      <c r="D162" s="12" t="s">
        <v>80</v>
      </c>
      <c r="E162" s="12">
        <v>61</v>
      </c>
      <c r="F162" s="13">
        <v>44693</v>
      </c>
      <c r="G162" s="12">
        <v>3</v>
      </c>
      <c r="H162" t="s">
        <v>81</v>
      </c>
      <c r="I162">
        <f>SUM(E162:E162)</f>
        <v>61</v>
      </c>
      <c r="J162">
        <f>I162+J147</f>
        <v>1549</v>
      </c>
    </row>
    <row r="163" spans="1:10" ht="15.75" thickBot="1" x14ac:dyDescent="0.3"/>
    <row r="164" spans="1:10" ht="15.75" x14ac:dyDescent="0.25">
      <c r="B164" s="35" t="s">
        <v>27</v>
      </c>
      <c r="C164" s="36"/>
      <c r="D164" s="37"/>
      <c r="E164">
        <f>SUMIF(H162:H162,"*OBLIGATORIO*",G162:G162)</f>
        <v>3</v>
      </c>
    </row>
    <row r="165" spans="1:10" ht="15.75" x14ac:dyDescent="0.25">
      <c r="B165" s="25" t="s">
        <v>28</v>
      </c>
      <c r="C165" s="26"/>
      <c r="D165" s="27"/>
      <c r="E165">
        <f>SUMIF(H162:H162,"*OPTATIVO*",G162:G162)</f>
        <v>0</v>
      </c>
    </row>
    <row r="166" spans="1:10" ht="15.75" x14ac:dyDescent="0.25">
      <c r="B166" s="28" t="s">
        <v>29</v>
      </c>
      <c r="C166" s="29"/>
      <c r="D166" s="30"/>
      <c r="E166" s="5">
        <f>SUM(E164:E165)</f>
        <v>3</v>
      </c>
    </row>
    <row r="167" spans="1:10" ht="15.75" x14ac:dyDescent="0.25">
      <c r="B167" s="25" t="s">
        <v>30</v>
      </c>
      <c r="C167" s="26"/>
      <c r="D167" s="27"/>
      <c r="E167">
        <f>E164+E152</f>
        <v>93</v>
      </c>
    </row>
    <row r="168" spans="1:10" ht="15.75" x14ac:dyDescent="0.25">
      <c r="B168" s="25" t="s">
        <v>31</v>
      </c>
      <c r="C168" s="26"/>
      <c r="D168" s="27"/>
      <c r="E168">
        <f>E165+E153</f>
        <v>7</v>
      </c>
    </row>
    <row r="169" spans="1:10" ht="15.75" x14ac:dyDescent="0.25">
      <c r="B169" s="28" t="s">
        <v>32</v>
      </c>
      <c r="C169" s="29"/>
      <c r="D169" s="30"/>
      <c r="E169" s="5">
        <f>SUM(E167:E168)</f>
        <v>100</v>
      </c>
    </row>
    <row r="170" spans="1:10" ht="15.75" x14ac:dyDescent="0.25">
      <c r="B170" s="25" t="s">
        <v>33</v>
      </c>
      <c r="C170" s="26"/>
      <c r="D170" s="27"/>
      <c r="E170">
        <f>COUNT(E162:E162)</f>
        <v>1</v>
      </c>
    </row>
    <row r="171" spans="1:10" ht="15.75" x14ac:dyDescent="0.25">
      <c r="B171" s="28" t="s">
        <v>34</v>
      </c>
      <c r="C171" s="29"/>
      <c r="D171" s="30"/>
      <c r="E171" s="5">
        <f>E170+E156</f>
        <v>23</v>
      </c>
    </row>
    <row r="172" spans="1:10" ht="16.5" thickBot="1" x14ac:dyDescent="0.3">
      <c r="B172" s="31" t="s">
        <v>79</v>
      </c>
      <c r="C172" s="32"/>
      <c r="D172" s="33"/>
      <c r="E172" s="5">
        <f>J162/E171</f>
        <v>67.347826086956516</v>
      </c>
    </row>
    <row r="174" spans="1:10" ht="15.75" thickBot="1" x14ac:dyDescent="0.3"/>
    <row r="175" spans="1:10" ht="15.75" thickBot="1" x14ac:dyDescent="0.3">
      <c r="A175" s="49" t="s">
        <v>82</v>
      </c>
      <c r="B175" s="50"/>
      <c r="C175" s="50"/>
      <c r="D175" s="50"/>
      <c r="E175" s="50"/>
      <c r="F175" s="50"/>
      <c r="G175" s="50"/>
      <c r="H175" s="51"/>
    </row>
    <row r="176" spans="1:10" x14ac:dyDescent="0.25">
      <c r="A176" s="52" t="s">
        <v>12</v>
      </c>
      <c r="B176" s="21" t="s">
        <v>13</v>
      </c>
      <c r="C176" s="21" t="s">
        <v>14</v>
      </c>
      <c r="D176" s="21" t="s">
        <v>15</v>
      </c>
      <c r="E176" s="21" t="s">
        <v>16</v>
      </c>
      <c r="F176" s="21" t="s">
        <v>17</v>
      </c>
      <c r="G176" s="21" t="s">
        <v>18</v>
      </c>
      <c r="H176" s="53" t="s">
        <v>19</v>
      </c>
      <c r="I176" t="s">
        <v>43</v>
      </c>
      <c r="J176" t="s">
        <v>44</v>
      </c>
    </row>
    <row r="177" spans="1:10" x14ac:dyDescent="0.25">
      <c r="A177" s="12">
        <v>24</v>
      </c>
      <c r="B177" s="54" t="s">
        <v>84</v>
      </c>
      <c r="C177" s="12">
        <v>87</v>
      </c>
      <c r="D177" s="12" t="s">
        <v>85</v>
      </c>
      <c r="E177" s="12">
        <v>63</v>
      </c>
      <c r="F177" s="13">
        <v>45054</v>
      </c>
      <c r="G177" s="12">
        <v>3</v>
      </c>
      <c r="H177" t="s">
        <v>81</v>
      </c>
    </row>
    <row r="178" spans="1:10" x14ac:dyDescent="0.25">
      <c r="A178" s="12">
        <v>25</v>
      </c>
      <c r="B178" s="54">
        <v>170</v>
      </c>
      <c r="C178" s="12">
        <v>2394</v>
      </c>
      <c r="D178" s="12" t="s">
        <v>86</v>
      </c>
      <c r="E178" s="12">
        <v>71</v>
      </c>
      <c r="F178" s="13">
        <v>45054</v>
      </c>
      <c r="G178" s="12">
        <v>0</v>
      </c>
      <c r="H178" t="s">
        <v>25</v>
      </c>
    </row>
    <row r="179" spans="1:10" x14ac:dyDescent="0.25">
      <c r="A179" s="12">
        <v>26</v>
      </c>
      <c r="B179" s="54" t="s">
        <v>87</v>
      </c>
      <c r="C179" s="12">
        <v>217</v>
      </c>
      <c r="D179" s="12" t="s">
        <v>88</v>
      </c>
      <c r="E179" s="12">
        <v>68</v>
      </c>
      <c r="F179" s="13">
        <v>45055</v>
      </c>
      <c r="G179" s="12">
        <v>4</v>
      </c>
      <c r="H179" t="s">
        <v>26</v>
      </c>
    </row>
    <row r="180" spans="1:10" x14ac:dyDescent="0.25">
      <c r="A180" s="12">
        <v>27</v>
      </c>
      <c r="B180" s="54" t="s">
        <v>76</v>
      </c>
      <c r="C180" s="12">
        <v>680</v>
      </c>
      <c r="D180" s="12" t="s">
        <v>89</v>
      </c>
      <c r="E180" s="12">
        <v>72</v>
      </c>
      <c r="F180" s="13">
        <v>45055</v>
      </c>
      <c r="G180" s="12">
        <v>3</v>
      </c>
      <c r="H180" t="s">
        <v>25</v>
      </c>
    </row>
    <row r="181" spans="1:10" x14ac:dyDescent="0.25">
      <c r="A181" s="12">
        <v>28</v>
      </c>
      <c r="B181" s="54">
        <v>290</v>
      </c>
      <c r="C181" s="12">
        <v>746</v>
      </c>
      <c r="D181" s="12" t="s">
        <v>90</v>
      </c>
      <c r="E181" s="12">
        <v>69</v>
      </c>
      <c r="F181" s="13">
        <v>45058</v>
      </c>
      <c r="G181" s="12">
        <v>6</v>
      </c>
      <c r="H181" t="s">
        <v>25</v>
      </c>
    </row>
    <row r="182" spans="1:10" x14ac:dyDescent="0.25">
      <c r="A182" s="12">
        <v>29</v>
      </c>
      <c r="B182" s="54" t="s">
        <v>63</v>
      </c>
      <c r="C182" s="12">
        <v>109</v>
      </c>
      <c r="D182" s="12" t="s">
        <v>91</v>
      </c>
      <c r="E182" s="12">
        <v>68</v>
      </c>
      <c r="F182" s="13">
        <v>45068</v>
      </c>
      <c r="G182" s="12">
        <v>5</v>
      </c>
      <c r="H182" t="s">
        <v>25</v>
      </c>
      <c r="I182">
        <f>SUM(E177:E182)</f>
        <v>411</v>
      </c>
      <c r="J182">
        <f>I182+J162</f>
        <v>1960</v>
      </c>
    </row>
    <row r="183" spans="1:10" ht="15.75" thickBot="1" x14ac:dyDescent="0.3"/>
    <row r="184" spans="1:10" ht="15.75" x14ac:dyDescent="0.25">
      <c r="B184" s="35" t="s">
        <v>27</v>
      </c>
      <c r="C184" s="36"/>
      <c r="D184" s="37"/>
      <c r="E184">
        <f>SUMIF(H177:H182,"*OBLIGATORIO*",G177:G182)</f>
        <v>17</v>
      </c>
    </row>
    <row r="185" spans="1:10" ht="15.75" x14ac:dyDescent="0.25">
      <c r="B185" s="25" t="s">
        <v>28</v>
      </c>
      <c r="C185" s="26"/>
      <c r="D185" s="27"/>
      <c r="E185">
        <f>SUMIF(H177:H182,"*OPTATIVO*",G177:G182)</f>
        <v>4</v>
      </c>
    </row>
    <row r="186" spans="1:10" ht="15.75" x14ac:dyDescent="0.25">
      <c r="B186" s="28" t="s">
        <v>29</v>
      </c>
      <c r="C186" s="29"/>
      <c r="D186" s="30"/>
      <c r="E186" s="5">
        <f>SUM(E184:E185)</f>
        <v>21</v>
      </c>
    </row>
    <row r="187" spans="1:10" ht="15.75" x14ac:dyDescent="0.25">
      <c r="B187" s="25" t="s">
        <v>30</v>
      </c>
      <c r="C187" s="26"/>
      <c r="D187" s="27"/>
      <c r="E187">
        <f>E184+E167</f>
        <v>110</v>
      </c>
    </row>
    <row r="188" spans="1:10" ht="15.75" x14ac:dyDescent="0.25">
      <c r="B188" s="25" t="s">
        <v>31</v>
      </c>
      <c r="C188" s="26"/>
      <c r="D188" s="27"/>
      <c r="E188">
        <f>E185+E168</f>
        <v>11</v>
      </c>
    </row>
    <row r="189" spans="1:10" ht="15.75" x14ac:dyDescent="0.25">
      <c r="B189" s="28" t="s">
        <v>32</v>
      </c>
      <c r="C189" s="29"/>
      <c r="D189" s="30"/>
      <c r="E189" s="5">
        <f>SUM(E187:E188)</f>
        <v>121</v>
      </c>
    </row>
    <row r="190" spans="1:10" ht="15.75" x14ac:dyDescent="0.25">
      <c r="B190" s="25" t="s">
        <v>33</v>
      </c>
      <c r="C190" s="26"/>
      <c r="D190" s="27"/>
      <c r="E190">
        <f>COUNT(E177:E182)</f>
        <v>6</v>
      </c>
    </row>
    <row r="191" spans="1:10" ht="15.75" x14ac:dyDescent="0.25">
      <c r="B191" s="28" t="s">
        <v>34</v>
      </c>
      <c r="C191" s="29"/>
      <c r="D191" s="30"/>
      <c r="E191" s="5">
        <f>E190+E171</f>
        <v>29</v>
      </c>
    </row>
    <row r="192" spans="1:10" ht="16.5" thickBot="1" x14ac:dyDescent="0.3">
      <c r="B192" s="31" t="s">
        <v>83</v>
      </c>
      <c r="C192" s="32"/>
      <c r="D192" s="33"/>
      <c r="E192" s="5">
        <f>J182/E191</f>
        <v>67.58620689655173</v>
      </c>
    </row>
    <row r="194" spans="1:10" ht="15.75" thickBot="1" x14ac:dyDescent="0.3"/>
    <row r="195" spans="1:10" ht="15.75" thickBot="1" x14ac:dyDescent="0.3">
      <c r="A195" s="49" t="s">
        <v>92</v>
      </c>
      <c r="B195" s="50"/>
      <c r="C195" s="50"/>
      <c r="D195" s="50"/>
      <c r="E195" s="50"/>
      <c r="F195" s="50"/>
      <c r="G195" s="50"/>
      <c r="H195" s="51"/>
    </row>
    <row r="196" spans="1:10" x14ac:dyDescent="0.25">
      <c r="A196" s="52" t="s">
        <v>12</v>
      </c>
      <c r="B196" s="21" t="s">
        <v>13</v>
      </c>
      <c r="C196" s="21" t="s">
        <v>14</v>
      </c>
      <c r="D196" s="21" t="s">
        <v>15</v>
      </c>
      <c r="E196" s="21" t="s">
        <v>16</v>
      </c>
      <c r="F196" s="21" t="s">
        <v>17</v>
      </c>
      <c r="G196" s="21" t="s">
        <v>18</v>
      </c>
      <c r="H196" s="53" t="s">
        <v>19</v>
      </c>
      <c r="I196" t="s">
        <v>43</v>
      </c>
      <c r="J196" t="s">
        <v>44</v>
      </c>
    </row>
    <row r="197" spans="1:10" x14ac:dyDescent="0.25">
      <c r="A197" s="12">
        <v>30</v>
      </c>
      <c r="B197" s="54" t="s">
        <v>94</v>
      </c>
      <c r="C197" s="12">
        <v>672</v>
      </c>
      <c r="D197" s="12" t="s">
        <v>95</v>
      </c>
      <c r="E197" s="12">
        <v>81</v>
      </c>
      <c r="F197" s="13">
        <v>45106</v>
      </c>
      <c r="G197" s="12">
        <v>5</v>
      </c>
      <c r="H197" t="s">
        <v>81</v>
      </c>
      <c r="I197">
        <f>SUM(E197:E197)</f>
        <v>81</v>
      </c>
      <c r="J197">
        <f>I197+J182</f>
        <v>2041</v>
      </c>
    </row>
    <row r="198" spans="1:10" ht="15.75" thickBot="1" x14ac:dyDescent="0.3"/>
    <row r="199" spans="1:10" ht="15.75" x14ac:dyDescent="0.25">
      <c r="B199" s="35" t="s">
        <v>27</v>
      </c>
      <c r="C199" s="36"/>
      <c r="D199" s="37"/>
      <c r="E199">
        <f>SUMIF(H197:H197,"*OBLIGATORIO*",G197:G197)</f>
        <v>5</v>
      </c>
    </row>
    <row r="200" spans="1:10" ht="15.75" x14ac:dyDescent="0.25">
      <c r="B200" s="25" t="s">
        <v>28</v>
      </c>
      <c r="C200" s="26"/>
      <c r="D200" s="27"/>
      <c r="E200">
        <f>SUMIF(H197:H197,"*OPTATIVO*",G197:G197)</f>
        <v>0</v>
      </c>
    </row>
    <row r="201" spans="1:10" ht="15.75" x14ac:dyDescent="0.25">
      <c r="B201" s="28" t="s">
        <v>29</v>
      </c>
      <c r="C201" s="29"/>
      <c r="D201" s="30"/>
      <c r="E201" s="5">
        <f>SUM(E199:E200)</f>
        <v>5</v>
      </c>
    </row>
    <row r="202" spans="1:10" ht="15.75" x14ac:dyDescent="0.25">
      <c r="B202" s="25" t="s">
        <v>30</v>
      </c>
      <c r="C202" s="26"/>
      <c r="D202" s="27"/>
      <c r="E202">
        <f>E199+E187</f>
        <v>115</v>
      </c>
    </row>
    <row r="203" spans="1:10" ht="15.75" x14ac:dyDescent="0.25">
      <c r="B203" s="25" t="s">
        <v>31</v>
      </c>
      <c r="C203" s="26"/>
      <c r="D203" s="27"/>
      <c r="E203">
        <f>E200+E188</f>
        <v>11</v>
      </c>
    </row>
    <row r="204" spans="1:10" ht="15.75" x14ac:dyDescent="0.25">
      <c r="B204" s="28" t="s">
        <v>32</v>
      </c>
      <c r="C204" s="29"/>
      <c r="D204" s="30"/>
      <c r="E204" s="5">
        <f>SUM(E202:E203)</f>
        <v>126</v>
      </c>
    </row>
    <row r="205" spans="1:10" ht="15.75" x14ac:dyDescent="0.25">
      <c r="B205" s="25" t="s">
        <v>33</v>
      </c>
      <c r="C205" s="26"/>
      <c r="D205" s="27"/>
      <c r="E205">
        <f>COUNT(E197:E197)</f>
        <v>1</v>
      </c>
    </row>
    <row r="206" spans="1:10" ht="15.75" x14ac:dyDescent="0.25">
      <c r="B206" s="28" t="s">
        <v>34</v>
      </c>
      <c r="C206" s="29"/>
      <c r="D206" s="30"/>
      <c r="E206" s="5">
        <f>E205+E191</f>
        <v>30</v>
      </c>
    </row>
    <row r="207" spans="1:10" ht="16.5" thickBot="1" x14ac:dyDescent="0.3">
      <c r="B207" s="31" t="s">
        <v>93</v>
      </c>
      <c r="C207" s="32"/>
      <c r="D207" s="33"/>
      <c r="E207" s="5">
        <f>J197/E206</f>
        <v>68.033333333333331</v>
      </c>
    </row>
    <row r="209" spans="1:10" ht="15.75" thickBot="1" x14ac:dyDescent="0.3"/>
    <row r="210" spans="1:10" ht="15.75" thickBot="1" x14ac:dyDescent="0.3">
      <c r="A210" s="49" t="s">
        <v>96</v>
      </c>
      <c r="B210" s="50"/>
      <c r="C210" s="50"/>
      <c r="D210" s="50"/>
      <c r="E210" s="50"/>
      <c r="F210" s="50"/>
      <c r="G210" s="50"/>
      <c r="H210" s="51"/>
    </row>
    <row r="211" spans="1:10" x14ac:dyDescent="0.25">
      <c r="A211" s="52" t="s">
        <v>12</v>
      </c>
      <c r="B211" s="21" t="s">
        <v>13</v>
      </c>
      <c r="C211" s="21" t="s">
        <v>14</v>
      </c>
      <c r="D211" s="21" t="s">
        <v>15</v>
      </c>
      <c r="E211" s="21" t="s">
        <v>16</v>
      </c>
      <c r="F211" s="21" t="s">
        <v>17</v>
      </c>
      <c r="G211" s="21" t="s">
        <v>18</v>
      </c>
      <c r="H211" s="53" t="s">
        <v>19</v>
      </c>
      <c r="I211" t="s">
        <v>43</v>
      </c>
      <c r="J211" t="s">
        <v>44</v>
      </c>
    </row>
    <row r="212" spans="1:10" x14ac:dyDescent="0.25">
      <c r="A212" s="12">
        <v>31</v>
      </c>
      <c r="B212" s="54">
        <v>949</v>
      </c>
      <c r="C212" s="12">
        <v>690</v>
      </c>
      <c r="D212" s="12" t="s">
        <v>98</v>
      </c>
      <c r="E212" s="12">
        <v>65</v>
      </c>
      <c r="F212" s="13">
        <v>45236</v>
      </c>
      <c r="G212" s="12">
        <v>5</v>
      </c>
      <c r="H212" t="s">
        <v>26</v>
      </c>
    </row>
    <row r="213" spans="1:10" x14ac:dyDescent="0.25">
      <c r="A213" s="12">
        <v>32</v>
      </c>
      <c r="B213" s="54">
        <v>119</v>
      </c>
      <c r="C213" s="12">
        <v>121</v>
      </c>
      <c r="D213" s="12" t="s">
        <v>99</v>
      </c>
      <c r="E213" s="12">
        <v>66</v>
      </c>
      <c r="F213" s="13">
        <v>45236</v>
      </c>
      <c r="G213" s="12">
        <v>3</v>
      </c>
      <c r="H213" t="s">
        <v>25</v>
      </c>
    </row>
    <row r="214" spans="1:10" x14ac:dyDescent="0.25">
      <c r="A214" s="12">
        <v>33</v>
      </c>
      <c r="B214" s="54" t="s">
        <v>94</v>
      </c>
      <c r="C214" s="12">
        <v>671</v>
      </c>
      <c r="D214" s="12" t="s">
        <v>100</v>
      </c>
      <c r="E214" s="12">
        <v>63</v>
      </c>
      <c r="F214" s="13">
        <v>45238</v>
      </c>
      <c r="G214" s="12">
        <v>6</v>
      </c>
      <c r="H214" t="s">
        <v>25</v>
      </c>
    </row>
    <row r="215" spans="1:10" x14ac:dyDescent="0.25">
      <c r="A215" s="12">
        <v>34</v>
      </c>
      <c r="B215" s="54">
        <v>672</v>
      </c>
      <c r="C215" s="12">
        <v>679</v>
      </c>
      <c r="D215" s="12" t="s">
        <v>101</v>
      </c>
      <c r="E215" s="12">
        <v>71</v>
      </c>
      <c r="F215" s="13">
        <v>45239</v>
      </c>
      <c r="G215" s="12">
        <v>6</v>
      </c>
      <c r="H215" t="s">
        <v>25</v>
      </c>
    </row>
    <row r="216" spans="1:10" x14ac:dyDescent="0.25">
      <c r="A216" s="12">
        <v>35</v>
      </c>
      <c r="B216" s="54">
        <v>672</v>
      </c>
      <c r="C216" s="12">
        <v>748</v>
      </c>
      <c r="D216" s="12" t="s">
        <v>102</v>
      </c>
      <c r="E216" s="12">
        <v>76</v>
      </c>
      <c r="F216" s="13">
        <v>45239</v>
      </c>
      <c r="G216" s="12">
        <v>5</v>
      </c>
      <c r="H216" t="s">
        <v>25</v>
      </c>
    </row>
    <row r="217" spans="1:10" x14ac:dyDescent="0.25">
      <c r="A217" s="12">
        <v>36</v>
      </c>
      <c r="B217" s="54">
        <v>680</v>
      </c>
      <c r="C217" s="12">
        <v>764</v>
      </c>
      <c r="D217" s="12" t="s">
        <v>103</v>
      </c>
      <c r="E217" s="12">
        <v>76</v>
      </c>
      <c r="F217" s="13">
        <v>45240</v>
      </c>
      <c r="G217" s="12">
        <v>3</v>
      </c>
      <c r="H217" t="s">
        <v>26</v>
      </c>
    </row>
    <row r="218" spans="1:10" x14ac:dyDescent="0.25">
      <c r="A218" s="12">
        <v>37</v>
      </c>
      <c r="B218" s="54">
        <v>672</v>
      </c>
      <c r="C218" s="12">
        <v>677</v>
      </c>
      <c r="D218" s="12" t="s">
        <v>104</v>
      </c>
      <c r="E218" s="12">
        <v>63</v>
      </c>
      <c r="F218" s="13">
        <v>45251</v>
      </c>
      <c r="G218" s="12">
        <v>5</v>
      </c>
      <c r="H218" t="s">
        <v>25</v>
      </c>
    </row>
    <row r="219" spans="1:10" x14ac:dyDescent="0.25">
      <c r="A219" s="12">
        <v>38</v>
      </c>
      <c r="B219" s="54" t="s">
        <v>105</v>
      </c>
      <c r="C219" s="12">
        <v>2585</v>
      </c>
      <c r="D219" s="12" t="s">
        <v>106</v>
      </c>
      <c r="E219" s="12">
        <v>89</v>
      </c>
      <c r="F219" s="13">
        <v>45253</v>
      </c>
      <c r="G219" s="12">
        <v>0</v>
      </c>
      <c r="H219" t="s">
        <v>25</v>
      </c>
      <c r="I219">
        <f>SUM(E212:E219)</f>
        <v>569</v>
      </c>
      <c r="J219">
        <f>I219+J197</f>
        <v>2610</v>
      </c>
    </row>
    <row r="220" spans="1:10" ht="15.75" thickBot="1" x14ac:dyDescent="0.3"/>
    <row r="221" spans="1:10" ht="15.75" x14ac:dyDescent="0.25">
      <c r="B221" s="35" t="s">
        <v>27</v>
      </c>
      <c r="C221" s="36"/>
      <c r="D221" s="37"/>
      <c r="E221">
        <f>SUMIF(H212:H219,"*OBLIGATORIO*",G212:G219)</f>
        <v>25</v>
      </c>
    </row>
    <row r="222" spans="1:10" ht="15.75" x14ac:dyDescent="0.25">
      <c r="B222" s="25" t="s">
        <v>28</v>
      </c>
      <c r="C222" s="26"/>
      <c r="D222" s="27"/>
      <c r="E222">
        <f>SUMIF(H212:H219,"*OPTATIVO*",G212:G219)</f>
        <v>8</v>
      </c>
    </row>
    <row r="223" spans="1:10" ht="15.75" x14ac:dyDescent="0.25">
      <c r="B223" s="28" t="s">
        <v>29</v>
      </c>
      <c r="C223" s="29"/>
      <c r="D223" s="30"/>
      <c r="E223" s="5">
        <f>SUM(E221:E222)</f>
        <v>33</v>
      </c>
    </row>
    <row r="224" spans="1:10" ht="15.75" x14ac:dyDescent="0.25">
      <c r="B224" s="25" t="s">
        <v>30</v>
      </c>
      <c r="C224" s="26"/>
      <c r="D224" s="27"/>
      <c r="E224">
        <f>E221+E202</f>
        <v>140</v>
      </c>
    </row>
    <row r="225" spans="1:10" ht="15.75" x14ac:dyDescent="0.25">
      <c r="B225" s="25" t="s">
        <v>31</v>
      </c>
      <c r="C225" s="26"/>
      <c r="D225" s="27"/>
      <c r="E225">
        <f>E222+E203</f>
        <v>19</v>
      </c>
    </row>
    <row r="226" spans="1:10" ht="15.75" x14ac:dyDescent="0.25">
      <c r="B226" s="28" t="s">
        <v>32</v>
      </c>
      <c r="C226" s="29"/>
      <c r="D226" s="30"/>
      <c r="E226" s="5">
        <f>SUM(E224:E225)</f>
        <v>159</v>
      </c>
    </row>
    <row r="227" spans="1:10" ht="15.75" x14ac:dyDescent="0.25">
      <c r="B227" s="25" t="s">
        <v>33</v>
      </c>
      <c r="C227" s="26"/>
      <c r="D227" s="27"/>
      <c r="E227">
        <f>COUNT(E212:E219)</f>
        <v>8</v>
      </c>
    </row>
    <row r="228" spans="1:10" ht="15.75" x14ac:dyDescent="0.25">
      <c r="B228" s="28" t="s">
        <v>34</v>
      </c>
      <c r="C228" s="29"/>
      <c r="D228" s="30"/>
      <c r="E228" s="5">
        <f>E227+E206</f>
        <v>38</v>
      </c>
    </row>
    <row r="229" spans="1:10" ht="16.5" thickBot="1" x14ac:dyDescent="0.3">
      <c r="B229" s="31" t="s">
        <v>97</v>
      </c>
      <c r="C229" s="32"/>
      <c r="D229" s="33"/>
      <c r="E229" s="5">
        <f>J219/E228</f>
        <v>68.684210526315795</v>
      </c>
    </row>
    <row r="231" spans="1:10" ht="15.75" thickBot="1" x14ac:dyDescent="0.3"/>
    <row r="232" spans="1:10" ht="15.75" thickBot="1" x14ac:dyDescent="0.3">
      <c r="A232" s="49" t="s">
        <v>107</v>
      </c>
      <c r="B232" s="50"/>
      <c r="C232" s="50"/>
      <c r="D232" s="50"/>
      <c r="E232" s="50"/>
      <c r="F232" s="50"/>
      <c r="G232" s="50"/>
      <c r="H232" s="51"/>
    </row>
    <row r="233" spans="1:10" x14ac:dyDescent="0.25">
      <c r="A233" s="52" t="s">
        <v>12</v>
      </c>
      <c r="B233" s="21" t="s">
        <v>13</v>
      </c>
      <c r="C233" s="21" t="s">
        <v>14</v>
      </c>
      <c r="D233" s="21" t="s">
        <v>15</v>
      </c>
      <c r="E233" s="21" t="s">
        <v>16</v>
      </c>
      <c r="F233" s="21" t="s">
        <v>17</v>
      </c>
      <c r="G233" s="21" t="s">
        <v>18</v>
      </c>
      <c r="H233" s="53" t="s">
        <v>19</v>
      </c>
      <c r="I233" t="s">
        <v>43</v>
      </c>
      <c r="J233" t="s">
        <v>44</v>
      </c>
    </row>
    <row r="234" spans="1:10" x14ac:dyDescent="0.25">
      <c r="A234" s="12">
        <v>39</v>
      </c>
      <c r="B234" s="54">
        <v>671</v>
      </c>
      <c r="C234" s="12">
        <v>686</v>
      </c>
      <c r="D234" s="12" t="s">
        <v>109</v>
      </c>
      <c r="E234" s="12">
        <v>61</v>
      </c>
      <c r="F234" s="13">
        <v>45289</v>
      </c>
      <c r="G234" s="12">
        <v>6</v>
      </c>
      <c r="H234" t="s">
        <v>81</v>
      </c>
      <c r="I234">
        <f>SUM(E234:E234)</f>
        <v>61</v>
      </c>
      <c r="J234">
        <f>I234+J219</f>
        <v>2671</v>
      </c>
    </row>
    <row r="235" spans="1:10" ht="15.75" thickBot="1" x14ac:dyDescent="0.3"/>
    <row r="236" spans="1:10" ht="15.75" x14ac:dyDescent="0.25">
      <c r="B236" s="35" t="s">
        <v>27</v>
      </c>
      <c r="C236" s="36"/>
      <c r="D236" s="37"/>
      <c r="E236">
        <f>SUMIF(H234:H234,"*OBLIGATORIO*",G234:G234)</f>
        <v>6</v>
      </c>
    </row>
    <row r="237" spans="1:10" ht="15.75" x14ac:dyDescent="0.25">
      <c r="B237" s="25" t="s">
        <v>28</v>
      </c>
      <c r="C237" s="26"/>
      <c r="D237" s="27"/>
      <c r="E237">
        <f>SUMIF(H234:H234,"*OPTATIVO*",G234:G234)</f>
        <v>0</v>
      </c>
    </row>
    <row r="238" spans="1:10" ht="15.75" x14ac:dyDescent="0.25">
      <c r="B238" s="28" t="s">
        <v>29</v>
      </c>
      <c r="C238" s="29"/>
      <c r="D238" s="30"/>
      <c r="E238" s="5">
        <f>SUM(E236:E237)</f>
        <v>6</v>
      </c>
    </row>
    <row r="239" spans="1:10" ht="15.75" x14ac:dyDescent="0.25">
      <c r="B239" s="25" t="s">
        <v>30</v>
      </c>
      <c r="C239" s="26"/>
      <c r="D239" s="27"/>
      <c r="E239">
        <f>E236+E224</f>
        <v>146</v>
      </c>
    </row>
    <row r="240" spans="1:10" ht="15.75" x14ac:dyDescent="0.25">
      <c r="B240" s="25" t="s">
        <v>31</v>
      </c>
      <c r="C240" s="26"/>
      <c r="D240" s="27"/>
      <c r="E240">
        <f>E237+E225</f>
        <v>19</v>
      </c>
    </row>
    <row r="241" spans="1:10" ht="15.75" x14ac:dyDescent="0.25">
      <c r="B241" s="28" t="s">
        <v>32</v>
      </c>
      <c r="C241" s="29"/>
      <c r="D241" s="30"/>
      <c r="E241" s="5">
        <f>SUM(E239:E240)</f>
        <v>165</v>
      </c>
    </row>
    <row r="242" spans="1:10" ht="15.75" x14ac:dyDescent="0.25">
      <c r="B242" s="25" t="s">
        <v>33</v>
      </c>
      <c r="C242" s="26"/>
      <c r="D242" s="27"/>
      <c r="E242">
        <f>COUNT(E234:E234)</f>
        <v>1</v>
      </c>
    </row>
    <row r="243" spans="1:10" ht="15.75" x14ac:dyDescent="0.25">
      <c r="B243" s="28" t="s">
        <v>34</v>
      </c>
      <c r="C243" s="29"/>
      <c r="D243" s="30"/>
      <c r="E243" s="5">
        <f>E242+E228</f>
        <v>39</v>
      </c>
    </row>
    <row r="244" spans="1:10" ht="16.5" thickBot="1" x14ac:dyDescent="0.3">
      <c r="B244" s="31" t="s">
        <v>108</v>
      </c>
      <c r="C244" s="32"/>
      <c r="D244" s="33"/>
      <c r="E244" s="5">
        <f>J234/E243</f>
        <v>68.487179487179489</v>
      </c>
    </row>
    <row r="246" spans="1:10" ht="15.75" thickBot="1" x14ac:dyDescent="0.3"/>
    <row r="247" spans="1:10" ht="15.75" thickBot="1" x14ac:dyDescent="0.3">
      <c r="A247" s="49" t="s">
        <v>110</v>
      </c>
      <c r="B247" s="50"/>
      <c r="C247" s="50"/>
      <c r="D247" s="50"/>
      <c r="E247" s="50"/>
      <c r="F247" s="50"/>
      <c r="G247" s="50"/>
      <c r="H247" s="51"/>
    </row>
    <row r="248" spans="1:10" x14ac:dyDescent="0.25">
      <c r="A248" s="52" t="s">
        <v>12</v>
      </c>
      <c r="B248" s="21" t="s">
        <v>13</v>
      </c>
      <c r="C248" s="21" t="s">
        <v>14</v>
      </c>
      <c r="D248" s="21" t="s">
        <v>15</v>
      </c>
      <c r="E248" s="21" t="s">
        <v>16</v>
      </c>
      <c r="F248" s="21" t="s">
        <v>17</v>
      </c>
      <c r="G248" s="21" t="s">
        <v>18</v>
      </c>
      <c r="H248" s="53" t="s">
        <v>19</v>
      </c>
      <c r="I248" t="s">
        <v>43</v>
      </c>
      <c r="J248" t="s">
        <v>44</v>
      </c>
    </row>
    <row r="249" spans="1:10" x14ac:dyDescent="0.25">
      <c r="A249" s="12">
        <v>40</v>
      </c>
      <c r="B249" s="54" t="s">
        <v>112</v>
      </c>
      <c r="C249" s="12">
        <v>945</v>
      </c>
      <c r="D249" s="12" t="s">
        <v>113</v>
      </c>
      <c r="E249" s="12">
        <v>88</v>
      </c>
      <c r="F249" s="13">
        <v>45418</v>
      </c>
      <c r="G249" s="12">
        <v>5</v>
      </c>
      <c r="H249" t="s">
        <v>25</v>
      </c>
    </row>
    <row r="250" spans="1:10" x14ac:dyDescent="0.25">
      <c r="A250" s="12">
        <v>41</v>
      </c>
      <c r="B250" s="54" t="s">
        <v>114</v>
      </c>
      <c r="C250" s="12">
        <v>935</v>
      </c>
      <c r="D250" s="12" t="s">
        <v>115</v>
      </c>
      <c r="E250" s="12">
        <v>83</v>
      </c>
      <c r="F250" s="13">
        <v>45419</v>
      </c>
      <c r="G250" s="12">
        <v>5</v>
      </c>
      <c r="H250" t="s">
        <v>25</v>
      </c>
    </row>
    <row r="251" spans="1:10" x14ac:dyDescent="0.25">
      <c r="A251" s="12">
        <v>42</v>
      </c>
      <c r="B251" s="54">
        <v>686</v>
      </c>
      <c r="C251" s="12">
        <v>749</v>
      </c>
      <c r="D251" s="12" t="s">
        <v>116</v>
      </c>
      <c r="E251" s="12">
        <v>87</v>
      </c>
      <c r="F251" s="13">
        <v>45422</v>
      </c>
      <c r="G251" s="12">
        <v>6</v>
      </c>
      <c r="H251" t="s">
        <v>25</v>
      </c>
    </row>
    <row r="252" spans="1:10" x14ac:dyDescent="0.25">
      <c r="A252" s="12">
        <v>43</v>
      </c>
      <c r="B252" s="54">
        <v>746</v>
      </c>
      <c r="C252" s="12">
        <v>747</v>
      </c>
      <c r="D252" s="12" t="s">
        <v>117</v>
      </c>
      <c r="E252" s="12">
        <v>82</v>
      </c>
      <c r="F252" s="13">
        <v>45436</v>
      </c>
      <c r="G252" s="12">
        <v>6</v>
      </c>
      <c r="H252" t="s">
        <v>25</v>
      </c>
    </row>
    <row r="253" spans="1:10" x14ac:dyDescent="0.25">
      <c r="A253" s="12">
        <v>44</v>
      </c>
      <c r="B253" s="54" t="s">
        <v>118</v>
      </c>
      <c r="C253" s="12">
        <v>943</v>
      </c>
      <c r="D253" s="12" t="s">
        <v>119</v>
      </c>
      <c r="E253" s="12">
        <v>68</v>
      </c>
      <c r="F253" s="13">
        <v>45436</v>
      </c>
      <c r="G253" s="12">
        <v>5</v>
      </c>
      <c r="H253" t="s">
        <v>26</v>
      </c>
      <c r="I253">
        <f>SUM(E249:E253)</f>
        <v>408</v>
      </c>
      <c r="J253">
        <f>I253+J234</f>
        <v>3079</v>
      </c>
    </row>
    <row r="254" spans="1:10" ht="15.75" thickBot="1" x14ac:dyDescent="0.3"/>
    <row r="255" spans="1:10" ht="15.75" x14ac:dyDescent="0.25">
      <c r="B255" s="35" t="s">
        <v>27</v>
      </c>
      <c r="C255" s="36"/>
      <c r="D255" s="37"/>
      <c r="E255">
        <f>SUMIF(H249:H253,"*OBLIGATORIO*",G249:G253)</f>
        <v>22</v>
      </c>
    </row>
    <row r="256" spans="1:10" ht="15.75" x14ac:dyDescent="0.25">
      <c r="B256" s="25" t="s">
        <v>28</v>
      </c>
      <c r="C256" s="26"/>
      <c r="D256" s="27"/>
      <c r="E256">
        <f>SUMIF(H249:H253,"*OPTATIVO*",G249:G253)</f>
        <v>5</v>
      </c>
    </row>
    <row r="257" spans="1:10" ht="15.75" x14ac:dyDescent="0.25">
      <c r="B257" s="28" t="s">
        <v>29</v>
      </c>
      <c r="C257" s="29"/>
      <c r="D257" s="30"/>
      <c r="E257" s="5">
        <f>SUM(E255:E256)</f>
        <v>27</v>
      </c>
    </row>
    <row r="258" spans="1:10" ht="15.75" x14ac:dyDescent="0.25">
      <c r="B258" s="25" t="s">
        <v>30</v>
      </c>
      <c r="C258" s="26"/>
      <c r="D258" s="27"/>
      <c r="E258">
        <f>E255+E239</f>
        <v>168</v>
      </c>
    </row>
    <row r="259" spans="1:10" ht="15.75" x14ac:dyDescent="0.25">
      <c r="B259" s="25" t="s">
        <v>31</v>
      </c>
      <c r="C259" s="26"/>
      <c r="D259" s="27"/>
      <c r="E259">
        <f>E256+E240</f>
        <v>24</v>
      </c>
    </row>
    <row r="260" spans="1:10" ht="15.75" x14ac:dyDescent="0.25">
      <c r="B260" s="28" t="s">
        <v>32</v>
      </c>
      <c r="C260" s="29"/>
      <c r="D260" s="30"/>
      <c r="E260" s="5">
        <f>SUM(E258:E259)</f>
        <v>192</v>
      </c>
    </row>
    <row r="261" spans="1:10" ht="15.75" x14ac:dyDescent="0.25">
      <c r="B261" s="25" t="s">
        <v>33</v>
      </c>
      <c r="C261" s="26"/>
      <c r="D261" s="27"/>
      <c r="E261">
        <f>COUNT(E249:E253)</f>
        <v>5</v>
      </c>
    </row>
    <row r="262" spans="1:10" ht="15.75" x14ac:dyDescent="0.25">
      <c r="B262" s="28" t="s">
        <v>34</v>
      </c>
      <c r="C262" s="29"/>
      <c r="D262" s="30"/>
      <c r="E262" s="5">
        <f>E261+E243</f>
        <v>44</v>
      </c>
    </row>
    <row r="263" spans="1:10" ht="16.5" thickBot="1" x14ac:dyDescent="0.3">
      <c r="B263" s="31" t="s">
        <v>111</v>
      </c>
      <c r="C263" s="32"/>
      <c r="D263" s="33"/>
      <c r="E263" s="5">
        <f>J253/E262</f>
        <v>69.977272727272734</v>
      </c>
    </row>
    <row r="265" spans="1:10" ht="15.75" thickBot="1" x14ac:dyDescent="0.3"/>
    <row r="266" spans="1:10" ht="15.75" thickBot="1" x14ac:dyDescent="0.3">
      <c r="A266" s="49" t="s">
        <v>120</v>
      </c>
      <c r="B266" s="50"/>
      <c r="C266" s="50"/>
      <c r="D266" s="50"/>
      <c r="E266" s="50"/>
      <c r="F266" s="50"/>
      <c r="G266" s="50"/>
      <c r="H266" s="51"/>
    </row>
    <row r="267" spans="1:10" x14ac:dyDescent="0.25">
      <c r="A267" s="52" t="s">
        <v>12</v>
      </c>
      <c r="B267" s="21" t="s">
        <v>13</v>
      </c>
      <c r="C267" s="21" t="s">
        <v>14</v>
      </c>
      <c r="D267" s="21" t="s">
        <v>15</v>
      </c>
      <c r="E267" s="21" t="s">
        <v>16</v>
      </c>
      <c r="F267" s="21" t="s">
        <v>17</v>
      </c>
      <c r="G267" s="21" t="s">
        <v>18</v>
      </c>
      <c r="H267" s="53" t="s">
        <v>19</v>
      </c>
      <c r="I267" t="s">
        <v>43</v>
      </c>
      <c r="J267" t="s">
        <v>44</v>
      </c>
    </row>
    <row r="268" spans="1:10" x14ac:dyDescent="0.25">
      <c r="A268" s="12">
        <v>45</v>
      </c>
      <c r="B268" s="54">
        <v>677</v>
      </c>
      <c r="C268" s="12">
        <v>745</v>
      </c>
      <c r="D268" s="12" t="s">
        <v>122</v>
      </c>
      <c r="E268" s="12">
        <v>79</v>
      </c>
      <c r="F268" s="13">
        <v>45471</v>
      </c>
      <c r="G268" s="12">
        <v>6</v>
      </c>
      <c r="H268" t="s">
        <v>25</v>
      </c>
    </row>
    <row r="269" spans="1:10" x14ac:dyDescent="0.25">
      <c r="A269" s="12">
        <v>46</v>
      </c>
      <c r="B269" s="54" t="s">
        <v>123</v>
      </c>
      <c r="C269" s="12">
        <v>940</v>
      </c>
      <c r="D269" s="12" t="s">
        <v>124</v>
      </c>
      <c r="E269" s="12">
        <v>81</v>
      </c>
      <c r="F269" s="13">
        <v>45471</v>
      </c>
      <c r="G269" s="12">
        <v>6</v>
      </c>
      <c r="H269" t="s">
        <v>25</v>
      </c>
      <c r="I269">
        <f>SUM(E268:E269)</f>
        <v>160</v>
      </c>
      <c r="J269">
        <f>I269+J253</f>
        <v>3239</v>
      </c>
    </row>
    <row r="270" spans="1:10" ht="15.75" thickBot="1" x14ac:dyDescent="0.3"/>
    <row r="271" spans="1:10" ht="15.75" x14ac:dyDescent="0.25">
      <c r="B271" s="35" t="s">
        <v>27</v>
      </c>
      <c r="C271" s="36"/>
      <c r="D271" s="37"/>
      <c r="E271">
        <f>SUMIF(H268:H269,"*OBLIGATORIO*",G268:G269)</f>
        <v>12</v>
      </c>
    </row>
    <row r="272" spans="1:10" ht="15.75" x14ac:dyDescent="0.25">
      <c r="B272" s="25" t="s">
        <v>28</v>
      </c>
      <c r="C272" s="26"/>
      <c r="D272" s="27"/>
      <c r="E272">
        <f>SUMIF(H268:H269,"*OPTATIVO*",G268:G269)</f>
        <v>0</v>
      </c>
    </row>
    <row r="273" spans="1:10" ht="15.75" x14ac:dyDescent="0.25">
      <c r="B273" s="28" t="s">
        <v>29</v>
      </c>
      <c r="C273" s="29"/>
      <c r="D273" s="30"/>
      <c r="E273" s="5">
        <f>SUM(E271:E272)</f>
        <v>12</v>
      </c>
    </row>
    <row r="274" spans="1:10" ht="15.75" x14ac:dyDescent="0.25">
      <c r="B274" s="25" t="s">
        <v>30</v>
      </c>
      <c r="C274" s="26"/>
      <c r="D274" s="27"/>
      <c r="E274">
        <f>E271+E258</f>
        <v>180</v>
      </c>
    </row>
    <row r="275" spans="1:10" ht="15.75" x14ac:dyDescent="0.25">
      <c r="B275" s="25" t="s">
        <v>31</v>
      </c>
      <c r="C275" s="26"/>
      <c r="D275" s="27"/>
      <c r="E275">
        <f>E272+E259</f>
        <v>24</v>
      </c>
    </row>
    <row r="276" spans="1:10" ht="15.75" x14ac:dyDescent="0.25">
      <c r="B276" s="28" t="s">
        <v>32</v>
      </c>
      <c r="C276" s="29"/>
      <c r="D276" s="30"/>
      <c r="E276" s="5">
        <f>SUM(E274:E275)</f>
        <v>204</v>
      </c>
    </row>
    <row r="277" spans="1:10" ht="15.75" x14ac:dyDescent="0.25">
      <c r="B277" s="25" t="s">
        <v>33</v>
      </c>
      <c r="C277" s="26"/>
      <c r="D277" s="27"/>
      <c r="E277">
        <f>COUNT(E268:E269)</f>
        <v>2</v>
      </c>
    </row>
    <row r="278" spans="1:10" ht="15.75" x14ac:dyDescent="0.25">
      <c r="B278" s="28" t="s">
        <v>34</v>
      </c>
      <c r="C278" s="29"/>
      <c r="D278" s="30"/>
      <c r="E278" s="5">
        <f>E277+E262</f>
        <v>46</v>
      </c>
    </row>
    <row r="279" spans="1:10" ht="16.5" thickBot="1" x14ac:dyDescent="0.3">
      <c r="B279" s="31" t="s">
        <v>121</v>
      </c>
      <c r="C279" s="32"/>
      <c r="D279" s="33"/>
      <c r="E279" s="5">
        <f>J269/E278</f>
        <v>70.413043478260875</v>
      </c>
    </row>
    <row r="281" spans="1:10" ht="15.75" thickBot="1" x14ac:dyDescent="0.3"/>
    <row r="282" spans="1:10" ht="15.75" thickBot="1" x14ac:dyDescent="0.3">
      <c r="A282" s="49" t="s">
        <v>125</v>
      </c>
      <c r="B282" s="50"/>
      <c r="C282" s="50"/>
      <c r="D282" s="50"/>
      <c r="E282" s="50"/>
      <c r="F282" s="50"/>
      <c r="G282" s="50"/>
      <c r="H282" s="51"/>
    </row>
    <row r="283" spans="1:10" x14ac:dyDescent="0.25">
      <c r="A283" s="52" t="s">
        <v>12</v>
      </c>
      <c r="B283" s="21" t="s">
        <v>13</v>
      </c>
      <c r="C283" s="21" t="s">
        <v>14</v>
      </c>
      <c r="D283" s="21" t="s">
        <v>15</v>
      </c>
      <c r="E283" s="21" t="s">
        <v>16</v>
      </c>
      <c r="F283" s="21" t="s">
        <v>17</v>
      </c>
      <c r="G283" s="21" t="s">
        <v>18</v>
      </c>
      <c r="H283" s="53" t="s">
        <v>19</v>
      </c>
      <c r="I283" t="s">
        <v>43</v>
      </c>
      <c r="J283" t="s">
        <v>44</v>
      </c>
    </row>
    <row r="284" spans="1:10" x14ac:dyDescent="0.25">
      <c r="A284" s="12">
        <v>31</v>
      </c>
      <c r="B284" s="54">
        <v>949</v>
      </c>
      <c r="C284" s="12">
        <v>690</v>
      </c>
      <c r="D284" s="12" t="s">
        <v>98</v>
      </c>
      <c r="E284" s="12">
        <v>65</v>
      </c>
      <c r="F284" s="13">
        <v>45236</v>
      </c>
      <c r="G284" s="12">
        <v>5</v>
      </c>
      <c r="H284" t="s">
        <v>26</v>
      </c>
    </row>
    <row r="285" spans="1:10" x14ac:dyDescent="0.25">
      <c r="A285" s="12">
        <v>32</v>
      </c>
      <c r="B285" s="54">
        <v>119</v>
      </c>
      <c r="C285" s="12">
        <v>121</v>
      </c>
      <c r="D285" s="12" t="s">
        <v>99</v>
      </c>
      <c r="E285" s="12">
        <v>66</v>
      </c>
      <c r="F285" s="13">
        <v>45236</v>
      </c>
      <c r="G285" s="12">
        <v>3</v>
      </c>
      <c r="H285" t="s">
        <v>25</v>
      </c>
    </row>
    <row r="286" spans="1:10" x14ac:dyDescent="0.25">
      <c r="A286" s="12">
        <v>33</v>
      </c>
      <c r="B286" s="54" t="s">
        <v>94</v>
      </c>
      <c r="C286" s="12">
        <v>671</v>
      </c>
      <c r="D286" s="12" t="s">
        <v>100</v>
      </c>
      <c r="E286" s="12">
        <v>63</v>
      </c>
      <c r="F286" s="13">
        <v>45238</v>
      </c>
      <c r="G286" s="12">
        <v>6</v>
      </c>
      <c r="H286" t="s">
        <v>25</v>
      </c>
    </row>
    <row r="287" spans="1:10" x14ac:dyDescent="0.25">
      <c r="A287" s="12">
        <v>34</v>
      </c>
      <c r="B287" s="54">
        <v>672</v>
      </c>
      <c r="C287" s="12">
        <v>679</v>
      </c>
      <c r="D287" s="12" t="s">
        <v>101</v>
      </c>
      <c r="E287" s="12">
        <v>71</v>
      </c>
      <c r="F287" s="13">
        <v>45239</v>
      </c>
      <c r="G287" s="12">
        <v>6</v>
      </c>
      <c r="H287" t="s">
        <v>25</v>
      </c>
    </row>
    <row r="288" spans="1:10" x14ac:dyDescent="0.25">
      <c r="A288" s="12">
        <v>35</v>
      </c>
      <c r="B288" s="54">
        <v>672</v>
      </c>
      <c r="C288" s="12">
        <v>748</v>
      </c>
      <c r="D288" s="12" t="s">
        <v>102</v>
      </c>
      <c r="E288" s="12">
        <v>76</v>
      </c>
      <c r="F288" s="13">
        <v>45239</v>
      </c>
      <c r="G288" s="12">
        <v>5</v>
      </c>
      <c r="H288" t="s">
        <v>25</v>
      </c>
    </row>
    <row r="289" spans="1:10" x14ac:dyDescent="0.25">
      <c r="A289" s="12">
        <v>36</v>
      </c>
      <c r="B289" s="54">
        <v>680</v>
      </c>
      <c r="C289" s="12">
        <v>764</v>
      </c>
      <c r="D289" s="12" t="s">
        <v>103</v>
      </c>
      <c r="E289" s="12">
        <v>76</v>
      </c>
      <c r="F289" s="13">
        <v>45240</v>
      </c>
      <c r="G289" s="12">
        <v>3</v>
      </c>
      <c r="H289" t="s">
        <v>26</v>
      </c>
    </row>
    <row r="290" spans="1:10" x14ac:dyDescent="0.25">
      <c r="A290" s="12">
        <v>37</v>
      </c>
      <c r="B290" s="54">
        <v>672</v>
      </c>
      <c r="C290" s="12">
        <v>677</v>
      </c>
      <c r="D290" s="12" t="s">
        <v>104</v>
      </c>
      <c r="E290" s="12">
        <v>63</v>
      </c>
      <c r="F290" s="13">
        <v>45251</v>
      </c>
      <c r="G290" s="12">
        <v>5</v>
      </c>
      <c r="H290" t="s">
        <v>25</v>
      </c>
    </row>
    <row r="291" spans="1:10" x14ac:dyDescent="0.25">
      <c r="A291" s="12">
        <v>38</v>
      </c>
      <c r="B291" s="54" t="s">
        <v>105</v>
      </c>
      <c r="C291" s="12">
        <v>2585</v>
      </c>
      <c r="D291" s="12" t="s">
        <v>106</v>
      </c>
      <c r="E291" s="12">
        <v>89</v>
      </c>
      <c r="F291" s="13">
        <v>45253</v>
      </c>
      <c r="G291" s="12">
        <v>0</v>
      </c>
      <c r="H291" t="s">
        <v>25</v>
      </c>
      <c r="I291">
        <f>SUM(E284:E291)</f>
        <v>569</v>
      </c>
      <c r="J291">
        <f>I291+J269</f>
        <v>3808</v>
      </c>
    </row>
    <row r="292" spans="1:10" ht="15.75" thickBot="1" x14ac:dyDescent="0.3"/>
    <row r="293" spans="1:10" ht="15.75" x14ac:dyDescent="0.25">
      <c r="B293" s="35" t="s">
        <v>27</v>
      </c>
      <c r="C293" s="36"/>
      <c r="D293" s="37"/>
      <c r="E293">
        <f>SUMIF(H284:H291,"*OBLIGATORIO*",G284:G291)</f>
        <v>25</v>
      </c>
    </row>
    <row r="294" spans="1:10" ht="15.75" x14ac:dyDescent="0.25">
      <c r="B294" s="25" t="s">
        <v>28</v>
      </c>
      <c r="C294" s="26"/>
      <c r="D294" s="27"/>
      <c r="E294">
        <f>SUMIF(H284:H291,"*OPTATIVO*",G284:G291)</f>
        <v>8</v>
      </c>
    </row>
    <row r="295" spans="1:10" ht="15.75" x14ac:dyDescent="0.25">
      <c r="B295" s="28" t="s">
        <v>29</v>
      </c>
      <c r="C295" s="29"/>
      <c r="D295" s="30"/>
      <c r="E295" s="5">
        <f>SUM(E293:E294)</f>
        <v>33</v>
      </c>
    </row>
    <row r="296" spans="1:10" ht="15.75" x14ac:dyDescent="0.25">
      <c r="B296" s="25" t="s">
        <v>30</v>
      </c>
      <c r="C296" s="26"/>
      <c r="D296" s="27"/>
      <c r="E296">
        <f>E293+E274</f>
        <v>205</v>
      </c>
    </row>
    <row r="297" spans="1:10" ht="15.75" x14ac:dyDescent="0.25">
      <c r="B297" s="25" t="s">
        <v>31</v>
      </c>
      <c r="C297" s="26"/>
      <c r="D297" s="27"/>
      <c r="E297">
        <f>E294+E275</f>
        <v>32</v>
      </c>
    </row>
    <row r="298" spans="1:10" ht="15.75" x14ac:dyDescent="0.25">
      <c r="B298" s="28" t="s">
        <v>32</v>
      </c>
      <c r="C298" s="29"/>
      <c r="D298" s="30"/>
      <c r="E298" s="5">
        <f>SUM(E296:E297)</f>
        <v>237</v>
      </c>
    </row>
    <row r="299" spans="1:10" ht="15.75" x14ac:dyDescent="0.25">
      <c r="B299" s="25" t="s">
        <v>33</v>
      </c>
      <c r="C299" s="26"/>
      <c r="D299" s="27"/>
      <c r="E299">
        <f>COUNT(E284:E291)</f>
        <v>8</v>
      </c>
    </row>
    <row r="300" spans="1:10" ht="15.75" x14ac:dyDescent="0.25">
      <c r="B300" s="28" t="s">
        <v>34</v>
      </c>
      <c r="C300" s="29"/>
      <c r="D300" s="30"/>
      <c r="E300" s="5">
        <f>E299+E278</f>
        <v>54</v>
      </c>
    </row>
    <row r="301" spans="1:10" ht="16.5" thickBot="1" x14ac:dyDescent="0.3">
      <c r="B301" s="31" t="s">
        <v>97</v>
      </c>
      <c r="C301" s="32"/>
      <c r="D301" s="33"/>
      <c r="E301" s="5">
        <f>J291/E300</f>
        <v>70.518518518518519</v>
      </c>
    </row>
    <row r="303" spans="1:10" ht="15.75" thickBot="1" x14ac:dyDescent="0.3"/>
    <row r="304" spans="1:10" ht="15.75" thickBot="1" x14ac:dyDescent="0.3">
      <c r="A304" s="49">
        <v>11</v>
      </c>
      <c r="B304" s="50"/>
      <c r="C304" s="50"/>
      <c r="D304" s="50"/>
      <c r="E304" s="50"/>
      <c r="F304" s="50"/>
      <c r="G304" s="50"/>
      <c r="H304" s="51"/>
    </row>
    <row r="305" spans="1:10" x14ac:dyDescent="0.25">
      <c r="A305" s="52" t="s">
        <v>12</v>
      </c>
      <c r="B305" s="21" t="s">
        <v>13</v>
      </c>
      <c r="C305" s="21" t="s">
        <v>14</v>
      </c>
      <c r="D305" s="21" t="s">
        <v>15</v>
      </c>
      <c r="E305" s="21" t="s">
        <v>16</v>
      </c>
      <c r="F305" s="21" t="s">
        <v>17</v>
      </c>
      <c r="G305" s="21" t="s">
        <v>18</v>
      </c>
      <c r="H305" s="53" t="s">
        <v>19</v>
      </c>
      <c r="I305" t="s">
        <v>43</v>
      </c>
      <c r="J305" t="s">
        <v>44</v>
      </c>
    </row>
    <row r="306" spans="1:10" x14ac:dyDescent="0.25">
      <c r="A306" s="12">
        <v>31</v>
      </c>
      <c r="B306" s="54">
        <v>949</v>
      </c>
      <c r="C306" s="12">
        <v>690</v>
      </c>
      <c r="D306" s="12" t="s">
        <v>98</v>
      </c>
      <c r="E306" s="12">
        <v>65</v>
      </c>
      <c r="F306" s="13">
        <v>45236</v>
      </c>
      <c r="G306" s="12">
        <v>5</v>
      </c>
      <c r="H306" t="s">
        <v>26</v>
      </c>
    </row>
    <row r="307" spans="1:10" x14ac:dyDescent="0.25">
      <c r="A307" s="12">
        <v>32</v>
      </c>
      <c r="B307" s="54">
        <v>119</v>
      </c>
      <c r="C307" s="12">
        <v>121</v>
      </c>
      <c r="D307" s="12" t="s">
        <v>99</v>
      </c>
      <c r="E307" s="12">
        <v>66</v>
      </c>
      <c r="F307" s="13">
        <v>45236</v>
      </c>
      <c r="G307" s="12">
        <v>3</v>
      </c>
      <c r="H307" t="s">
        <v>25</v>
      </c>
    </row>
    <row r="308" spans="1:10" x14ac:dyDescent="0.25">
      <c r="A308" s="12">
        <v>33</v>
      </c>
      <c r="B308" s="54" t="s">
        <v>94</v>
      </c>
      <c r="C308" s="12">
        <v>671</v>
      </c>
      <c r="D308" s="12" t="s">
        <v>100</v>
      </c>
      <c r="E308" s="12">
        <v>63</v>
      </c>
      <c r="F308" s="13">
        <v>45238</v>
      </c>
      <c r="G308" s="12">
        <v>6</v>
      </c>
      <c r="H308" t="s">
        <v>25</v>
      </c>
    </row>
    <row r="309" spans="1:10" x14ac:dyDescent="0.25">
      <c r="A309" s="12">
        <v>34</v>
      </c>
      <c r="B309" s="54">
        <v>672</v>
      </c>
      <c r="C309" s="12">
        <v>679</v>
      </c>
      <c r="D309" s="12" t="s">
        <v>101</v>
      </c>
      <c r="E309" s="12">
        <v>71</v>
      </c>
      <c r="F309" s="13">
        <v>45239</v>
      </c>
      <c r="G309" s="12">
        <v>6</v>
      </c>
      <c r="H309" t="s">
        <v>25</v>
      </c>
    </row>
    <row r="310" spans="1:10" x14ac:dyDescent="0.25">
      <c r="A310" s="12">
        <v>35</v>
      </c>
      <c r="B310" s="54">
        <v>672</v>
      </c>
      <c r="C310" s="12">
        <v>748</v>
      </c>
      <c r="D310" s="12" t="s">
        <v>102</v>
      </c>
      <c r="E310" s="12">
        <v>76</v>
      </c>
      <c r="F310" s="13">
        <v>45239</v>
      </c>
      <c r="G310" s="12">
        <v>5</v>
      </c>
      <c r="H310" t="s">
        <v>25</v>
      </c>
    </row>
    <row r="311" spans="1:10" x14ac:dyDescent="0.25">
      <c r="A311" s="12">
        <v>36</v>
      </c>
      <c r="B311" s="54">
        <v>680</v>
      </c>
      <c r="C311" s="12">
        <v>764</v>
      </c>
      <c r="D311" s="12" t="s">
        <v>103</v>
      </c>
      <c r="E311" s="12">
        <v>76</v>
      </c>
      <c r="F311" s="13">
        <v>45240</v>
      </c>
      <c r="G311" s="12">
        <v>3</v>
      </c>
      <c r="H311" t="s">
        <v>26</v>
      </c>
    </row>
    <row r="312" spans="1:10" x14ac:dyDescent="0.25">
      <c r="A312" s="12">
        <v>37</v>
      </c>
      <c r="B312" s="54">
        <v>672</v>
      </c>
      <c r="C312" s="12">
        <v>677</v>
      </c>
      <c r="D312" s="12" t="s">
        <v>104</v>
      </c>
      <c r="E312" s="12">
        <v>63</v>
      </c>
      <c r="F312" s="13">
        <v>45251</v>
      </c>
      <c r="G312" s="12">
        <v>5</v>
      </c>
      <c r="H312" t="s">
        <v>25</v>
      </c>
    </row>
    <row r="313" spans="1:10" x14ac:dyDescent="0.25">
      <c r="A313" s="12">
        <v>38</v>
      </c>
      <c r="B313" s="54" t="s">
        <v>105</v>
      </c>
      <c r="C313" s="12">
        <v>2585</v>
      </c>
      <c r="D313" s="12" t="s">
        <v>106</v>
      </c>
      <c r="E313" s="12">
        <v>89</v>
      </c>
      <c r="F313" s="13">
        <v>45253</v>
      </c>
      <c r="G313" s="12">
        <v>0</v>
      </c>
      <c r="H313" t="s">
        <v>25</v>
      </c>
      <c r="I313">
        <f>SUM(E306:E313)</f>
        <v>569</v>
      </c>
      <c r="J313">
        <f>I313+J291</f>
        <v>4377</v>
      </c>
    </row>
    <row r="314" spans="1:10" ht="15.75" thickBot="1" x14ac:dyDescent="0.3"/>
    <row r="315" spans="1:10" ht="15.75" x14ac:dyDescent="0.25">
      <c r="B315" s="35" t="s">
        <v>27</v>
      </c>
      <c r="C315" s="36"/>
      <c r="D315" s="37"/>
      <c r="E315">
        <f>SUMIF(H306:H313,"*OBLIGATORIO*",G306:G313)</f>
        <v>25</v>
      </c>
    </row>
    <row r="316" spans="1:10" ht="15.75" x14ac:dyDescent="0.25">
      <c r="B316" s="25" t="s">
        <v>28</v>
      </c>
      <c r="C316" s="26"/>
      <c r="D316" s="27"/>
      <c r="E316">
        <f>SUMIF(H306:H313,"*OPTATIVO*",G306:G313)</f>
        <v>8</v>
      </c>
    </row>
    <row r="317" spans="1:10" ht="15.75" x14ac:dyDescent="0.25">
      <c r="B317" s="28" t="s">
        <v>29</v>
      </c>
      <c r="C317" s="29"/>
      <c r="D317" s="30"/>
      <c r="E317" s="5">
        <f>SUM(E315:E316)</f>
        <v>33</v>
      </c>
    </row>
    <row r="318" spans="1:10" ht="15.75" x14ac:dyDescent="0.25">
      <c r="B318" s="25" t="s">
        <v>30</v>
      </c>
      <c r="C318" s="26"/>
      <c r="D318" s="27"/>
      <c r="E318">
        <f>E315+E296</f>
        <v>230</v>
      </c>
    </row>
    <row r="319" spans="1:10" ht="15.75" x14ac:dyDescent="0.25">
      <c r="B319" s="25" t="s">
        <v>31</v>
      </c>
      <c r="C319" s="26"/>
      <c r="D319" s="27"/>
      <c r="E319">
        <f>E316+E297</f>
        <v>40</v>
      </c>
    </row>
    <row r="320" spans="1:10" ht="15.75" x14ac:dyDescent="0.25">
      <c r="B320" s="28" t="s">
        <v>32</v>
      </c>
      <c r="C320" s="29"/>
      <c r="D320" s="30"/>
      <c r="E320" s="5">
        <f>SUM(E318:E319)</f>
        <v>270</v>
      </c>
    </row>
    <row r="321" spans="1:10" ht="15.75" x14ac:dyDescent="0.25">
      <c r="B321" s="25" t="s">
        <v>33</v>
      </c>
      <c r="C321" s="26"/>
      <c r="D321" s="27"/>
      <c r="E321">
        <f>COUNT(E306:E313)</f>
        <v>8</v>
      </c>
    </row>
    <row r="322" spans="1:10" ht="15.75" x14ac:dyDescent="0.25">
      <c r="B322" s="28" t="s">
        <v>34</v>
      </c>
      <c r="C322" s="29"/>
      <c r="D322" s="30"/>
      <c r="E322" s="5">
        <f>E321+E300</f>
        <v>62</v>
      </c>
    </row>
    <row r="323" spans="1:10" ht="16.5" thickBot="1" x14ac:dyDescent="0.3">
      <c r="B323" s="31" t="s">
        <v>97</v>
      </c>
      <c r="C323" s="32"/>
      <c r="D323" s="33"/>
      <c r="E323" s="5">
        <f>J313/E322</f>
        <v>70.596774193548384</v>
      </c>
    </row>
    <row r="325" spans="1:10" ht="15.75" thickBot="1" x14ac:dyDescent="0.3"/>
    <row r="326" spans="1:10" ht="15.75" thickBot="1" x14ac:dyDescent="0.3">
      <c r="A326" s="49">
        <v>11</v>
      </c>
      <c r="B326" s="50"/>
      <c r="C326" s="50"/>
      <c r="D326" s="50"/>
      <c r="E326" s="50"/>
      <c r="F326" s="50"/>
      <c r="G326" s="50"/>
      <c r="H326" s="51"/>
    </row>
    <row r="327" spans="1:10" x14ac:dyDescent="0.25">
      <c r="A327" s="52" t="s">
        <v>12</v>
      </c>
      <c r="B327" s="21" t="s">
        <v>13</v>
      </c>
      <c r="C327" s="21" t="s">
        <v>14</v>
      </c>
      <c r="D327" s="21" t="s">
        <v>15</v>
      </c>
      <c r="E327" s="21" t="s">
        <v>16</v>
      </c>
      <c r="F327" s="21" t="s">
        <v>17</v>
      </c>
      <c r="G327" s="21" t="s">
        <v>18</v>
      </c>
      <c r="H327" s="53" t="s">
        <v>19</v>
      </c>
      <c r="I327" t="s">
        <v>43</v>
      </c>
      <c r="J327" t="s">
        <v>44</v>
      </c>
    </row>
    <row r="328" spans="1:10" x14ac:dyDescent="0.25">
      <c r="A328" s="12">
        <v>31</v>
      </c>
      <c r="B328" s="54">
        <v>949</v>
      </c>
      <c r="C328" s="12">
        <v>690</v>
      </c>
      <c r="D328" s="12" t="s">
        <v>98</v>
      </c>
      <c r="E328" s="12">
        <v>65</v>
      </c>
      <c r="F328" s="13">
        <v>45236</v>
      </c>
      <c r="G328" s="12">
        <v>5</v>
      </c>
      <c r="H328" t="s">
        <v>26</v>
      </c>
    </row>
    <row r="329" spans="1:10" x14ac:dyDescent="0.25">
      <c r="A329" s="12">
        <v>32</v>
      </c>
      <c r="B329" s="54">
        <v>119</v>
      </c>
      <c r="C329" s="12">
        <v>121</v>
      </c>
      <c r="D329" s="12" t="s">
        <v>99</v>
      </c>
      <c r="E329" s="12">
        <v>66</v>
      </c>
      <c r="F329" s="13">
        <v>45236</v>
      </c>
      <c r="G329" s="12">
        <v>3</v>
      </c>
      <c r="H329" t="s">
        <v>25</v>
      </c>
    </row>
    <row r="330" spans="1:10" x14ac:dyDescent="0.25">
      <c r="A330" s="12">
        <v>33</v>
      </c>
      <c r="B330" s="54" t="s">
        <v>94</v>
      </c>
      <c r="C330" s="12">
        <v>671</v>
      </c>
      <c r="D330" s="12" t="s">
        <v>100</v>
      </c>
      <c r="E330" s="12">
        <v>63</v>
      </c>
      <c r="F330" s="13">
        <v>45238</v>
      </c>
      <c r="G330" s="12">
        <v>6</v>
      </c>
      <c r="H330" t="s">
        <v>25</v>
      </c>
    </row>
    <row r="331" spans="1:10" x14ac:dyDescent="0.25">
      <c r="A331" s="12">
        <v>34</v>
      </c>
      <c r="B331" s="54">
        <v>672</v>
      </c>
      <c r="C331" s="12">
        <v>679</v>
      </c>
      <c r="D331" s="12" t="s">
        <v>101</v>
      </c>
      <c r="E331" s="12">
        <v>71</v>
      </c>
      <c r="F331" s="13">
        <v>45239</v>
      </c>
      <c r="G331" s="12">
        <v>6</v>
      </c>
      <c r="H331" t="s">
        <v>25</v>
      </c>
    </row>
    <row r="332" spans="1:10" x14ac:dyDescent="0.25">
      <c r="A332" s="12">
        <v>35</v>
      </c>
      <c r="B332" s="54">
        <v>672</v>
      </c>
      <c r="C332" s="12">
        <v>748</v>
      </c>
      <c r="D332" s="12" t="s">
        <v>102</v>
      </c>
      <c r="E332" s="12">
        <v>76</v>
      </c>
      <c r="F332" s="13">
        <v>45239</v>
      </c>
      <c r="G332" s="12">
        <v>5</v>
      </c>
      <c r="H332" t="s">
        <v>25</v>
      </c>
    </row>
    <row r="333" spans="1:10" x14ac:dyDescent="0.25">
      <c r="A333" s="12">
        <v>36</v>
      </c>
      <c r="B333" s="54">
        <v>680</v>
      </c>
      <c r="C333" s="12">
        <v>764</v>
      </c>
      <c r="D333" s="12" t="s">
        <v>103</v>
      </c>
      <c r="E333" s="12">
        <v>76</v>
      </c>
      <c r="F333" s="13">
        <v>45240</v>
      </c>
      <c r="G333" s="12">
        <v>3</v>
      </c>
      <c r="H333" t="s">
        <v>26</v>
      </c>
    </row>
    <row r="334" spans="1:10" x14ac:dyDescent="0.25">
      <c r="A334" s="12">
        <v>37</v>
      </c>
      <c r="B334" s="54">
        <v>672</v>
      </c>
      <c r="C334" s="12">
        <v>677</v>
      </c>
      <c r="D334" s="12" t="s">
        <v>104</v>
      </c>
      <c r="E334" s="12">
        <v>63</v>
      </c>
      <c r="F334" s="13">
        <v>45251</v>
      </c>
      <c r="G334" s="12">
        <v>5</v>
      </c>
      <c r="H334" t="s">
        <v>25</v>
      </c>
    </row>
    <row r="335" spans="1:10" x14ac:dyDescent="0.25">
      <c r="A335" s="12">
        <v>38</v>
      </c>
      <c r="B335" s="54" t="s">
        <v>105</v>
      </c>
      <c r="C335" s="12">
        <v>2585</v>
      </c>
      <c r="D335" s="12" t="s">
        <v>106</v>
      </c>
      <c r="E335" s="12">
        <v>89</v>
      </c>
      <c r="F335" s="13">
        <v>45253</v>
      </c>
      <c r="G335" s="12">
        <v>0</v>
      </c>
      <c r="H335" t="s">
        <v>25</v>
      </c>
      <c r="I335">
        <f>SUM(E328:E335)</f>
        <v>569</v>
      </c>
      <c r="J335">
        <f>I335+J313</f>
        <v>4946</v>
      </c>
    </row>
    <row r="336" spans="1:10" ht="15.75" thickBot="1" x14ac:dyDescent="0.3"/>
    <row r="337" spans="1:10" ht="15.75" x14ac:dyDescent="0.25">
      <c r="B337" s="35" t="s">
        <v>27</v>
      </c>
      <c r="C337" s="36"/>
      <c r="D337" s="37"/>
      <c r="E337">
        <f>SUMIF(H328:H335,"*OBLIGATORIO*",G328:G335)</f>
        <v>25</v>
      </c>
    </row>
    <row r="338" spans="1:10" ht="15.75" x14ac:dyDescent="0.25">
      <c r="B338" s="25" t="s">
        <v>28</v>
      </c>
      <c r="C338" s="26"/>
      <c r="D338" s="27"/>
      <c r="E338">
        <f>SUMIF(H328:H335,"*OPTATIVO*",G328:G335)</f>
        <v>8</v>
      </c>
    </row>
    <row r="339" spans="1:10" ht="15.75" x14ac:dyDescent="0.25">
      <c r="B339" s="28" t="s">
        <v>29</v>
      </c>
      <c r="C339" s="29"/>
      <c r="D339" s="30"/>
      <c r="E339" s="5">
        <f>SUM(E337:E338)</f>
        <v>33</v>
      </c>
    </row>
    <row r="340" spans="1:10" ht="15.75" x14ac:dyDescent="0.25">
      <c r="B340" s="25" t="s">
        <v>30</v>
      </c>
      <c r="C340" s="26"/>
      <c r="D340" s="27"/>
      <c r="E340">
        <f>E337+E318</f>
        <v>255</v>
      </c>
    </row>
    <row r="341" spans="1:10" ht="15.75" x14ac:dyDescent="0.25">
      <c r="B341" s="25" t="s">
        <v>31</v>
      </c>
      <c r="C341" s="26"/>
      <c r="D341" s="27"/>
      <c r="E341">
        <f>E338+E319</f>
        <v>48</v>
      </c>
    </row>
    <row r="342" spans="1:10" ht="15.75" x14ac:dyDescent="0.25">
      <c r="B342" s="28" t="s">
        <v>32</v>
      </c>
      <c r="C342" s="29"/>
      <c r="D342" s="30"/>
      <c r="E342" s="5">
        <f>SUM(E340:E341)</f>
        <v>303</v>
      </c>
    </row>
    <row r="343" spans="1:10" ht="15.75" x14ac:dyDescent="0.25">
      <c r="B343" s="25" t="s">
        <v>33</v>
      </c>
      <c r="C343" s="26"/>
      <c r="D343" s="27"/>
      <c r="E343">
        <f>COUNT(E328:E335)</f>
        <v>8</v>
      </c>
    </row>
    <row r="344" spans="1:10" ht="15.75" x14ac:dyDescent="0.25">
      <c r="B344" s="28" t="s">
        <v>34</v>
      </c>
      <c r="C344" s="29"/>
      <c r="D344" s="30"/>
      <c r="E344" s="5">
        <f>E343+E322</f>
        <v>70</v>
      </c>
    </row>
    <row r="345" spans="1:10" ht="16.5" thickBot="1" x14ac:dyDescent="0.3">
      <c r="B345" s="31" t="s">
        <v>97</v>
      </c>
      <c r="C345" s="32"/>
      <c r="D345" s="33"/>
      <c r="E345" s="5">
        <f>J335/E344</f>
        <v>70.657142857142858</v>
      </c>
    </row>
    <row r="347" spans="1:10" ht="15.75" thickBot="1" x14ac:dyDescent="0.3"/>
    <row r="348" spans="1:10" ht="15.75" thickBot="1" x14ac:dyDescent="0.3">
      <c r="A348" s="49">
        <v>11</v>
      </c>
      <c r="B348" s="50"/>
      <c r="C348" s="50"/>
      <c r="D348" s="50"/>
      <c r="E348" s="50"/>
      <c r="F348" s="50"/>
      <c r="G348" s="50"/>
      <c r="H348" s="51"/>
    </row>
    <row r="349" spans="1:10" x14ac:dyDescent="0.25">
      <c r="A349" s="52" t="s">
        <v>12</v>
      </c>
      <c r="B349" s="21" t="s">
        <v>13</v>
      </c>
      <c r="C349" s="21" t="s">
        <v>14</v>
      </c>
      <c r="D349" s="21" t="s">
        <v>15</v>
      </c>
      <c r="E349" s="21" t="s">
        <v>16</v>
      </c>
      <c r="F349" s="21" t="s">
        <v>17</v>
      </c>
      <c r="G349" s="21" t="s">
        <v>18</v>
      </c>
      <c r="H349" s="53" t="s">
        <v>19</v>
      </c>
      <c r="I349" t="s">
        <v>43</v>
      </c>
      <c r="J349" t="s">
        <v>44</v>
      </c>
    </row>
    <row r="350" spans="1:10" x14ac:dyDescent="0.25">
      <c r="A350" s="12">
        <v>31</v>
      </c>
      <c r="B350" s="54">
        <v>949</v>
      </c>
      <c r="C350" s="12">
        <v>690</v>
      </c>
      <c r="D350" s="12" t="s">
        <v>98</v>
      </c>
      <c r="E350" s="12">
        <v>65</v>
      </c>
      <c r="F350" s="13">
        <v>45236</v>
      </c>
      <c r="G350" s="12">
        <v>5</v>
      </c>
      <c r="H350" t="s">
        <v>26</v>
      </c>
    </row>
    <row r="351" spans="1:10" x14ac:dyDescent="0.25">
      <c r="A351" s="12">
        <v>32</v>
      </c>
      <c r="B351" s="54">
        <v>119</v>
      </c>
      <c r="C351" s="12">
        <v>121</v>
      </c>
      <c r="D351" s="12" t="s">
        <v>99</v>
      </c>
      <c r="E351" s="12">
        <v>66</v>
      </c>
      <c r="F351" s="13">
        <v>45236</v>
      </c>
      <c r="G351" s="12">
        <v>3</v>
      </c>
      <c r="H351" t="s">
        <v>25</v>
      </c>
    </row>
    <row r="352" spans="1:10" x14ac:dyDescent="0.25">
      <c r="A352" s="12">
        <v>33</v>
      </c>
      <c r="B352" s="54" t="s">
        <v>94</v>
      </c>
      <c r="C352" s="12">
        <v>671</v>
      </c>
      <c r="D352" s="12" t="s">
        <v>100</v>
      </c>
      <c r="E352" s="12">
        <v>63</v>
      </c>
      <c r="F352" s="13">
        <v>45238</v>
      </c>
      <c r="G352" s="12">
        <v>6</v>
      </c>
      <c r="H352" t="s">
        <v>25</v>
      </c>
    </row>
    <row r="353" spans="1:10" x14ac:dyDescent="0.25">
      <c r="A353" s="12">
        <v>34</v>
      </c>
      <c r="B353" s="54">
        <v>672</v>
      </c>
      <c r="C353" s="12">
        <v>679</v>
      </c>
      <c r="D353" s="12" t="s">
        <v>101</v>
      </c>
      <c r="E353" s="12">
        <v>71</v>
      </c>
      <c r="F353" s="13">
        <v>45239</v>
      </c>
      <c r="G353" s="12">
        <v>6</v>
      </c>
      <c r="H353" t="s">
        <v>25</v>
      </c>
    </row>
    <row r="354" spans="1:10" x14ac:dyDescent="0.25">
      <c r="A354" s="12">
        <v>35</v>
      </c>
      <c r="B354" s="54">
        <v>672</v>
      </c>
      <c r="C354" s="12">
        <v>748</v>
      </c>
      <c r="D354" s="12" t="s">
        <v>102</v>
      </c>
      <c r="E354" s="12">
        <v>76</v>
      </c>
      <c r="F354" s="13">
        <v>45239</v>
      </c>
      <c r="G354" s="12">
        <v>5</v>
      </c>
      <c r="H354" t="s">
        <v>25</v>
      </c>
    </row>
    <row r="355" spans="1:10" x14ac:dyDescent="0.25">
      <c r="A355" s="12">
        <v>36</v>
      </c>
      <c r="B355" s="54">
        <v>680</v>
      </c>
      <c r="C355" s="12">
        <v>764</v>
      </c>
      <c r="D355" s="12" t="s">
        <v>103</v>
      </c>
      <c r="E355" s="12">
        <v>76</v>
      </c>
      <c r="F355" s="13">
        <v>45240</v>
      </c>
      <c r="G355" s="12">
        <v>3</v>
      </c>
      <c r="H355" t="s">
        <v>26</v>
      </c>
    </row>
    <row r="356" spans="1:10" x14ac:dyDescent="0.25">
      <c r="A356" s="12">
        <v>37</v>
      </c>
      <c r="B356" s="54">
        <v>672</v>
      </c>
      <c r="C356" s="12">
        <v>677</v>
      </c>
      <c r="D356" s="12" t="s">
        <v>104</v>
      </c>
      <c r="E356" s="12">
        <v>63</v>
      </c>
      <c r="F356" s="13">
        <v>45251</v>
      </c>
      <c r="G356" s="12">
        <v>5</v>
      </c>
      <c r="H356" t="s">
        <v>25</v>
      </c>
    </row>
    <row r="357" spans="1:10" x14ac:dyDescent="0.25">
      <c r="A357" s="12">
        <v>38</v>
      </c>
      <c r="B357" s="54" t="s">
        <v>105</v>
      </c>
      <c r="C357" s="12">
        <v>2585</v>
      </c>
      <c r="D357" s="12" t="s">
        <v>106</v>
      </c>
      <c r="E357" s="12">
        <v>89</v>
      </c>
      <c r="F357" s="13">
        <v>45253</v>
      </c>
      <c r="G357" s="12">
        <v>0</v>
      </c>
      <c r="H357" t="s">
        <v>25</v>
      </c>
      <c r="I357">
        <f>SUM(E350:E357)</f>
        <v>569</v>
      </c>
      <c r="J357">
        <f>I357+J335</f>
        <v>5515</v>
      </c>
    </row>
    <row r="358" spans="1:10" ht="15.75" thickBot="1" x14ac:dyDescent="0.3"/>
    <row r="359" spans="1:10" ht="15.75" x14ac:dyDescent="0.25">
      <c r="B359" s="35" t="s">
        <v>27</v>
      </c>
      <c r="C359" s="36"/>
      <c r="D359" s="37"/>
      <c r="E359">
        <f>SUMIF(H350:H357,"*OBLIGATORIO*",G350:G357)</f>
        <v>25</v>
      </c>
    </row>
    <row r="360" spans="1:10" ht="15.75" x14ac:dyDescent="0.25">
      <c r="B360" s="25" t="s">
        <v>28</v>
      </c>
      <c r="C360" s="26"/>
      <c r="D360" s="27"/>
      <c r="E360">
        <f>SUMIF(H350:H357,"*OPTATIVO*",G350:G357)</f>
        <v>8</v>
      </c>
    </row>
    <row r="361" spans="1:10" ht="15.75" x14ac:dyDescent="0.25">
      <c r="B361" s="28" t="s">
        <v>29</v>
      </c>
      <c r="C361" s="29"/>
      <c r="D361" s="30"/>
      <c r="E361" s="5">
        <f>SUM(E359:E360)</f>
        <v>33</v>
      </c>
    </row>
    <row r="362" spans="1:10" ht="15.75" x14ac:dyDescent="0.25">
      <c r="B362" s="25" t="s">
        <v>30</v>
      </c>
      <c r="C362" s="26"/>
      <c r="D362" s="27"/>
      <c r="E362">
        <f>E359+E340</f>
        <v>280</v>
      </c>
    </row>
    <row r="363" spans="1:10" ht="15.75" x14ac:dyDescent="0.25">
      <c r="B363" s="25" t="s">
        <v>31</v>
      </c>
      <c r="C363" s="26"/>
      <c r="D363" s="27"/>
      <c r="E363">
        <f>E360+E341</f>
        <v>56</v>
      </c>
    </row>
    <row r="364" spans="1:10" ht="15.75" x14ac:dyDescent="0.25">
      <c r="B364" s="28" t="s">
        <v>32</v>
      </c>
      <c r="C364" s="29"/>
      <c r="D364" s="30"/>
      <c r="E364" s="5">
        <f>SUM(E362:E363)</f>
        <v>336</v>
      </c>
    </row>
    <row r="365" spans="1:10" ht="15.75" x14ac:dyDescent="0.25">
      <c r="B365" s="25" t="s">
        <v>33</v>
      </c>
      <c r="C365" s="26"/>
      <c r="D365" s="27"/>
      <c r="E365">
        <f>COUNT(E350:E357)</f>
        <v>8</v>
      </c>
    </row>
    <row r="366" spans="1:10" ht="15.75" x14ac:dyDescent="0.25">
      <c r="B366" s="28" t="s">
        <v>34</v>
      </c>
      <c r="C366" s="29"/>
      <c r="D366" s="30"/>
      <c r="E366" s="5">
        <f>E365+E344</f>
        <v>78</v>
      </c>
    </row>
    <row r="367" spans="1:10" ht="16.5" thickBot="1" x14ac:dyDescent="0.3">
      <c r="B367" s="31" t="s">
        <v>97</v>
      </c>
      <c r="C367" s="32"/>
      <c r="D367" s="33"/>
      <c r="E367" s="5">
        <f>J357/E366</f>
        <v>70.705128205128204</v>
      </c>
    </row>
    <row r="369" spans="1:10" ht="15.75" thickBot="1" x14ac:dyDescent="0.3"/>
    <row r="370" spans="1:10" ht="15.75" thickBot="1" x14ac:dyDescent="0.3">
      <c r="A370" s="49">
        <v>11</v>
      </c>
      <c r="B370" s="50"/>
      <c r="C370" s="50"/>
      <c r="D370" s="50"/>
      <c r="E370" s="50"/>
      <c r="F370" s="50"/>
      <c r="G370" s="50"/>
      <c r="H370" s="51"/>
    </row>
    <row r="371" spans="1:10" x14ac:dyDescent="0.25">
      <c r="A371" s="52" t="s">
        <v>12</v>
      </c>
      <c r="B371" s="21" t="s">
        <v>13</v>
      </c>
      <c r="C371" s="21" t="s">
        <v>14</v>
      </c>
      <c r="D371" s="21" t="s">
        <v>15</v>
      </c>
      <c r="E371" s="21" t="s">
        <v>16</v>
      </c>
      <c r="F371" s="21" t="s">
        <v>17</v>
      </c>
      <c r="G371" s="21" t="s">
        <v>18</v>
      </c>
      <c r="H371" s="53" t="s">
        <v>19</v>
      </c>
      <c r="I371" t="s">
        <v>43</v>
      </c>
      <c r="J371" t="s">
        <v>44</v>
      </c>
    </row>
    <row r="372" spans="1:10" x14ac:dyDescent="0.25">
      <c r="A372" s="12">
        <v>31</v>
      </c>
      <c r="B372" s="54">
        <v>949</v>
      </c>
      <c r="C372" s="12">
        <v>690</v>
      </c>
      <c r="D372" s="12" t="s">
        <v>98</v>
      </c>
      <c r="E372" s="12">
        <v>65</v>
      </c>
      <c r="F372" s="13">
        <v>45236</v>
      </c>
      <c r="G372" s="12">
        <v>5</v>
      </c>
      <c r="H372" t="s">
        <v>26</v>
      </c>
    </row>
    <row r="373" spans="1:10" x14ac:dyDescent="0.25">
      <c r="A373" s="12">
        <v>32</v>
      </c>
      <c r="B373" s="54">
        <v>119</v>
      </c>
      <c r="C373" s="12">
        <v>121</v>
      </c>
      <c r="D373" s="12" t="s">
        <v>99</v>
      </c>
      <c r="E373" s="12">
        <v>66</v>
      </c>
      <c r="F373" s="13">
        <v>45236</v>
      </c>
      <c r="G373" s="12">
        <v>3</v>
      </c>
      <c r="H373" t="s">
        <v>25</v>
      </c>
    </row>
    <row r="374" spans="1:10" x14ac:dyDescent="0.25">
      <c r="A374" s="12">
        <v>33</v>
      </c>
      <c r="B374" s="54" t="s">
        <v>94</v>
      </c>
      <c r="C374" s="12">
        <v>671</v>
      </c>
      <c r="D374" s="12" t="s">
        <v>100</v>
      </c>
      <c r="E374" s="12">
        <v>63</v>
      </c>
      <c r="F374" s="13">
        <v>45238</v>
      </c>
      <c r="G374" s="12">
        <v>6</v>
      </c>
      <c r="H374" t="s">
        <v>25</v>
      </c>
    </row>
    <row r="375" spans="1:10" x14ac:dyDescent="0.25">
      <c r="A375" s="12">
        <v>34</v>
      </c>
      <c r="B375" s="54">
        <v>672</v>
      </c>
      <c r="C375" s="12">
        <v>679</v>
      </c>
      <c r="D375" s="12" t="s">
        <v>101</v>
      </c>
      <c r="E375" s="12">
        <v>71</v>
      </c>
      <c r="F375" s="13">
        <v>45239</v>
      </c>
      <c r="G375" s="12">
        <v>6</v>
      </c>
      <c r="H375" t="s">
        <v>25</v>
      </c>
    </row>
    <row r="376" spans="1:10" x14ac:dyDescent="0.25">
      <c r="A376" s="12">
        <v>35</v>
      </c>
      <c r="B376" s="54">
        <v>672</v>
      </c>
      <c r="C376" s="12">
        <v>748</v>
      </c>
      <c r="D376" s="12" t="s">
        <v>102</v>
      </c>
      <c r="E376" s="12">
        <v>76</v>
      </c>
      <c r="F376" s="13">
        <v>45239</v>
      </c>
      <c r="G376" s="12">
        <v>5</v>
      </c>
      <c r="H376" t="s">
        <v>25</v>
      </c>
    </row>
    <row r="377" spans="1:10" x14ac:dyDescent="0.25">
      <c r="A377" s="12">
        <v>36</v>
      </c>
      <c r="B377" s="54">
        <v>680</v>
      </c>
      <c r="C377" s="12">
        <v>764</v>
      </c>
      <c r="D377" s="12" t="s">
        <v>103</v>
      </c>
      <c r="E377" s="12">
        <v>76</v>
      </c>
      <c r="F377" s="13">
        <v>45240</v>
      </c>
      <c r="G377" s="12">
        <v>3</v>
      </c>
      <c r="H377" t="s">
        <v>26</v>
      </c>
    </row>
    <row r="378" spans="1:10" x14ac:dyDescent="0.25">
      <c r="A378" s="12">
        <v>37</v>
      </c>
      <c r="B378" s="54">
        <v>672</v>
      </c>
      <c r="C378" s="12">
        <v>677</v>
      </c>
      <c r="D378" s="12" t="s">
        <v>104</v>
      </c>
      <c r="E378" s="12">
        <v>63</v>
      </c>
      <c r="F378" s="13">
        <v>45251</v>
      </c>
      <c r="G378" s="12">
        <v>5</v>
      </c>
      <c r="H378" t="s">
        <v>25</v>
      </c>
    </row>
    <row r="379" spans="1:10" x14ac:dyDescent="0.25">
      <c r="A379" s="12">
        <v>38</v>
      </c>
      <c r="B379" s="54" t="s">
        <v>105</v>
      </c>
      <c r="C379" s="12">
        <v>2585</v>
      </c>
      <c r="D379" s="12" t="s">
        <v>106</v>
      </c>
      <c r="E379" s="12">
        <v>89</v>
      </c>
      <c r="F379" s="13">
        <v>45253</v>
      </c>
      <c r="G379" s="12">
        <v>0</v>
      </c>
      <c r="H379" t="s">
        <v>25</v>
      </c>
      <c r="I379">
        <f>SUM(E372:E379)</f>
        <v>569</v>
      </c>
      <c r="J379">
        <f>I379+J357</f>
        <v>6084</v>
      </c>
    </row>
    <row r="380" spans="1:10" ht="15.75" thickBot="1" x14ac:dyDescent="0.3"/>
    <row r="381" spans="1:10" ht="15.75" x14ac:dyDescent="0.25">
      <c r="B381" s="35" t="s">
        <v>27</v>
      </c>
      <c r="C381" s="36"/>
      <c r="D381" s="37"/>
      <c r="E381">
        <f>SUMIF(H372:H379,"*OBLIGATORIO*",G372:G379)</f>
        <v>25</v>
      </c>
    </row>
    <row r="382" spans="1:10" ht="15.75" x14ac:dyDescent="0.25">
      <c r="B382" s="25" t="s">
        <v>28</v>
      </c>
      <c r="C382" s="26"/>
      <c r="D382" s="27"/>
      <c r="E382">
        <f>SUMIF(H372:H379,"*OPTATIVO*",G372:G379)</f>
        <v>8</v>
      </c>
    </row>
    <row r="383" spans="1:10" ht="15.75" x14ac:dyDescent="0.25">
      <c r="B383" s="28" t="s">
        <v>29</v>
      </c>
      <c r="C383" s="29"/>
      <c r="D383" s="30"/>
      <c r="E383" s="5">
        <f>SUM(E381:E382)</f>
        <v>33</v>
      </c>
    </row>
    <row r="384" spans="1:10" ht="15.75" x14ac:dyDescent="0.25">
      <c r="B384" s="25" t="s">
        <v>30</v>
      </c>
      <c r="C384" s="26"/>
      <c r="D384" s="27"/>
      <c r="E384">
        <f>E381+E362</f>
        <v>305</v>
      </c>
    </row>
    <row r="385" spans="1:10" ht="15.75" x14ac:dyDescent="0.25">
      <c r="B385" s="25" t="s">
        <v>31</v>
      </c>
      <c r="C385" s="26"/>
      <c r="D385" s="27"/>
      <c r="E385">
        <f>E382+E363</f>
        <v>64</v>
      </c>
    </row>
    <row r="386" spans="1:10" ht="15.75" x14ac:dyDescent="0.25">
      <c r="B386" s="28" t="s">
        <v>32</v>
      </c>
      <c r="C386" s="29"/>
      <c r="D386" s="30"/>
      <c r="E386" s="5">
        <f>SUM(E384:E385)</f>
        <v>369</v>
      </c>
    </row>
    <row r="387" spans="1:10" ht="15.75" x14ac:dyDescent="0.25">
      <c r="B387" s="25" t="s">
        <v>33</v>
      </c>
      <c r="C387" s="26"/>
      <c r="D387" s="27"/>
      <c r="E387">
        <f>COUNT(E372:E379)</f>
        <v>8</v>
      </c>
    </row>
    <row r="388" spans="1:10" ht="15.75" x14ac:dyDescent="0.25">
      <c r="B388" s="28" t="s">
        <v>34</v>
      </c>
      <c r="C388" s="29"/>
      <c r="D388" s="30"/>
      <c r="E388" s="5">
        <f>E387+E366</f>
        <v>86</v>
      </c>
    </row>
    <row r="389" spans="1:10" ht="16.5" thickBot="1" x14ac:dyDescent="0.3">
      <c r="B389" s="31" t="s">
        <v>97</v>
      </c>
      <c r="C389" s="32"/>
      <c r="D389" s="33"/>
      <c r="E389" s="5">
        <f>J379/E388</f>
        <v>70.744186046511629</v>
      </c>
    </row>
    <row r="391" spans="1:10" ht="15.75" thickBot="1" x14ac:dyDescent="0.3"/>
    <row r="392" spans="1:10" ht="15.75" thickBot="1" x14ac:dyDescent="0.3">
      <c r="A392" s="49">
        <v>11</v>
      </c>
      <c r="B392" s="50"/>
      <c r="C392" s="50"/>
      <c r="D392" s="50"/>
      <c r="E392" s="50"/>
      <c r="F392" s="50"/>
      <c r="G392" s="50"/>
      <c r="H392" s="51"/>
    </row>
    <row r="393" spans="1:10" x14ac:dyDescent="0.25">
      <c r="A393" s="52" t="s">
        <v>12</v>
      </c>
      <c r="B393" s="21" t="s">
        <v>13</v>
      </c>
      <c r="C393" s="21" t="s">
        <v>14</v>
      </c>
      <c r="D393" s="21" t="s">
        <v>15</v>
      </c>
      <c r="E393" s="21" t="s">
        <v>16</v>
      </c>
      <c r="F393" s="21" t="s">
        <v>17</v>
      </c>
      <c r="G393" s="21" t="s">
        <v>18</v>
      </c>
      <c r="H393" s="53" t="s">
        <v>19</v>
      </c>
      <c r="I393" t="s">
        <v>43</v>
      </c>
      <c r="J393" t="s">
        <v>44</v>
      </c>
    </row>
    <row r="394" spans="1:10" x14ac:dyDescent="0.25">
      <c r="A394" s="12">
        <v>31</v>
      </c>
      <c r="B394" s="54">
        <v>949</v>
      </c>
      <c r="C394" s="12">
        <v>690</v>
      </c>
      <c r="D394" s="12" t="s">
        <v>98</v>
      </c>
      <c r="E394" s="12">
        <v>65</v>
      </c>
      <c r="F394" s="13">
        <v>45236</v>
      </c>
      <c r="G394" s="12">
        <v>5</v>
      </c>
      <c r="H394" t="s">
        <v>26</v>
      </c>
    </row>
    <row r="395" spans="1:10" x14ac:dyDescent="0.25">
      <c r="A395" s="12">
        <v>32</v>
      </c>
      <c r="B395" s="54">
        <v>119</v>
      </c>
      <c r="C395" s="12">
        <v>121</v>
      </c>
      <c r="D395" s="12" t="s">
        <v>99</v>
      </c>
      <c r="E395" s="12">
        <v>66</v>
      </c>
      <c r="F395" s="13">
        <v>45236</v>
      </c>
      <c r="G395" s="12">
        <v>3</v>
      </c>
      <c r="H395" t="s">
        <v>25</v>
      </c>
    </row>
    <row r="396" spans="1:10" x14ac:dyDescent="0.25">
      <c r="A396" s="12">
        <v>33</v>
      </c>
      <c r="B396" s="54" t="s">
        <v>94</v>
      </c>
      <c r="C396" s="12">
        <v>671</v>
      </c>
      <c r="D396" s="12" t="s">
        <v>100</v>
      </c>
      <c r="E396" s="12">
        <v>63</v>
      </c>
      <c r="F396" s="13">
        <v>45238</v>
      </c>
      <c r="G396" s="12">
        <v>6</v>
      </c>
      <c r="H396" t="s">
        <v>25</v>
      </c>
    </row>
    <row r="397" spans="1:10" x14ac:dyDescent="0.25">
      <c r="A397" s="12">
        <v>34</v>
      </c>
      <c r="B397" s="54">
        <v>672</v>
      </c>
      <c r="C397" s="12">
        <v>679</v>
      </c>
      <c r="D397" s="12" t="s">
        <v>101</v>
      </c>
      <c r="E397" s="12">
        <v>71</v>
      </c>
      <c r="F397" s="13">
        <v>45239</v>
      </c>
      <c r="G397" s="12">
        <v>6</v>
      </c>
      <c r="H397" t="s">
        <v>25</v>
      </c>
    </row>
    <row r="398" spans="1:10" x14ac:dyDescent="0.25">
      <c r="A398" s="12">
        <v>35</v>
      </c>
      <c r="B398" s="54">
        <v>672</v>
      </c>
      <c r="C398" s="12">
        <v>748</v>
      </c>
      <c r="D398" s="12" t="s">
        <v>102</v>
      </c>
      <c r="E398" s="12">
        <v>76</v>
      </c>
      <c r="F398" s="13">
        <v>45239</v>
      </c>
      <c r="G398" s="12">
        <v>5</v>
      </c>
      <c r="H398" t="s">
        <v>25</v>
      </c>
    </row>
    <row r="399" spans="1:10" x14ac:dyDescent="0.25">
      <c r="A399" s="12">
        <v>36</v>
      </c>
      <c r="B399" s="54">
        <v>680</v>
      </c>
      <c r="C399" s="12">
        <v>764</v>
      </c>
      <c r="D399" s="12" t="s">
        <v>103</v>
      </c>
      <c r="E399" s="12">
        <v>76</v>
      </c>
      <c r="F399" s="13">
        <v>45240</v>
      </c>
      <c r="G399" s="12">
        <v>3</v>
      </c>
      <c r="H399" t="s">
        <v>26</v>
      </c>
    </row>
    <row r="400" spans="1:10" x14ac:dyDescent="0.25">
      <c r="A400" s="12">
        <v>37</v>
      </c>
      <c r="B400" s="54">
        <v>672</v>
      </c>
      <c r="C400" s="12">
        <v>677</v>
      </c>
      <c r="D400" s="12" t="s">
        <v>104</v>
      </c>
      <c r="E400" s="12">
        <v>63</v>
      </c>
      <c r="F400" s="13">
        <v>45251</v>
      </c>
      <c r="G400" s="12">
        <v>5</v>
      </c>
      <c r="H400" t="s">
        <v>25</v>
      </c>
    </row>
    <row r="401" spans="1:10" x14ac:dyDescent="0.25">
      <c r="A401" s="12">
        <v>38</v>
      </c>
      <c r="B401" s="54" t="s">
        <v>105</v>
      </c>
      <c r="C401" s="12">
        <v>2585</v>
      </c>
      <c r="D401" s="12" t="s">
        <v>106</v>
      </c>
      <c r="E401" s="12">
        <v>89</v>
      </c>
      <c r="F401" s="13">
        <v>45253</v>
      </c>
      <c r="G401" s="12">
        <v>0</v>
      </c>
      <c r="H401" t="s">
        <v>25</v>
      </c>
      <c r="I401">
        <f>SUM(E394:E401)</f>
        <v>569</v>
      </c>
      <c r="J401">
        <f>I401+J379</f>
        <v>6653</v>
      </c>
    </row>
    <row r="402" spans="1:10" ht="15.75" thickBot="1" x14ac:dyDescent="0.3"/>
    <row r="403" spans="1:10" ht="15.75" x14ac:dyDescent="0.25">
      <c r="B403" s="35" t="s">
        <v>27</v>
      </c>
      <c r="C403" s="36"/>
      <c r="D403" s="37"/>
      <c r="E403">
        <f>SUMIF(H394:H401,"*OBLIGATORIO*",G394:G401)</f>
        <v>25</v>
      </c>
    </row>
    <row r="404" spans="1:10" ht="15.75" x14ac:dyDescent="0.25">
      <c r="B404" s="25" t="s">
        <v>28</v>
      </c>
      <c r="C404" s="26"/>
      <c r="D404" s="27"/>
      <c r="E404">
        <f>SUMIF(H394:H401,"*OPTATIVO*",G394:G401)</f>
        <v>8</v>
      </c>
    </row>
    <row r="405" spans="1:10" ht="15.75" x14ac:dyDescent="0.25">
      <c r="B405" s="28" t="s">
        <v>29</v>
      </c>
      <c r="C405" s="29"/>
      <c r="D405" s="30"/>
      <c r="E405" s="5">
        <f>SUM(E403:E404)</f>
        <v>33</v>
      </c>
    </row>
    <row r="406" spans="1:10" ht="15.75" x14ac:dyDescent="0.25">
      <c r="B406" s="25" t="s">
        <v>30</v>
      </c>
      <c r="C406" s="26"/>
      <c r="D406" s="27"/>
      <c r="E406">
        <f>E403+E384</f>
        <v>330</v>
      </c>
    </row>
    <row r="407" spans="1:10" ht="15.75" x14ac:dyDescent="0.25">
      <c r="B407" s="25" t="s">
        <v>31</v>
      </c>
      <c r="C407" s="26"/>
      <c r="D407" s="27"/>
      <c r="E407">
        <f>E404+E385</f>
        <v>72</v>
      </c>
    </row>
    <row r="408" spans="1:10" ht="15.75" x14ac:dyDescent="0.25">
      <c r="B408" s="28" t="s">
        <v>32</v>
      </c>
      <c r="C408" s="29"/>
      <c r="D408" s="30"/>
      <c r="E408" s="5">
        <f>SUM(E406:E407)</f>
        <v>402</v>
      </c>
    </row>
    <row r="409" spans="1:10" ht="15.75" x14ac:dyDescent="0.25">
      <c r="B409" s="25" t="s">
        <v>33</v>
      </c>
      <c r="C409" s="26"/>
      <c r="D409" s="27"/>
      <c r="E409">
        <f>COUNT(E394:E401)</f>
        <v>8</v>
      </c>
    </row>
    <row r="410" spans="1:10" ht="15.75" x14ac:dyDescent="0.25">
      <c r="B410" s="28" t="s">
        <v>34</v>
      </c>
      <c r="C410" s="29"/>
      <c r="D410" s="30"/>
      <c r="E410" s="5">
        <f>E409+E388</f>
        <v>94</v>
      </c>
    </row>
    <row r="411" spans="1:10" ht="16.5" thickBot="1" x14ac:dyDescent="0.3">
      <c r="B411" s="31" t="s">
        <v>97</v>
      </c>
      <c r="C411" s="32"/>
      <c r="D411" s="33"/>
      <c r="E411" s="5">
        <f>J401/E410</f>
        <v>70.776595744680847</v>
      </c>
    </row>
  </sheetData>
  <mergeCells count="224">
    <mergeCell ref="B408:D408"/>
    <mergeCell ref="B409:D409"/>
    <mergeCell ref="B410:D410"/>
    <mergeCell ref="B411:D411"/>
    <mergeCell ref="B403:D403"/>
    <mergeCell ref="B404:D404"/>
    <mergeCell ref="B405:D405"/>
    <mergeCell ref="B406:D406"/>
    <mergeCell ref="B407:D407"/>
    <mergeCell ref="B386:D386"/>
    <mergeCell ref="B387:D387"/>
    <mergeCell ref="B388:D388"/>
    <mergeCell ref="B389:D389"/>
    <mergeCell ref="A392:H392"/>
    <mergeCell ref="B381:D381"/>
    <mergeCell ref="B382:D382"/>
    <mergeCell ref="B383:D383"/>
    <mergeCell ref="B384:D384"/>
    <mergeCell ref="B385:D385"/>
    <mergeCell ref="B364:D364"/>
    <mergeCell ref="B365:D365"/>
    <mergeCell ref="B366:D366"/>
    <mergeCell ref="B367:D367"/>
    <mergeCell ref="A370:H370"/>
    <mergeCell ref="B359:D359"/>
    <mergeCell ref="B360:D360"/>
    <mergeCell ref="B361:D361"/>
    <mergeCell ref="B362:D362"/>
    <mergeCell ref="B363:D363"/>
    <mergeCell ref="B342:D342"/>
    <mergeCell ref="B343:D343"/>
    <mergeCell ref="B344:D344"/>
    <mergeCell ref="B345:D345"/>
    <mergeCell ref="A348:H348"/>
    <mergeCell ref="B337:D337"/>
    <mergeCell ref="B338:D338"/>
    <mergeCell ref="B339:D339"/>
    <mergeCell ref="B340:D340"/>
    <mergeCell ref="B341:D341"/>
    <mergeCell ref="B320:D320"/>
    <mergeCell ref="B321:D321"/>
    <mergeCell ref="B322:D322"/>
    <mergeCell ref="B323:D323"/>
    <mergeCell ref="A326:H326"/>
    <mergeCell ref="B315:D315"/>
    <mergeCell ref="B316:D316"/>
    <mergeCell ref="B317:D317"/>
    <mergeCell ref="B318:D318"/>
    <mergeCell ref="B319:D319"/>
    <mergeCell ref="B298:D298"/>
    <mergeCell ref="B299:D299"/>
    <mergeCell ref="B300:D300"/>
    <mergeCell ref="B301:D301"/>
    <mergeCell ref="A304:H304"/>
    <mergeCell ref="B293:D293"/>
    <mergeCell ref="B294:D294"/>
    <mergeCell ref="B295:D295"/>
    <mergeCell ref="B296:D296"/>
    <mergeCell ref="B297:D297"/>
    <mergeCell ref="B276:D276"/>
    <mergeCell ref="B277:D277"/>
    <mergeCell ref="B278:D278"/>
    <mergeCell ref="B279:D279"/>
    <mergeCell ref="A282:H282"/>
    <mergeCell ref="B271:D271"/>
    <mergeCell ref="B272:D272"/>
    <mergeCell ref="B273:D273"/>
    <mergeCell ref="B274:D274"/>
    <mergeCell ref="B275:D275"/>
    <mergeCell ref="B260:D260"/>
    <mergeCell ref="B261:D261"/>
    <mergeCell ref="B262:D262"/>
    <mergeCell ref="B263:D263"/>
    <mergeCell ref="A266:H266"/>
    <mergeCell ref="B255:D255"/>
    <mergeCell ref="B256:D256"/>
    <mergeCell ref="B257:D257"/>
    <mergeCell ref="B258:D258"/>
    <mergeCell ref="B259:D259"/>
    <mergeCell ref="B241:D241"/>
    <mergeCell ref="B242:D242"/>
    <mergeCell ref="B243:D243"/>
    <mergeCell ref="B244:D244"/>
    <mergeCell ref="A247:H247"/>
    <mergeCell ref="B236:D236"/>
    <mergeCell ref="B237:D237"/>
    <mergeCell ref="B238:D238"/>
    <mergeCell ref="B239:D239"/>
    <mergeCell ref="B240:D240"/>
    <mergeCell ref="B226:D226"/>
    <mergeCell ref="B227:D227"/>
    <mergeCell ref="B228:D228"/>
    <mergeCell ref="B229:D229"/>
    <mergeCell ref="A232:H232"/>
    <mergeCell ref="B221:D221"/>
    <mergeCell ref="B222:D222"/>
    <mergeCell ref="B223:D223"/>
    <mergeCell ref="B224:D224"/>
    <mergeCell ref="B225:D225"/>
    <mergeCell ref="B204:D204"/>
    <mergeCell ref="B205:D205"/>
    <mergeCell ref="B206:D206"/>
    <mergeCell ref="B207:D207"/>
    <mergeCell ref="A210:H210"/>
    <mergeCell ref="B199:D199"/>
    <mergeCell ref="B200:D200"/>
    <mergeCell ref="B201:D201"/>
    <mergeCell ref="B202:D202"/>
    <mergeCell ref="B203:D203"/>
    <mergeCell ref="B189:D189"/>
    <mergeCell ref="B190:D190"/>
    <mergeCell ref="B191:D191"/>
    <mergeCell ref="B192:D192"/>
    <mergeCell ref="A195:H195"/>
    <mergeCell ref="B184:D184"/>
    <mergeCell ref="B185:D185"/>
    <mergeCell ref="B186:D186"/>
    <mergeCell ref="B187:D187"/>
    <mergeCell ref="B188:D188"/>
    <mergeCell ref="B169:D169"/>
    <mergeCell ref="B170:D170"/>
    <mergeCell ref="B171:D171"/>
    <mergeCell ref="B172:D172"/>
    <mergeCell ref="A175:H175"/>
    <mergeCell ref="B164:D164"/>
    <mergeCell ref="B165:D165"/>
    <mergeCell ref="B166:D166"/>
    <mergeCell ref="B167:D167"/>
    <mergeCell ref="B168:D168"/>
    <mergeCell ref="B154:D154"/>
    <mergeCell ref="B155:D155"/>
    <mergeCell ref="B156:D156"/>
    <mergeCell ref="B157:D157"/>
    <mergeCell ref="A160:H160"/>
    <mergeCell ref="B149:D149"/>
    <mergeCell ref="B150:D150"/>
    <mergeCell ref="B151:D151"/>
    <mergeCell ref="B152:D152"/>
    <mergeCell ref="B153:D153"/>
    <mergeCell ref="B139:D139"/>
    <mergeCell ref="B140:D140"/>
    <mergeCell ref="B141:D141"/>
    <mergeCell ref="B142:D142"/>
    <mergeCell ref="A145:H145"/>
    <mergeCell ref="B134:D134"/>
    <mergeCell ref="B135:D135"/>
    <mergeCell ref="B136:D136"/>
    <mergeCell ref="B137:D137"/>
    <mergeCell ref="B138:D138"/>
    <mergeCell ref="B57:D57"/>
    <mergeCell ref="B58:D58"/>
    <mergeCell ref="B59:D59"/>
    <mergeCell ref="B60:D60"/>
    <mergeCell ref="A128:H128"/>
    <mergeCell ref="A48:H48"/>
    <mergeCell ref="B53:D53"/>
    <mergeCell ref="B54:D54"/>
    <mergeCell ref="B55:D55"/>
    <mergeCell ref="B56:D56"/>
    <mergeCell ref="D1:H1"/>
    <mergeCell ref="D2:H2"/>
    <mergeCell ref="D3:H3"/>
    <mergeCell ref="D4:H4"/>
    <mergeCell ref="B20:D20"/>
    <mergeCell ref="A12:H12"/>
    <mergeCell ref="B21:D21"/>
    <mergeCell ref="B22:D22"/>
    <mergeCell ref="B23:D23"/>
    <mergeCell ref="B24:D24"/>
    <mergeCell ref="B25:D25"/>
    <mergeCell ref="B26:D26"/>
    <mergeCell ref="B27:D27"/>
    <mergeCell ref="B28:D28"/>
    <mergeCell ref="B37:D37"/>
    <mergeCell ref="B38:D38"/>
    <mergeCell ref="A31:H31"/>
    <mergeCell ref="B44:D44"/>
    <mergeCell ref="B45:D45"/>
    <mergeCell ref="B39:D39"/>
    <mergeCell ref="B40:D40"/>
    <mergeCell ref="B41:D41"/>
    <mergeCell ref="B42:D42"/>
    <mergeCell ref="B43:D43"/>
    <mergeCell ref="B61:D61"/>
    <mergeCell ref="A64:H64"/>
    <mergeCell ref="B70:D70"/>
    <mergeCell ref="B71:D71"/>
    <mergeCell ref="B72:D72"/>
    <mergeCell ref="B78:D78"/>
    <mergeCell ref="B73:D73"/>
    <mergeCell ref="B74:D74"/>
    <mergeCell ref="B75:D75"/>
    <mergeCell ref="B76:D76"/>
    <mergeCell ref="B77:D77"/>
    <mergeCell ref="B93:D93"/>
    <mergeCell ref="A81:H81"/>
    <mergeCell ref="B85:D85"/>
    <mergeCell ref="B86:D86"/>
    <mergeCell ref="B87:D87"/>
    <mergeCell ref="B88:D88"/>
    <mergeCell ref="B89:D89"/>
    <mergeCell ref="B90:D90"/>
    <mergeCell ref="B91:D91"/>
    <mergeCell ref="B92:D92"/>
    <mergeCell ref="A96:H96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A112:H112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Rivera</dc:creator>
  <cp:lastModifiedBy>Marlon Ivan Carreto Rivera</cp:lastModifiedBy>
  <dcterms:created xsi:type="dcterms:W3CDTF">2026-01-23T04:27:34Z</dcterms:created>
  <dcterms:modified xsi:type="dcterms:W3CDTF">2026-01-29T00:56:20Z</dcterms:modified>
</cp:coreProperties>
</file>