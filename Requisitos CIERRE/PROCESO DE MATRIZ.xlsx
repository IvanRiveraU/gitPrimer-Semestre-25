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Ubicacion C a D\Documentos\gitPrimer-Semetre-25\Requisitos CIERRE\"/>
    </mc:Choice>
  </mc:AlternateContent>
  <xr:revisionPtr revIDLastSave="0" documentId="13_ncr:1_{FB1DB5F8-60CD-4E50-8984-F66742014A34}" xr6:coauthVersionLast="47" xr6:coauthVersionMax="47" xr10:uidLastSave="{00000000-0000-0000-0000-000000000000}"/>
  <bookViews>
    <workbookView xWindow="-108" yWindow="-108" windowWidth="23256" windowHeight="12576" xr2:uid="{308FB4FC-A38D-436D-B0B2-F1F9BCAD63F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1" i="1" l="1"/>
  <c r="I21" i="1" s="1"/>
  <c r="J21" i="1" s="1"/>
  <c r="J38" i="1" s="1"/>
  <c r="J54" i="1" s="1"/>
  <c r="J71" i="1" s="1"/>
  <c r="J86" i="1" s="1"/>
  <c r="J102" i="1" s="1"/>
  <c r="E386" i="1"/>
  <c r="I369" i="1"/>
  <c r="I368" i="1"/>
  <c r="I354" i="1"/>
  <c r="I353" i="1"/>
  <c r="I339" i="1"/>
  <c r="I338" i="1"/>
  <c r="I324" i="1"/>
  <c r="I323" i="1"/>
  <c r="I306" i="1"/>
  <c r="I305" i="1"/>
  <c r="I290" i="1"/>
  <c r="I289" i="1"/>
  <c r="I272" i="1"/>
  <c r="I271" i="1"/>
  <c r="I256" i="1"/>
  <c r="I255" i="1"/>
  <c r="I237" i="1"/>
  <c r="I236" i="1"/>
  <c r="I222" i="1"/>
  <c r="I221" i="1"/>
  <c r="I200" i="1"/>
  <c r="I199" i="1"/>
  <c r="I185" i="1"/>
  <c r="I184" i="1"/>
  <c r="I165" i="1"/>
  <c r="I164" i="1"/>
  <c r="I150" i="1"/>
  <c r="I149" i="1"/>
  <c r="I118" i="1"/>
  <c r="I117" i="1"/>
  <c r="J117" i="1" s="1"/>
  <c r="J101" i="1"/>
  <c r="I102" i="1"/>
  <c r="I101" i="1"/>
  <c r="J85" i="1"/>
  <c r="I86" i="1"/>
  <c r="I85" i="1"/>
  <c r="J70" i="1"/>
  <c r="I71" i="1"/>
  <c r="I70" i="1"/>
  <c r="J53" i="1"/>
  <c r="I54" i="1"/>
  <c r="I53" i="1"/>
  <c r="J37" i="1"/>
  <c r="I38" i="1"/>
  <c r="I37" i="1"/>
  <c r="J20" i="1"/>
  <c r="I20" i="1"/>
  <c r="E385" i="1"/>
  <c r="J118" i="1" l="1"/>
  <c r="E374" i="1" l="1"/>
  <c r="E369" i="1"/>
  <c r="E368" i="1"/>
  <c r="I366" i="1"/>
  <c r="E359" i="1"/>
  <c r="E354" i="1"/>
  <c r="E353" i="1"/>
  <c r="I351" i="1"/>
  <c r="E344" i="1"/>
  <c r="E339" i="1"/>
  <c r="E338" i="1"/>
  <c r="I336" i="1"/>
  <c r="E329" i="1"/>
  <c r="E324" i="1"/>
  <c r="E323" i="1"/>
  <c r="I321" i="1"/>
  <c r="E311" i="1"/>
  <c r="E306" i="1"/>
  <c r="E305" i="1"/>
  <c r="I303" i="1"/>
  <c r="E295" i="1"/>
  <c r="E290" i="1"/>
  <c r="E289" i="1"/>
  <c r="I287" i="1"/>
  <c r="E370" i="1" l="1"/>
  <c r="E355" i="1"/>
  <c r="E340" i="1"/>
  <c r="E325" i="1"/>
  <c r="E307" i="1"/>
  <c r="E291" i="1"/>
  <c r="E277" i="1"/>
  <c r="E272" i="1"/>
  <c r="E271" i="1"/>
  <c r="I269" i="1"/>
  <c r="E261" i="1"/>
  <c r="E256" i="1"/>
  <c r="E255" i="1"/>
  <c r="I253" i="1"/>
  <c r="E242" i="1"/>
  <c r="E237" i="1"/>
  <c r="E236" i="1"/>
  <c r="I234" i="1"/>
  <c r="E227" i="1"/>
  <c r="E222" i="1"/>
  <c r="E221" i="1"/>
  <c r="I219" i="1"/>
  <c r="E205" i="1"/>
  <c r="E200" i="1"/>
  <c r="E199" i="1"/>
  <c r="I197" i="1"/>
  <c r="E190" i="1"/>
  <c r="E185" i="1"/>
  <c r="E184" i="1"/>
  <c r="I182" i="1"/>
  <c r="E170" i="1"/>
  <c r="E165" i="1"/>
  <c r="E164" i="1"/>
  <c r="I162" i="1"/>
  <c r="E155" i="1"/>
  <c r="E150" i="1"/>
  <c r="E149" i="1"/>
  <c r="I147" i="1"/>
  <c r="E140" i="1"/>
  <c r="E135" i="1"/>
  <c r="I135" i="1" s="1"/>
  <c r="J135" i="1" s="1"/>
  <c r="J150" i="1" s="1"/>
  <c r="J165" i="1" s="1"/>
  <c r="J185" i="1" s="1"/>
  <c r="J200" i="1" s="1"/>
  <c r="J222" i="1" s="1"/>
  <c r="J237" i="1" s="1"/>
  <c r="J256" i="1" s="1"/>
  <c r="J272" i="1" s="1"/>
  <c r="J290" i="1" s="1"/>
  <c r="J306" i="1" s="1"/>
  <c r="J324" i="1" s="1"/>
  <c r="J339" i="1" s="1"/>
  <c r="J354" i="1" s="1"/>
  <c r="J369" i="1" s="1"/>
  <c r="E134" i="1"/>
  <c r="I134" i="1" s="1"/>
  <c r="J134" i="1" s="1"/>
  <c r="J149" i="1" s="1"/>
  <c r="J164" i="1" s="1"/>
  <c r="J184" i="1" s="1"/>
  <c r="J199" i="1" s="1"/>
  <c r="J221" i="1" s="1"/>
  <c r="J236" i="1" s="1"/>
  <c r="J255" i="1" s="1"/>
  <c r="J271" i="1" s="1"/>
  <c r="J289" i="1" s="1"/>
  <c r="J305" i="1" s="1"/>
  <c r="J323" i="1" s="1"/>
  <c r="J338" i="1" s="1"/>
  <c r="J353" i="1" s="1"/>
  <c r="J368" i="1" s="1"/>
  <c r="I132" i="1"/>
  <c r="E123" i="1"/>
  <c r="E118" i="1"/>
  <c r="E117" i="1"/>
  <c r="I115" i="1"/>
  <c r="E107" i="1"/>
  <c r="E102" i="1"/>
  <c r="E101" i="1"/>
  <c r="I99" i="1"/>
  <c r="E91" i="1"/>
  <c r="E86" i="1"/>
  <c r="E85" i="1"/>
  <c r="I83" i="1"/>
  <c r="E71" i="1"/>
  <c r="E76" i="1"/>
  <c r="E70" i="1"/>
  <c r="I68" i="1"/>
  <c r="J370" i="1" l="1"/>
  <c r="E273" i="1"/>
  <c r="E257" i="1"/>
  <c r="E238" i="1"/>
  <c r="E223" i="1"/>
  <c r="E201" i="1"/>
  <c r="E186" i="1"/>
  <c r="E166" i="1"/>
  <c r="E151" i="1"/>
  <c r="E136" i="1"/>
  <c r="E119" i="1"/>
  <c r="E103" i="1"/>
  <c r="E87" i="1"/>
  <c r="E59" i="1" l="1"/>
  <c r="E54" i="1"/>
  <c r="E53" i="1"/>
  <c r="I51" i="1"/>
  <c r="E72" i="1" l="1"/>
  <c r="E55" i="1"/>
  <c r="I35" i="1"/>
  <c r="I18" i="1"/>
  <c r="E43" i="1"/>
  <c r="E38" i="1"/>
  <c r="E37" i="1"/>
  <c r="J35" i="1" l="1"/>
  <c r="J51" i="1" s="1"/>
  <c r="J68" i="1" s="1"/>
  <c r="E26" i="1"/>
  <c r="E24" i="1"/>
  <c r="E41" i="1" s="1"/>
  <c r="E57" i="1" s="1"/>
  <c r="E74" i="1" s="1"/>
  <c r="E89" i="1" s="1"/>
  <c r="E105" i="1" s="1"/>
  <c r="E121" i="1" s="1"/>
  <c r="E138" i="1" s="1"/>
  <c r="E153" i="1" s="1"/>
  <c r="E168" i="1" s="1"/>
  <c r="E188" i="1" s="1"/>
  <c r="E203" i="1" s="1"/>
  <c r="E225" i="1" s="1"/>
  <c r="E240" i="1" s="1"/>
  <c r="E20" i="1"/>
  <c r="E23" i="1" s="1"/>
  <c r="E40" i="1" s="1"/>
  <c r="E56" i="1" s="1"/>
  <c r="E73" i="1" s="1"/>
  <c r="E88" i="1" s="1"/>
  <c r="E259" i="1" l="1"/>
  <c r="E275" i="1" s="1"/>
  <c r="E293" i="1" s="1"/>
  <c r="E309" i="1" s="1"/>
  <c r="E327" i="1" s="1"/>
  <c r="E342" i="1" s="1"/>
  <c r="E357" i="1" s="1"/>
  <c r="E372" i="1" s="1"/>
  <c r="E381" i="1" s="1"/>
  <c r="E90" i="1"/>
  <c r="E104" i="1"/>
  <c r="J83" i="1"/>
  <c r="J99" i="1" s="1"/>
  <c r="J115" i="1" s="1"/>
  <c r="J132" i="1" s="1"/>
  <c r="E75" i="1"/>
  <c r="E58" i="1"/>
  <c r="E25" i="1"/>
  <c r="E22" i="1"/>
  <c r="E27" i="1"/>
  <c r="E39" i="1"/>
  <c r="J147" i="1" l="1"/>
  <c r="E106" i="1"/>
  <c r="E120" i="1"/>
  <c r="E28" i="1"/>
  <c r="E44" i="1"/>
  <c r="E42" i="1"/>
  <c r="J162" i="1" l="1"/>
  <c r="E122" i="1"/>
  <c r="E137" i="1"/>
  <c r="E45" i="1"/>
  <c r="E60" i="1"/>
  <c r="J182" i="1" l="1"/>
  <c r="E139" i="1"/>
  <c r="E152" i="1"/>
  <c r="E61" i="1"/>
  <c r="E77" i="1"/>
  <c r="J197" i="1" l="1"/>
  <c r="E154" i="1"/>
  <c r="E167" i="1"/>
  <c r="E92" i="1"/>
  <c r="E78" i="1"/>
  <c r="E169" i="1" l="1"/>
  <c r="E187" i="1"/>
  <c r="J219" i="1"/>
  <c r="E93" i="1"/>
  <c r="E108" i="1"/>
  <c r="J234" i="1" l="1"/>
  <c r="E189" i="1"/>
  <c r="E202" i="1"/>
  <c r="E109" i="1"/>
  <c r="E124" i="1"/>
  <c r="E125" i="1" l="1"/>
  <c r="E141" i="1"/>
  <c r="E204" i="1"/>
  <c r="E224" i="1"/>
  <c r="J253" i="1"/>
  <c r="J269" i="1" l="1"/>
  <c r="J287" i="1" s="1"/>
  <c r="E239" i="1"/>
  <c r="E226" i="1"/>
  <c r="E156" i="1"/>
  <c r="E142" i="1"/>
  <c r="J303" i="1" l="1"/>
  <c r="E258" i="1"/>
  <c r="E241" i="1"/>
  <c r="E171" i="1"/>
  <c r="E157" i="1"/>
  <c r="J321" i="1" l="1"/>
  <c r="E191" i="1"/>
  <c r="E172" i="1"/>
  <c r="E260" i="1"/>
  <c r="E274" i="1"/>
  <c r="J336" i="1" l="1"/>
  <c r="E276" i="1"/>
  <c r="E292" i="1"/>
  <c r="E206" i="1"/>
  <c r="E192" i="1"/>
  <c r="E294" i="1" l="1"/>
  <c r="E308" i="1"/>
  <c r="J351" i="1"/>
  <c r="E228" i="1"/>
  <c r="E207" i="1"/>
  <c r="J366" i="1" l="1"/>
  <c r="E310" i="1"/>
  <c r="E326" i="1"/>
  <c r="E243" i="1"/>
  <c r="E229" i="1"/>
  <c r="E328" i="1" l="1"/>
  <c r="E341" i="1"/>
  <c r="E262" i="1"/>
  <c r="E244" i="1"/>
  <c r="E343" i="1" l="1"/>
  <c r="E356" i="1"/>
  <c r="E278" i="1"/>
  <c r="E263" i="1"/>
  <c r="E279" i="1" l="1"/>
  <c r="E296" i="1"/>
  <c r="E358" i="1"/>
  <c r="E371" i="1"/>
  <c r="E373" i="1" l="1"/>
  <c r="E380" i="1"/>
  <c r="E382" i="1" s="1"/>
  <c r="E312" i="1"/>
  <c r="E297" i="1"/>
  <c r="E330" i="1" l="1"/>
  <c r="E313" i="1"/>
  <c r="E345" i="1" l="1"/>
  <c r="E331" i="1"/>
  <c r="E360" i="1" l="1"/>
  <c r="E346" i="1"/>
  <c r="E375" i="1" l="1"/>
  <c r="E376" i="1" s="1"/>
  <c r="E361" i="1"/>
</calcChain>
</file>

<file path=xl/sharedStrings.xml><?xml version="1.0" encoding="utf-8"?>
<sst xmlns="http://schemas.openxmlformats.org/spreadsheetml/2006/main" count="609" uniqueCount="166">
  <si>
    <t>Universidad de San Carlos de Guatemala</t>
  </si>
  <si>
    <t>Centro Universitario de Occidente</t>
  </si>
  <si>
    <t>División de Ciencias de la Ingeniería</t>
  </si>
  <si>
    <t xml:space="preserve">ESTUDIANTE </t>
  </si>
  <si>
    <t>CARNÉ</t>
  </si>
  <si>
    <t>Marlon Ivan Carreto Rivera</t>
  </si>
  <si>
    <t xml:space="preserve">PENSUM </t>
  </si>
  <si>
    <t>PRIMER SEMESTRE -2017</t>
  </si>
  <si>
    <t xml:space="preserve">NO </t>
  </si>
  <si>
    <t xml:space="preserve">CODIGO PRE-REQUISITO </t>
  </si>
  <si>
    <t xml:space="preserve">CODIGO CURSO </t>
  </si>
  <si>
    <t xml:space="preserve">CURSO </t>
  </si>
  <si>
    <t xml:space="preserve">NOTA FINAL </t>
  </si>
  <si>
    <t xml:space="preserve">FECHA APROBACIÓN </t>
  </si>
  <si>
    <t>No. CREDITOS</t>
  </si>
  <si>
    <t xml:space="preserve">CATEGORÍA </t>
  </si>
  <si>
    <t>DEPORTES 1</t>
  </si>
  <si>
    <t>SOCIAL HUMANISTICA 1</t>
  </si>
  <si>
    <t>TECNICA COMPLEMENTARIA 1</t>
  </si>
  <si>
    <t>ORIENTACION Y LIDERAZGO</t>
  </si>
  <si>
    <t>QUIMICA 1</t>
  </si>
  <si>
    <t>OBLIGATORIO</t>
  </si>
  <si>
    <t>OPTATIVO</t>
  </si>
  <si>
    <t>Créditos de Cursos Obligatorios</t>
  </si>
  <si>
    <t>Créditos de Cursos Optativos</t>
  </si>
  <si>
    <t>Créditos del Semestre</t>
  </si>
  <si>
    <t>Créditos Acumulados Obligatorios</t>
  </si>
  <si>
    <t>Créditos Acumulados Optativos</t>
  </si>
  <si>
    <t>Créditos Acumulados</t>
  </si>
  <si>
    <t>Cursos de Semestre</t>
  </si>
  <si>
    <t>Cursos Acumulados</t>
  </si>
  <si>
    <t>SOCIAL HUMANISTICA 2</t>
  </si>
  <si>
    <t>SEGUNDO SEMESTRE  -2017</t>
  </si>
  <si>
    <t>Promedio hasta el primer semestre 2017</t>
  </si>
  <si>
    <t>Promedio hasta el segundo semestre 2017</t>
  </si>
  <si>
    <t>TECNICAS DE INVESTIGACION Y ESTUDIO</t>
  </si>
  <si>
    <t>MATEMATICA BASICA 1</t>
  </si>
  <si>
    <t>NINGUNO</t>
  </si>
  <si>
    <t>PUNTEOS PREVIOS</t>
  </si>
  <si>
    <t xml:space="preserve">SEMESTRE </t>
  </si>
  <si>
    <t>PREVIO</t>
  </si>
  <si>
    <t>PRIMER SEMESETRE -2018</t>
  </si>
  <si>
    <t>FISICA BASICA</t>
  </si>
  <si>
    <t>MATEMATICA BASICA 2</t>
  </si>
  <si>
    <t>Promedio hasta el primer semestre 2018</t>
  </si>
  <si>
    <t>SEGUNDO SEMESETRE -2018</t>
  </si>
  <si>
    <t>DEPORTES 2</t>
  </si>
  <si>
    <t>LOGICA</t>
  </si>
  <si>
    <t>Promedio hasta el segundo semestre 2018</t>
  </si>
  <si>
    <t>FISICA 1</t>
  </si>
  <si>
    <t>170  - 72</t>
  </si>
  <si>
    <t>MATEMATICA INTERMEDIA 1</t>
  </si>
  <si>
    <t>SEGUNDO SEMESETRE -2019</t>
  </si>
  <si>
    <t>Promedio hasta el segundo semestre 2019</t>
  </si>
  <si>
    <t>PRIMER SEMESETRE -2020</t>
  </si>
  <si>
    <t>ESTADISTICA 1</t>
  </si>
  <si>
    <t>MATEMATICA INTERMEDIA 3</t>
  </si>
  <si>
    <t>Promedio hasta el primer semestre 2020</t>
  </si>
  <si>
    <t>Promedio hasta escuela de vacaciones junio 2020</t>
  </si>
  <si>
    <t>290 - 146</t>
  </si>
  <si>
    <t>FISICA 2</t>
  </si>
  <si>
    <t>MATEMATICA INTERMEDIA 2</t>
  </si>
  <si>
    <t>ESCUELA DE VACACIONES JUNIO - 2020</t>
  </si>
  <si>
    <t>SEGUNDO SEMESTRE -2020</t>
  </si>
  <si>
    <t>Promedio hasta el segndo semestre 2020</t>
  </si>
  <si>
    <t>291 - 292</t>
  </si>
  <si>
    <t>MATEMATICA APLICADA 1</t>
  </si>
  <si>
    <t>MATEMATICA APLICADA 3</t>
  </si>
  <si>
    <t>292 - 147</t>
  </si>
  <si>
    <t>INGENIERIA ELECTRICA 1</t>
  </si>
  <si>
    <t>SEGUNDO SEMESTRE - 2021</t>
  </si>
  <si>
    <t>Promedio hasta el segundo semestre 2021</t>
  </si>
  <si>
    <t>90Cr</t>
  </si>
  <si>
    <t>CONTABILIDAD 1</t>
  </si>
  <si>
    <t>PRIMER SEMESTRE - 2022</t>
  </si>
  <si>
    <t>ECOLOGIA</t>
  </si>
  <si>
    <t xml:space="preserve">OBLIGATORIO </t>
  </si>
  <si>
    <t>PRIMER SEMESTRE - 2023</t>
  </si>
  <si>
    <t>Promedio hasta el primer semestre 2023</t>
  </si>
  <si>
    <t>292 - 949</t>
  </si>
  <si>
    <t>PROGRAMACION DE COMPUTADORAS 1</t>
  </si>
  <si>
    <t>PRACTICAS INICIALES</t>
  </si>
  <si>
    <t>169 - 72 -216</t>
  </si>
  <si>
    <t>QUIMICA 2</t>
  </si>
  <si>
    <t>LEGISLACION 1</t>
  </si>
  <si>
    <t>TOPOGRAFIA 1</t>
  </si>
  <si>
    <t>MECANICA ANALITICA 1</t>
  </si>
  <si>
    <t>ESCUELA DE VACACIONES JUNIO - 2023</t>
  </si>
  <si>
    <t>Promedio hasta escuela de vacaciones junio 2023</t>
  </si>
  <si>
    <t>292 - 109</t>
  </si>
  <si>
    <t>RESISTENCIA DE MATERIALES 1</t>
  </si>
  <si>
    <t>SEGUNDO SEMESTRE - 2023</t>
  </si>
  <si>
    <t>Promedio hasta el segundo semestre 2023</t>
  </si>
  <si>
    <t>INGENIERIA ECONOMICA 1</t>
  </si>
  <si>
    <t>TECNICA COMPLEMENTARIA 2</t>
  </si>
  <si>
    <t>MECANICA DE FLUIDOS</t>
  </si>
  <si>
    <t>MATERIALES DE CONSTRUCCION</t>
  </si>
  <si>
    <t>MECANICA DE SUELOS</t>
  </si>
  <si>
    <t>LEGISLACION 2</t>
  </si>
  <si>
    <t>RESISTENCIA DE MATERIALES 2</t>
  </si>
  <si>
    <t>2394 - 120Cr</t>
  </si>
  <si>
    <t>PRACTICAS INTERMEDIAS</t>
  </si>
  <si>
    <t>ESCUELA DE VACACIONES DICIEMBRE - 2023</t>
  </si>
  <si>
    <t>Promedio hasta escuela de vacaciones diciembre 2023</t>
  </si>
  <si>
    <t>HIDRAULICA</t>
  </si>
  <si>
    <t>PRIMER SEMESTRE - 2024</t>
  </si>
  <si>
    <t>Promedio hasta el primer semestre 2024</t>
  </si>
  <si>
    <t>165Cr</t>
  </si>
  <si>
    <t>INGENIERIA DE LA PRODUCCION</t>
  </si>
  <si>
    <t>677 - 679</t>
  </si>
  <si>
    <t>CONCRETO ARMADO 1</t>
  </si>
  <si>
    <t>HIDROLOGIA</t>
  </si>
  <si>
    <t>TOPOGRAFIA 2</t>
  </si>
  <si>
    <t>150Cr</t>
  </si>
  <si>
    <t>ADMINISTRACION DE EMPRESAS 1</t>
  </si>
  <si>
    <t>ESCUELA DE VACACIONES JUNIO - 2024</t>
  </si>
  <si>
    <t>Promedio hasta escuela de vacaciones junio 2024</t>
  </si>
  <si>
    <t>ANALISIS ESTRUCTURAL 1</t>
  </si>
  <si>
    <t>747 - 748</t>
  </si>
  <si>
    <t>VIAS TERRESTRES 1</t>
  </si>
  <si>
    <t>SEGUNDO SEMESTRE -  2024</t>
  </si>
  <si>
    <t>Promedio hasta el segundo semestre 2024</t>
  </si>
  <si>
    <t>745 - 935 - 679</t>
  </si>
  <si>
    <t>DISEÑO ESTRUCTURAL</t>
  </si>
  <si>
    <t>748 - 935 -745</t>
  </si>
  <si>
    <t>CIMENTACIONES 1</t>
  </si>
  <si>
    <t>200Cr</t>
  </si>
  <si>
    <t>SEMINARIO DE INVESTIGACION</t>
  </si>
  <si>
    <t>INGENIERIA SANITARIA 2</t>
  </si>
  <si>
    <t>ESCUELA DE VACACIONES DICIEMBRE - 2024</t>
  </si>
  <si>
    <t>Promedio hasta escuela de vacaciones diciembre 2024</t>
  </si>
  <si>
    <t>INGENIERIA SANITARIA 1</t>
  </si>
  <si>
    <t>CONCRETO ARMADO 2</t>
  </si>
  <si>
    <t>PRIMER SEMESTRE - 2025</t>
  </si>
  <si>
    <t>Promedio hasta el primer semestre 2025</t>
  </si>
  <si>
    <t>PUENTES</t>
  </si>
  <si>
    <t>DISEÑO ESTRUCTURAL EN MAMPOSTERIA</t>
  </si>
  <si>
    <t>190Cr</t>
  </si>
  <si>
    <t>PLANEAMIENTO</t>
  </si>
  <si>
    <t xml:space="preserve">190Cr </t>
  </si>
  <si>
    <t>COSTOS, PRESUPUESTOS Y AVALUOS</t>
  </si>
  <si>
    <t>ESCUELA DE VACACIONES JUNIO - 2025</t>
  </si>
  <si>
    <t>Promedio hasta escuela de vacaciones junio 2025</t>
  </si>
  <si>
    <t>SEGUNDO SEMESTRE - 2025</t>
  </si>
  <si>
    <t>Promedio hasta el segundo semestre 2025</t>
  </si>
  <si>
    <t>ESCUELA DE VACACIONES DICIEMBRE - 2025</t>
  </si>
  <si>
    <t>Promedio hasta escuela de vacaciones diciembre 2025</t>
  </si>
  <si>
    <t>932 -936</t>
  </si>
  <si>
    <t>DISEÑO ESTRUCTURAL ASISTIDO POR COMPUTADORA</t>
  </si>
  <si>
    <t>2585 - 200Cr</t>
  </si>
  <si>
    <t>PRACTICAS FINALES</t>
  </si>
  <si>
    <t>109 - 745</t>
  </si>
  <si>
    <t>ANALISIS MECANICO</t>
  </si>
  <si>
    <t>RESUMEN GENERAL</t>
  </si>
  <si>
    <t>Creditos Obligatorios</t>
  </si>
  <si>
    <t>Créditos Optativos</t>
  </si>
  <si>
    <t>Créditos Totales</t>
  </si>
  <si>
    <t>Cursos Obligatorios</t>
  </si>
  <si>
    <t>Cursos Optativos</t>
  </si>
  <si>
    <t>Cursos Totales</t>
  </si>
  <si>
    <t>Promedio Total</t>
  </si>
  <si>
    <t xml:space="preserve">Ingeniería Cívil </t>
  </si>
  <si>
    <t xml:space="preserve">REGISTRO ACADÉMICO </t>
  </si>
  <si>
    <t xml:space="preserve">INGENIERÍA CÍVIL </t>
  </si>
  <si>
    <t xml:space="preserve">MATRIZ DE CURSOS APROBADOS - INGENIERÍA CIVÍL </t>
  </si>
  <si>
    <t>Promedio hasta el primer semestre 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</si>
</sst>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24" applyNumberFormat="0" applyFill="0" applyAlignment="0" applyProtection="0"/>
  </cellStyleXfs>
  <cellXfs count="9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/>
    <xf numFmtId="0" fontId="0" fillId="0" borderId="7" xfId="0" applyBorder="1"/>
    <xf numFmtId="0" fontId="0" fillId="0" borderId="8" xfId="0" applyBorder="1"/>
    <xf numFmtId="0" fontId="2" fillId="0" borderId="9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9" xfId="0" applyBorder="1"/>
    <xf numFmtId="0" fontId="0" fillId="0" borderId="4" xfId="0" applyBorder="1" applyAlignment="1">
      <alignment horizontal="center" vertical="center"/>
    </xf>
    <xf numFmtId="2" fontId="2" fillId="0" borderId="0" xfId="0" applyNumberFormat="1" applyFont="1"/>
    <xf numFmtId="0" fontId="0" fillId="0" borderId="0" xfId="0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4" xfId="0" applyBorder="1" applyAlignment="1">
      <alignment horizontal="center"/>
    </xf>
    <xf numFmtId="14" fontId="0" fillId="0" borderId="4" xfId="0" applyNumberFormat="1" applyBorder="1"/>
    <xf numFmtId="0" fontId="2" fillId="0" borderId="3" xfId="0" applyFont="1" applyBorder="1"/>
    <xf numFmtId="0" fontId="2" fillId="0" borderId="8" xfId="0" applyFont="1" applyBorder="1"/>
    <xf numFmtId="0" fontId="0" fillId="0" borderId="6" xfId="0" applyBorder="1" applyAlignment="1">
      <alignment horizontal="center"/>
    </xf>
    <xf numFmtId="14" fontId="0" fillId="0" borderId="6" xfId="0" applyNumberFormat="1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0" borderId="1" xfId="0" applyFont="1" applyBorder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left" vertical="center"/>
    </xf>
    <xf numFmtId="0" fontId="2" fillId="0" borderId="7" xfId="0" applyFont="1" applyBorder="1"/>
    <xf numFmtId="0" fontId="2" fillId="0" borderId="5" xfId="0" applyFont="1" applyBorder="1"/>
    <xf numFmtId="0" fontId="2" fillId="0" borderId="6" xfId="0" applyFont="1" applyBorder="1" applyAlignment="1">
      <alignment horizontal="center"/>
    </xf>
    <xf numFmtId="0" fontId="2" fillId="0" borderId="9" xfId="0" applyFont="1" applyBorder="1" applyAlignment="1">
      <alignment horizontal="left"/>
    </xf>
    <xf numFmtId="0" fontId="2" fillId="0" borderId="3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2" fontId="2" fillId="0" borderId="9" xfId="0" applyNumberFormat="1" applyFont="1" applyBorder="1"/>
    <xf numFmtId="1" fontId="0" fillId="0" borderId="4" xfId="0" applyNumberForma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5" fillId="0" borderId="8" xfId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2" fontId="5" fillId="0" borderId="9" xfId="1" applyNumberFormat="1" applyFont="1" applyBorder="1" applyAlignment="1">
      <alignment horizontal="center" vertical="center"/>
    </xf>
    <xf numFmtId="0" fontId="5" fillId="0" borderId="3" xfId="1" applyFont="1" applyBorder="1" applyAlignment="1">
      <alignment horizontal="center"/>
    </xf>
    <xf numFmtId="0" fontId="5" fillId="0" borderId="4" xfId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" fillId="2" borderId="21" xfId="0" applyFont="1" applyFill="1" applyBorder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2" fillId="2" borderId="23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1" fontId="2" fillId="0" borderId="10" xfId="0" applyNumberFormat="1" applyFont="1" applyBorder="1" applyAlignment="1">
      <alignment horizontal="left" vertical="center"/>
    </xf>
    <xf numFmtId="1" fontId="2" fillId="0" borderId="28" xfId="0" applyNumberFormat="1" applyFont="1" applyBorder="1" applyAlignment="1">
      <alignment horizontal="left" vertical="center"/>
    </xf>
    <xf numFmtId="0" fontId="2" fillId="0" borderId="11" xfId="0" applyFont="1" applyBorder="1" applyAlignment="1">
      <alignment horizontal="left" vertical="center"/>
    </xf>
    <xf numFmtId="0" fontId="2" fillId="0" borderId="29" xfId="0" applyFont="1" applyBorder="1" applyAlignment="1">
      <alignment horizontal="left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/>
    </xf>
    <xf numFmtId="0" fontId="2" fillId="2" borderId="26" xfId="0" applyFont="1" applyFill="1" applyBorder="1" applyAlignment="1">
      <alignment horizontal="center"/>
    </xf>
    <xf numFmtId="0" fontId="2" fillId="2" borderId="27" xfId="0" applyFont="1" applyFill="1" applyBorder="1" applyAlignment="1">
      <alignment horizontal="center"/>
    </xf>
  </cellXfs>
  <cellStyles count="2">
    <cellStyle name="Normal" xfId="0" builtinId="0"/>
    <cellStyle name="Total" xfId="1" builtinId="2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</xdr:colOff>
      <xdr:row>0</xdr:row>
      <xdr:rowOff>78740</xdr:rowOff>
    </xdr:from>
    <xdr:to>
      <xdr:col>2</xdr:col>
      <xdr:colOff>554261</xdr:colOff>
      <xdr:row>4</xdr:row>
      <xdr:rowOff>14780</xdr:rowOff>
    </xdr:to>
    <xdr:pic>
      <xdr:nvPicPr>
        <xdr:cNvPr id="2" name="Imagen 1" descr="Imagen relacionada">
          <a:extLst>
            <a:ext uri="{FF2B5EF4-FFF2-40B4-BE49-F238E27FC236}">
              <a16:creationId xmlns:a16="http://schemas.microsoft.com/office/drawing/2014/main" id="{CDD5EBA9-E937-4CD4-B53A-BD7A2A699705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926" t="27858" r="21288" b="20523"/>
        <a:stretch/>
      </xdr:blipFill>
      <xdr:spPr bwMode="auto">
        <a:xfrm>
          <a:off x="30480" y="78740"/>
          <a:ext cx="2414618" cy="6675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8384E-41F9-44FE-9912-6AC0D7358934}">
  <sheetPr codeName="Hoja1">
    <pageSetUpPr fitToPage="1"/>
  </sheetPr>
  <dimension ref="A1:J386"/>
  <sheetViews>
    <sheetView showGridLines="0" tabSelected="1" zoomScale="130" zoomScaleNormal="130" workbookViewId="0">
      <selection activeCell="C1" sqref="C1:H4"/>
    </sheetView>
  </sheetViews>
  <sheetFormatPr baseColWidth="10" defaultRowHeight="14.4" x14ac:dyDescent="0.3"/>
  <cols>
    <col min="1" max="1" width="4.44140625" customWidth="1"/>
    <col min="2" max="2" width="22.44140625" style="13" customWidth="1"/>
    <col min="3" max="3" width="14.77734375" style="22" customWidth="1"/>
    <col min="4" max="4" width="45.6640625" customWidth="1"/>
    <col min="5" max="5" width="12.109375" customWidth="1"/>
    <col min="6" max="6" width="19.44140625" customWidth="1"/>
    <col min="7" max="7" width="12.77734375" customWidth="1"/>
    <col min="8" max="8" width="13.21875" customWidth="1"/>
  </cols>
  <sheetData>
    <row r="1" spans="1:8" ht="15.6" x14ac:dyDescent="0.3">
      <c r="A1" s="1"/>
      <c r="B1" s="1"/>
      <c r="C1" s="74" t="s">
        <v>0</v>
      </c>
      <c r="D1" s="74"/>
      <c r="E1" s="74"/>
      <c r="F1" s="74"/>
      <c r="G1" s="74"/>
      <c r="H1" s="74"/>
    </row>
    <row r="2" spans="1:8" ht="15.6" x14ac:dyDescent="0.3">
      <c r="A2" s="1"/>
      <c r="B2" s="1"/>
      <c r="C2" s="74" t="s">
        <v>1</v>
      </c>
      <c r="D2" s="74"/>
      <c r="E2" s="74"/>
      <c r="F2" s="74"/>
      <c r="G2" s="74"/>
      <c r="H2" s="74"/>
    </row>
    <row r="3" spans="1:8" ht="15.6" x14ac:dyDescent="0.3">
      <c r="A3" s="1"/>
      <c r="B3" s="1"/>
      <c r="C3" s="74" t="s">
        <v>2</v>
      </c>
      <c r="D3" s="74"/>
      <c r="E3" s="74"/>
      <c r="F3" s="74"/>
      <c r="G3" s="74"/>
      <c r="H3" s="74"/>
    </row>
    <row r="4" spans="1:8" ht="15.6" x14ac:dyDescent="0.3">
      <c r="A4" s="1"/>
      <c r="B4" s="1"/>
      <c r="C4" s="74" t="s">
        <v>161</v>
      </c>
      <c r="D4" s="74"/>
      <c r="E4" s="74"/>
      <c r="F4" s="74"/>
      <c r="G4" s="74"/>
      <c r="H4" s="74"/>
    </row>
    <row r="5" spans="1:8" ht="15" thickBot="1" x14ac:dyDescent="0.35"/>
    <row r="6" spans="1:8" ht="15" thickBot="1" x14ac:dyDescent="0.35">
      <c r="A6" s="51" t="s">
        <v>164</v>
      </c>
      <c r="B6" s="52"/>
      <c r="C6" s="52"/>
      <c r="D6" s="52"/>
      <c r="E6" s="52"/>
      <c r="F6" s="52"/>
      <c r="G6" s="52"/>
      <c r="H6" s="53"/>
    </row>
    <row r="7" spans="1:8" ht="15" thickBot="1" x14ac:dyDescent="0.35"/>
    <row r="8" spans="1:8" x14ac:dyDescent="0.3">
      <c r="A8" s="25" t="s">
        <v>3</v>
      </c>
      <c r="B8" s="26"/>
      <c r="C8" s="27" t="s">
        <v>5</v>
      </c>
      <c r="D8" s="28"/>
      <c r="F8" s="54" t="s">
        <v>163</v>
      </c>
      <c r="G8" s="55"/>
    </row>
    <row r="9" spans="1:8" ht="15" thickBot="1" x14ac:dyDescent="0.35">
      <c r="A9" s="17" t="s">
        <v>4</v>
      </c>
      <c r="B9" s="14"/>
      <c r="C9" s="56">
        <v>2733955050909</v>
      </c>
      <c r="D9" s="57"/>
      <c r="F9" s="29" t="s">
        <v>6</v>
      </c>
      <c r="G9" s="31">
        <v>2012</v>
      </c>
    </row>
    <row r="10" spans="1:8" ht="15" thickBot="1" x14ac:dyDescent="0.35">
      <c r="A10" s="29" t="s">
        <v>162</v>
      </c>
      <c r="B10" s="30"/>
      <c r="C10" s="58">
        <v>201230088</v>
      </c>
      <c r="D10" s="59"/>
      <c r="E10" s="2"/>
      <c r="F10" s="2"/>
    </row>
    <row r="11" spans="1:8" ht="15" thickBot="1" x14ac:dyDescent="0.35"/>
    <row r="12" spans="1:8" x14ac:dyDescent="0.3">
      <c r="A12" s="69" t="s">
        <v>7</v>
      </c>
      <c r="B12" s="70"/>
      <c r="C12" s="70"/>
      <c r="D12" s="70"/>
      <c r="E12" s="70"/>
      <c r="F12" s="70"/>
      <c r="G12" s="70"/>
      <c r="H12" s="71"/>
    </row>
    <row r="13" spans="1:8" s="22" customFormat="1" x14ac:dyDescent="0.3">
      <c r="A13" s="32" t="s">
        <v>8</v>
      </c>
      <c r="B13" s="23" t="s">
        <v>9</v>
      </c>
      <c r="C13" s="23" t="s">
        <v>10</v>
      </c>
      <c r="D13" s="23" t="s">
        <v>11</v>
      </c>
      <c r="E13" s="23" t="s">
        <v>12</v>
      </c>
      <c r="F13" s="23" t="s">
        <v>13</v>
      </c>
      <c r="G13" s="23" t="s">
        <v>14</v>
      </c>
      <c r="H13" s="33" t="s">
        <v>15</v>
      </c>
    </row>
    <row r="14" spans="1:8" x14ac:dyDescent="0.3">
      <c r="A14" s="6">
        <v>1</v>
      </c>
      <c r="B14" s="15" t="s">
        <v>37</v>
      </c>
      <c r="C14" s="11">
        <v>2666</v>
      </c>
      <c r="D14" s="7" t="s">
        <v>19</v>
      </c>
      <c r="E14" s="7">
        <v>72</v>
      </c>
      <c r="F14" s="16">
        <v>42863</v>
      </c>
      <c r="G14" s="7">
        <v>1</v>
      </c>
      <c r="H14" s="4" t="s">
        <v>21</v>
      </c>
    </row>
    <row r="15" spans="1:8" x14ac:dyDescent="0.3">
      <c r="A15" s="6">
        <v>2</v>
      </c>
      <c r="B15" s="15" t="s">
        <v>37</v>
      </c>
      <c r="C15" s="11">
        <v>216</v>
      </c>
      <c r="D15" s="7" t="s">
        <v>20</v>
      </c>
      <c r="E15" s="7">
        <v>64</v>
      </c>
      <c r="F15" s="16">
        <v>42866</v>
      </c>
      <c r="G15" s="7">
        <v>3</v>
      </c>
      <c r="H15" s="4" t="s">
        <v>21</v>
      </c>
    </row>
    <row r="16" spans="1:8" x14ac:dyDescent="0.3">
      <c r="A16" s="6">
        <v>3</v>
      </c>
      <c r="B16" s="15" t="s">
        <v>37</v>
      </c>
      <c r="C16" s="11">
        <v>119</v>
      </c>
      <c r="D16" s="7" t="s">
        <v>18</v>
      </c>
      <c r="E16" s="7">
        <v>63</v>
      </c>
      <c r="F16" s="16">
        <v>42867</v>
      </c>
      <c r="G16" s="7">
        <v>3</v>
      </c>
      <c r="H16" s="4" t="s">
        <v>21</v>
      </c>
    </row>
    <row r="17" spans="1:10" x14ac:dyDescent="0.3">
      <c r="A17" s="6">
        <v>4</v>
      </c>
      <c r="B17" s="15" t="s">
        <v>37</v>
      </c>
      <c r="C17" s="11">
        <v>177</v>
      </c>
      <c r="D17" s="7" t="s">
        <v>16</v>
      </c>
      <c r="E17" s="7">
        <v>75</v>
      </c>
      <c r="F17" s="16">
        <v>42867</v>
      </c>
      <c r="G17" s="7">
        <v>1</v>
      </c>
      <c r="H17" s="4" t="s">
        <v>22</v>
      </c>
      <c r="I17" t="s">
        <v>38</v>
      </c>
    </row>
    <row r="18" spans="1:10" ht="15" thickBot="1" x14ac:dyDescent="0.35">
      <c r="A18" s="8">
        <v>5</v>
      </c>
      <c r="B18" s="19" t="s">
        <v>37</v>
      </c>
      <c r="C18" s="24">
        <v>28</v>
      </c>
      <c r="D18" s="9" t="s">
        <v>17</v>
      </c>
      <c r="E18" s="9">
        <v>69</v>
      </c>
      <c r="F18" s="20">
        <v>42881</v>
      </c>
      <c r="G18" s="9">
        <v>4</v>
      </c>
      <c r="H18" s="10" t="s">
        <v>21</v>
      </c>
      <c r="I18">
        <f>SUM(E14:E18)</f>
        <v>343</v>
      </c>
    </row>
    <row r="19" spans="1:10" ht="15" thickBot="1" x14ac:dyDescent="0.35"/>
    <row r="20" spans="1:10" ht="15.6" x14ac:dyDescent="0.3">
      <c r="B20" s="72" t="s">
        <v>23</v>
      </c>
      <c r="C20" s="73"/>
      <c r="D20" s="73"/>
      <c r="E20" s="3">
        <f>SUMIF(H14:H18,"*OBLIGATORIO*",G14:G18)</f>
        <v>11</v>
      </c>
      <c r="I20">
        <f>E20</f>
        <v>11</v>
      </c>
      <c r="J20">
        <f>I20</f>
        <v>11</v>
      </c>
    </row>
    <row r="21" spans="1:10" ht="15.6" x14ac:dyDescent="0.3">
      <c r="B21" s="60" t="s">
        <v>24</v>
      </c>
      <c r="C21" s="61"/>
      <c r="D21" s="61"/>
      <c r="E21" s="4">
        <f>SUMIF(H14:H18,"*OPTATIVO*",G14:G18)</f>
        <v>1</v>
      </c>
      <c r="I21">
        <f>E21</f>
        <v>1</v>
      </c>
      <c r="J21">
        <f>I21</f>
        <v>1</v>
      </c>
    </row>
    <row r="22" spans="1:10" ht="15.6" x14ac:dyDescent="0.3">
      <c r="B22" s="62" t="s">
        <v>25</v>
      </c>
      <c r="C22" s="63"/>
      <c r="D22" s="63"/>
      <c r="E22" s="18">
        <f>SUM(E20:E21)</f>
        <v>12</v>
      </c>
    </row>
    <row r="23" spans="1:10" ht="15.6" x14ac:dyDescent="0.3">
      <c r="B23" s="60" t="s">
        <v>26</v>
      </c>
      <c r="C23" s="61"/>
      <c r="D23" s="61"/>
      <c r="E23" s="4">
        <f>E20</f>
        <v>11</v>
      </c>
    </row>
    <row r="24" spans="1:10" ht="15.6" x14ac:dyDescent="0.3">
      <c r="B24" s="60" t="s">
        <v>27</v>
      </c>
      <c r="C24" s="61"/>
      <c r="D24" s="61"/>
      <c r="E24" s="4">
        <f>E21</f>
        <v>1</v>
      </c>
    </row>
    <row r="25" spans="1:10" ht="15.6" x14ac:dyDescent="0.3">
      <c r="B25" s="62" t="s">
        <v>28</v>
      </c>
      <c r="C25" s="63"/>
      <c r="D25" s="63"/>
      <c r="E25" s="18">
        <f>SUM(E23:E24)</f>
        <v>12</v>
      </c>
    </row>
    <row r="26" spans="1:10" ht="15.6" x14ac:dyDescent="0.3">
      <c r="B26" s="60" t="s">
        <v>29</v>
      </c>
      <c r="C26" s="61"/>
      <c r="D26" s="61"/>
      <c r="E26" s="4">
        <f>COUNT(E14:E18)</f>
        <v>5</v>
      </c>
    </row>
    <row r="27" spans="1:10" ht="15.6" x14ac:dyDescent="0.3">
      <c r="B27" s="62" t="s">
        <v>30</v>
      </c>
      <c r="C27" s="63"/>
      <c r="D27" s="63"/>
      <c r="E27" s="18">
        <f>E26</f>
        <v>5</v>
      </c>
    </row>
    <row r="28" spans="1:10" ht="16.2" thickBot="1" x14ac:dyDescent="0.35">
      <c r="B28" s="64" t="s">
        <v>33</v>
      </c>
      <c r="C28" s="65"/>
      <c r="D28" s="65"/>
      <c r="E28" s="34">
        <f>I18/E27</f>
        <v>68.599999999999994</v>
      </c>
    </row>
    <row r="30" spans="1:10" ht="15" thickBot="1" x14ac:dyDescent="0.35"/>
    <row r="31" spans="1:10" x14ac:dyDescent="0.3">
      <c r="A31" s="69" t="s">
        <v>32</v>
      </c>
      <c r="B31" s="70"/>
      <c r="C31" s="70"/>
      <c r="D31" s="70"/>
      <c r="E31" s="70"/>
      <c r="F31" s="70"/>
      <c r="G31" s="70"/>
      <c r="H31" s="71"/>
    </row>
    <row r="32" spans="1:10" s="21" customFormat="1" x14ac:dyDescent="0.3">
      <c r="A32" s="32" t="s">
        <v>8</v>
      </c>
      <c r="B32" s="23" t="s">
        <v>9</v>
      </c>
      <c r="C32" s="23" t="s">
        <v>10</v>
      </c>
      <c r="D32" s="23" t="s">
        <v>11</v>
      </c>
      <c r="E32" s="23" t="s">
        <v>12</v>
      </c>
      <c r="F32" s="23" t="s">
        <v>13</v>
      </c>
      <c r="G32" s="23" t="s">
        <v>14</v>
      </c>
      <c r="H32" s="33" t="s">
        <v>15</v>
      </c>
    </row>
    <row r="33" spans="1:10" x14ac:dyDescent="0.3">
      <c r="A33" s="6">
        <v>6</v>
      </c>
      <c r="B33" s="15">
        <v>28</v>
      </c>
      <c r="C33" s="11">
        <v>29</v>
      </c>
      <c r="D33" s="7" t="s">
        <v>31</v>
      </c>
      <c r="E33" s="7">
        <v>63</v>
      </c>
      <c r="F33" s="16">
        <v>43059</v>
      </c>
      <c r="G33" s="7">
        <v>4</v>
      </c>
      <c r="H33" s="4" t="s">
        <v>21</v>
      </c>
    </row>
    <row r="34" spans="1:10" x14ac:dyDescent="0.3">
      <c r="A34" s="6">
        <v>7</v>
      </c>
      <c r="B34" s="15" t="s">
        <v>37</v>
      </c>
      <c r="C34" s="11">
        <v>2667</v>
      </c>
      <c r="D34" s="7" t="s">
        <v>35</v>
      </c>
      <c r="E34" s="7">
        <v>61</v>
      </c>
      <c r="F34" s="16">
        <v>43116</v>
      </c>
      <c r="G34" s="7">
        <v>3</v>
      </c>
      <c r="H34" s="4" t="s">
        <v>21</v>
      </c>
      <c r="I34" t="s">
        <v>39</v>
      </c>
      <c r="J34" t="s">
        <v>40</v>
      </c>
    </row>
    <row r="35" spans="1:10" ht="15" thickBot="1" x14ac:dyDescent="0.35">
      <c r="A35" s="8">
        <v>8</v>
      </c>
      <c r="B35" s="19" t="s">
        <v>37</v>
      </c>
      <c r="C35" s="24">
        <v>169</v>
      </c>
      <c r="D35" s="9" t="s">
        <v>36</v>
      </c>
      <c r="E35" s="9">
        <v>61</v>
      </c>
      <c r="F35" s="20">
        <v>43118</v>
      </c>
      <c r="G35" s="9">
        <v>7</v>
      </c>
      <c r="H35" s="10" t="s">
        <v>21</v>
      </c>
      <c r="I35">
        <f>SUM(E33:E35)</f>
        <v>185</v>
      </c>
      <c r="J35">
        <f>I35+I18</f>
        <v>528</v>
      </c>
    </row>
    <row r="36" spans="1:10" ht="15" thickBot="1" x14ac:dyDescent="0.35"/>
    <row r="37" spans="1:10" ht="15.6" x14ac:dyDescent="0.3">
      <c r="B37" s="72" t="s">
        <v>23</v>
      </c>
      <c r="C37" s="73"/>
      <c r="D37" s="73"/>
      <c r="E37" s="3">
        <f>SUMIF(H33:H35,"*OBLIGATORIO*",G33:G35)</f>
        <v>14</v>
      </c>
      <c r="I37">
        <f>E37</f>
        <v>14</v>
      </c>
      <c r="J37">
        <f>I37+J20</f>
        <v>25</v>
      </c>
    </row>
    <row r="38" spans="1:10" ht="15.6" x14ac:dyDescent="0.3">
      <c r="B38" s="60" t="s">
        <v>24</v>
      </c>
      <c r="C38" s="61"/>
      <c r="D38" s="61"/>
      <c r="E38" s="4">
        <f>SUMIF(H33:H35,"*OPTATIVO*",G33:G35)</f>
        <v>0</v>
      </c>
      <c r="I38">
        <f>E38</f>
        <v>0</v>
      </c>
      <c r="J38">
        <f>I38+J21</f>
        <v>1</v>
      </c>
    </row>
    <row r="39" spans="1:10" ht="15.6" x14ac:dyDescent="0.3">
      <c r="B39" s="62" t="s">
        <v>25</v>
      </c>
      <c r="C39" s="63"/>
      <c r="D39" s="63"/>
      <c r="E39" s="18">
        <f>SUM(E37:E38)</f>
        <v>14</v>
      </c>
    </row>
    <row r="40" spans="1:10" ht="15.6" x14ac:dyDescent="0.3">
      <c r="B40" s="60" t="s">
        <v>26</v>
      </c>
      <c r="C40" s="61"/>
      <c r="D40" s="61"/>
      <c r="E40" s="4">
        <f>E37+E23</f>
        <v>25</v>
      </c>
    </row>
    <row r="41" spans="1:10" ht="15.6" x14ac:dyDescent="0.3">
      <c r="B41" s="60" t="s">
        <v>27</v>
      </c>
      <c r="C41" s="61"/>
      <c r="D41" s="61"/>
      <c r="E41" s="4">
        <f>E38+E24</f>
        <v>1</v>
      </c>
    </row>
    <row r="42" spans="1:10" ht="15.6" x14ac:dyDescent="0.3">
      <c r="B42" s="62" t="s">
        <v>28</v>
      </c>
      <c r="C42" s="63"/>
      <c r="D42" s="63"/>
      <c r="E42" s="18">
        <f>SUM(E40:E41)</f>
        <v>26</v>
      </c>
    </row>
    <row r="43" spans="1:10" ht="15.6" x14ac:dyDescent="0.3">
      <c r="B43" s="60" t="s">
        <v>29</v>
      </c>
      <c r="C43" s="61"/>
      <c r="D43" s="61"/>
      <c r="E43" s="4">
        <f>COUNT(E33:E35)</f>
        <v>3</v>
      </c>
    </row>
    <row r="44" spans="1:10" ht="15.6" x14ac:dyDescent="0.3">
      <c r="B44" s="62" t="s">
        <v>30</v>
      </c>
      <c r="C44" s="63"/>
      <c r="D44" s="63"/>
      <c r="E44" s="18">
        <f>E43+E27</f>
        <v>8</v>
      </c>
    </row>
    <row r="45" spans="1:10" ht="16.2" thickBot="1" x14ac:dyDescent="0.35">
      <c r="B45" s="64" t="s">
        <v>34</v>
      </c>
      <c r="C45" s="65"/>
      <c r="D45" s="65"/>
      <c r="E45" s="34">
        <f>J35/E44</f>
        <v>66</v>
      </c>
    </row>
    <row r="47" spans="1:10" ht="15" thickBot="1" x14ac:dyDescent="0.35"/>
    <row r="48" spans="1:10" x14ac:dyDescent="0.3">
      <c r="A48" s="69" t="s">
        <v>41</v>
      </c>
      <c r="B48" s="70"/>
      <c r="C48" s="70"/>
      <c r="D48" s="70"/>
      <c r="E48" s="70"/>
      <c r="F48" s="70"/>
      <c r="G48" s="70"/>
      <c r="H48" s="71"/>
    </row>
    <row r="49" spans="1:10" s="21" customFormat="1" x14ac:dyDescent="0.3">
      <c r="A49" s="32" t="s">
        <v>8</v>
      </c>
      <c r="B49" s="23" t="s">
        <v>9</v>
      </c>
      <c r="C49" s="23" t="s">
        <v>10</v>
      </c>
      <c r="D49" s="23" t="s">
        <v>11</v>
      </c>
      <c r="E49" s="23" t="s">
        <v>12</v>
      </c>
      <c r="F49" s="23" t="s">
        <v>13</v>
      </c>
      <c r="G49" s="23" t="s">
        <v>14</v>
      </c>
      <c r="H49" s="33" t="s">
        <v>15</v>
      </c>
    </row>
    <row r="50" spans="1:10" x14ac:dyDescent="0.3">
      <c r="A50" s="6">
        <v>9</v>
      </c>
      <c r="B50" s="15">
        <v>169</v>
      </c>
      <c r="C50" s="11">
        <v>72</v>
      </c>
      <c r="D50" s="7" t="s">
        <v>42</v>
      </c>
      <c r="E50" s="7">
        <v>82</v>
      </c>
      <c r="F50" s="16">
        <v>43229</v>
      </c>
      <c r="G50" s="7">
        <v>5</v>
      </c>
      <c r="H50" s="4" t="s">
        <v>21</v>
      </c>
      <c r="I50" t="s">
        <v>39</v>
      </c>
      <c r="J50" t="s">
        <v>40</v>
      </c>
    </row>
    <row r="51" spans="1:10" ht="15" thickBot="1" x14ac:dyDescent="0.35">
      <c r="A51" s="8">
        <v>10</v>
      </c>
      <c r="B51" s="19">
        <v>169</v>
      </c>
      <c r="C51" s="24">
        <v>170</v>
      </c>
      <c r="D51" s="9" t="s">
        <v>43</v>
      </c>
      <c r="E51" s="9">
        <v>61</v>
      </c>
      <c r="F51" s="20">
        <v>43294</v>
      </c>
      <c r="G51" s="9">
        <v>7</v>
      </c>
      <c r="H51" s="10" t="s">
        <v>21</v>
      </c>
      <c r="I51">
        <f>SUM(E50:E51)</f>
        <v>143</v>
      </c>
      <c r="J51">
        <f>I51+J35</f>
        <v>671</v>
      </c>
    </row>
    <row r="52" spans="1:10" ht="15" thickBot="1" x14ac:dyDescent="0.35"/>
    <row r="53" spans="1:10" ht="15.6" x14ac:dyDescent="0.3">
      <c r="B53" s="72" t="s">
        <v>23</v>
      </c>
      <c r="C53" s="73"/>
      <c r="D53" s="73"/>
      <c r="E53" s="3">
        <f>SUMIF(H50:H51,"*OBLIGATORIO*",G50:G51)</f>
        <v>12</v>
      </c>
      <c r="I53">
        <f>E53</f>
        <v>12</v>
      </c>
      <c r="J53">
        <f>I53+J37</f>
        <v>37</v>
      </c>
    </row>
    <row r="54" spans="1:10" ht="15.6" x14ac:dyDescent="0.3">
      <c r="B54" s="60" t="s">
        <v>24</v>
      </c>
      <c r="C54" s="61"/>
      <c r="D54" s="61"/>
      <c r="E54" s="4">
        <f>SUMIF(H50:H51,"*OPTATIVO*",G50:G51)</f>
        <v>0</v>
      </c>
      <c r="I54">
        <f>E54</f>
        <v>0</v>
      </c>
      <c r="J54">
        <f>I54+J38</f>
        <v>1</v>
      </c>
    </row>
    <row r="55" spans="1:10" ht="15.6" x14ac:dyDescent="0.3">
      <c r="B55" s="62" t="s">
        <v>25</v>
      </c>
      <c r="C55" s="63"/>
      <c r="D55" s="63"/>
      <c r="E55" s="18">
        <f>SUM(E53:E54)</f>
        <v>12</v>
      </c>
    </row>
    <row r="56" spans="1:10" ht="15.6" x14ac:dyDescent="0.3">
      <c r="B56" s="60" t="s">
        <v>26</v>
      </c>
      <c r="C56" s="61"/>
      <c r="D56" s="61"/>
      <c r="E56" s="4">
        <f>E53+E40</f>
        <v>37</v>
      </c>
    </row>
    <row r="57" spans="1:10" ht="15.6" x14ac:dyDescent="0.3">
      <c r="B57" s="60" t="s">
        <v>27</v>
      </c>
      <c r="C57" s="61"/>
      <c r="D57" s="61"/>
      <c r="E57" s="4">
        <f>E54+E41</f>
        <v>1</v>
      </c>
    </row>
    <row r="58" spans="1:10" ht="15.6" x14ac:dyDescent="0.3">
      <c r="B58" s="62" t="s">
        <v>28</v>
      </c>
      <c r="C58" s="63"/>
      <c r="D58" s="63"/>
      <c r="E58" s="18">
        <f>SUM(E56:E57)</f>
        <v>38</v>
      </c>
    </row>
    <row r="59" spans="1:10" ht="15.6" x14ac:dyDescent="0.3">
      <c r="B59" s="60" t="s">
        <v>29</v>
      </c>
      <c r="C59" s="61"/>
      <c r="D59" s="61"/>
      <c r="E59" s="4">
        <f>COUNT(E50:E51)</f>
        <v>2</v>
      </c>
    </row>
    <row r="60" spans="1:10" ht="15.6" x14ac:dyDescent="0.3">
      <c r="B60" s="62" t="s">
        <v>30</v>
      </c>
      <c r="C60" s="63"/>
      <c r="D60" s="63"/>
      <c r="E60" s="18">
        <f>E59+E44</f>
        <v>10</v>
      </c>
    </row>
    <row r="61" spans="1:10" ht="16.2" thickBot="1" x14ac:dyDescent="0.35">
      <c r="B61" s="64" t="s">
        <v>44</v>
      </c>
      <c r="C61" s="65"/>
      <c r="D61" s="65"/>
      <c r="E61" s="34">
        <f>J51/E60</f>
        <v>67.099999999999994</v>
      </c>
    </row>
    <row r="63" spans="1:10" ht="15" thickBot="1" x14ac:dyDescent="0.35"/>
    <row r="64" spans="1:10" x14ac:dyDescent="0.3">
      <c r="A64" s="69" t="s">
        <v>45</v>
      </c>
      <c r="B64" s="70"/>
      <c r="C64" s="70"/>
      <c r="D64" s="70"/>
      <c r="E64" s="70"/>
      <c r="F64" s="70"/>
      <c r="G64" s="70"/>
      <c r="H64" s="71"/>
    </row>
    <row r="65" spans="1:10" s="21" customFormat="1" x14ac:dyDescent="0.3">
      <c r="A65" s="32" t="s">
        <v>8</v>
      </c>
      <c r="B65" s="23" t="s">
        <v>9</v>
      </c>
      <c r="C65" s="23" t="s">
        <v>10</v>
      </c>
      <c r="D65" s="23" t="s">
        <v>11</v>
      </c>
      <c r="E65" s="23" t="s">
        <v>12</v>
      </c>
      <c r="F65" s="23" t="s">
        <v>13</v>
      </c>
      <c r="G65" s="23" t="s">
        <v>14</v>
      </c>
      <c r="H65" s="33" t="s">
        <v>15</v>
      </c>
    </row>
    <row r="66" spans="1:10" x14ac:dyDescent="0.3">
      <c r="A66" s="6">
        <v>11</v>
      </c>
      <c r="B66" s="15">
        <v>177</v>
      </c>
      <c r="C66" s="11">
        <v>178</v>
      </c>
      <c r="D66" s="7" t="s">
        <v>46</v>
      </c>
      <c r="E66" s="7">
        <v>68</v>
      </c>
      <c r="F66" s="16">
        <v>43423</v>
      </c>
      <c r="G66" s="7">
        <v>1</v>
      </c>
      <c r="H66" s="4" t="s">
        <v>22</v>
      </c>
    </row>
    <row r="67" spans="1:10" x14ac:dyDescent="0.3">
      <c r="A67" s="6">
        <v>12</v>
      </c>
      <c r="B67" s="35">
        <v>29</v>
      </c>
      <c r="C67" s="11">
        <v>85</v>
      </c>
      <c r="D67" s="7" t="s">
        <v>47</v>
      </c>
      <c r="E67" s="7">
        <v>65</v>
      </c>
      <c r="F67" s="16">
        <v>43425</v>
      </c>
      <c r="G67" s="7">
        <v>2</v>
      </c>
      <c r="H67" s="4" t="s">
        <v>22</v>
      </c>
      <c r="I67" t="s">
        <v>39</v>
      </c>
      <c r="J67" t="s">
        <v>40</v>
      </c>
    </row>
    <row r="68" spans="1:10" ht="15" thickBot="1" x14ac:dyDescent="0.35">
      <c r="A68" s="8">
        <v>13</v>
      </c>
      <c r="B68" s="19" t="s">
        <v>50</v>
      </c>
      <c r="C68" s="24">
        <v>146</v>
      </c>
      <c r="D68" s="9" t="s">
        <v>49</v>
      </c>
      <c r="E68" s="9">
        <v>63</v>
      </c>
      <c r="F68" s="20">
        <v>43483</v>
      </c>
      <c r="G68" s="9">
        <v>6</v>
      </c>
      <c r="H68" s="10" t="s">
        <v>21</v>
      </c>
      <c r="I68">
        <f>SUM(E66:E68)</f>
        <v>196</v>
      </c>
      <c r="J68">
        <f>I68+J51</f>
        <v>867</v>
      </c>
    </row>
    <row r="69" spans="1:10" ht="15" thickBot="1" x14ac:dyDescent="0.35"/>
    <row r="70" spans="1:10" ht="15.6" x14ac:dyDescent="0.3">
      <c r="B70" s="72" t="s">
        <v>23</v>
      </c>
      <c r="C70" s="73"/>
      <c r="D70" s="73"/>
      <c r="E70" s="3">
        <f>SUMIF(H66:H68,"*OBLIGATORIO*",G66:G68)</f>
        <v>6</v>
      </c>
      <c r="I70">
        <f>E70</f>
        <v>6</v>
      </c>
      <c r="J70">
        <f>I70+J53</f>
        <v>43</v>
      </c>
    </row>
    <row r="71" spans="1:10" ht="15.6" x14ac:dyDescent="0.3">
      <c r="B71" s="60" t="s">
        <v>24</v>
      </c>
      <c r="C71" s="61"/>
      <c r="D71" s="61"/>
      <c r="E71" s="4">
        <f>SUMIF(H66:H68,"*OPTATIVO*",G66:G68)</f>
        <v>3</v>
      </c>
      <c r="I71">
        <f>E71</f>
        <v>3</v>
      </c>
      <c r="J71">
        <f>I71+J54</f>
        <v>4</v>
      </c>
    </row>
    <row r="72" spans="1:10" ht="15.6" x14ac:dyDescent="0.3">
      <c r="B72" s="62" t="s">
        <v>25</v>
      </c>
      <c r="C72" s="63"/>
      <c r="D72" s="63"/>
      <c r="E72" s="18">
        <f>SUM(E70:E71)</f>
        <v>9</v>
      </c>
    </row>
    <row r="73" spans="1:10" ht="15.6" x14ac:dyDescent="0.3">
      <c r="B73" s="60" t="s">
        <v>26</v>
      </c>
      <c r="C73" s="61"/>
      <c r="D73" s="61"/>
      <c r="E73" s="4">
        <f>E70+E56</f>
        <v>43</v>
      </c>
    </row>
    <row r="74" spans="1:10" ht="15.6" x14ac:dyDescent="0.3">
      <c r="B74" s="60" t="s">
        <v>27</v>
      </c>
      <c r="C74" s="61"/>
      <c r="D74" s="61"/>
      <c r="E74" s="4">
        <f>E71+E57</f>
        <v>4</v>
      </c>
    </row>
    <row r="75" spans="1:10" ht="15.6" x14ac:dyDescent="0.3">
      <c r="B75" s="62" t="s">
        <v>28</v>
      </c>
      <c r="C75" s="63"/>
      <c r="D75" s="63"/>
      <c r="E75" s="18">
        <f>SUM(E73:E74)</f>
        <v>47</v>
      </c>
    </row>
    <row r="76" spans="1:10" ht="15.6" x14ac:dyDescent="0.3">
      <c r="B76" s="60" t="s">
        <v>29</v>
      </c>
      <c r="C76" s="61"/>
      <c r="D76" s="61"/>
      <c r="E76" s="4">
        <f>COUNT(E66:E68)</f>
        <v>3</v>
      </c>
    </row>
    <row r="77" spans="1:10" ht="15.6" x14ac:dyDescent="0.3">
      <c r="B77" s="62" t="s">
        <v>30</v>
      </c>
      <c r="C77" s="63"/>
      <c r="D77" s="63"/>
      <c r="E77" s="18">
        <f>E76+E60</f>
        <v>13</v>
      </c>
    </row>
    <row r="78" spans="1:10" ht="16.2" thickBot="1" x14ac:dyDescent="0.35">
      <c r="B78" s="64" t="s">
        <v>48</v>
      </c>
      <c r="C78" s="65"/>
      <c r="D78" s="65"/>
      <c r="E78" s="34">
        <f>J68/E77</f>
        <v>66.692307692307693</v>
      </c>
    </row>
    <row r="80" spans="1:10" ht="15" thickBot="1" x14ac:dyDescent="0.35"/>
    <row r="81" spans="1:10" x14ac:dyDescent="0.3">
      <c r="A81" s="69" t="s">
        <v>52</v>
      </c>
      <c r="B81" s="70"/>
      <c r="C81" s="70"/>
      <c r="D81" s="70"/>
      <c r="E81" s="70"/>
      <c r="F81" s="70"/>
      <c r="G81" s="70"/>
      <c r="H81" s="71"/>
    </row>
    <row r="82" spans="1:10" s="21" customFormat="1" x14ac:dyDescent="0.3">
      <c r="A82" s="32" t="s">
        <v>8</v>
      </c>
      <c r="B82" s="23" t="s">
        <v>9</v>
      </c>
      <c r="C82" s="23" t="s">
        <v>10</v>
      </c>
      <c r="D82" s="23" t="s">
        <v>11</v>
      </c>
      <c r="E82" s="23" t="s">
        <v>12</v>
      </c>
      <c r="F82" s="23" t="s">
        <v>13</v>
      </c>
      <c r="G82" s="23" t="s">
        <v>14</v>
      </c>
      <c r="H82" s="33" t="s">
        <v>15</v>
      </c>
      <c r="I82" s="21" t="s">
        <v>39</v>
      </c>
      <c r="J82" s="21" t="s">
        <v>40</v>
      </c>
    </row>
    <row r="83" spans="1:10" ht="15" thickBot="1" x14ac:dyDescent="0.35">
      <c r="A83" s="8">
        <v>14</v>
      </c>
      <c r="B83" s="19">
        <v>170</v>
      </c>
      <c r="C83" s="24">
        <v>290</v>
      </c>
      <c r="D83" s="9" t="s">
        <v>51</v>
      </c>
      <c r="E83" s="9">
        <v>61</v>
      </c>
      <c r="F83" s="20">
        <v>43787</v>
      </c>
      <c r="G83" s="9">
        <v>10</v>
      </c>
      <c r="H83" s="10" t="s">
        <v>21</v>
      </c>
      <c r="I83">
        <f>SUM(E83:E83)</f>
        <v>61</v>
      </c>
      <c r="J83">
        <f>I83+J68</f>
        <v>928</v>
      </c>
    </row>
    <row r="84" spans="1:10" ht="15" thickBot="1" x14ac:dyDescent="0.35"/>
    <row r="85" spans="1:10" ht="15.6" x14ac:dyDescent="0.3">
      <c r="B85" s="72" t="s">
        <v>23</v>
      </c>
      <c r="C85" s="73"/>
      <c r="D85" s="73"/>
      <c r="E85" s="3">
        <f>SUMIF(H83:H83,"*OBLIGATORIO*",G83:G83)</f>
        <v>10</v>
      </c>
      <c r="I85">
        <f>E85</f>
        <v>10</v>
      </c>
      <c r="J85">
        <f>I85+J70</f>
        <v>53</v>
      </c>
    </row>
    <row r="86" spans="1:10" ht="15.6" x14ac:dyDescent="0.3">
      <c r="B86" s="60" t="s">
        <v>24</v>
      </c>
      <c r="C86" s="61"/>
      <c r="D86" s="61"/>
      <c r="E86" s="4">
        <f>SUMIF(H83:H83,"*OPTATIVO*",G83:G83)</f>
        <v>0</v>
      </c>
      <c r="I86">
        <f>E86</f>
        <v>0</v>
      </c>
      <c r="J86">
        <f>I86+J71</f>
        <v>4</v>
      </c>
    </row>
    <row r="87" spans="1:10" ht="15.6" x14ac:dyDescent="0.3">
      <c r="B87" s="62" t="s">
        <v>25</v>
      </c>
      <c r="C87" s="63"/>
      <c r="D87" s="63"/>
      <c r="E87" s="18">
        <f>SUM(E85:E86)</f>
        <v>10</v>
      </c>
    </row>
    <row r="88" spans="1:10" ht="15.6" x14ac:dyDescent="0.3">
      <c r="B88" s="60" t="s">
        <v>26</v>
      </c>
      <c r="C88" s="61"/>
      <c r="D88" s="61"/>
      <c r="E88" s="4">
        <f>E85+E73</f>
        <v>53</v>
      </c>
    </row>
    <row r="89" spans="1:10" ht="15.6" x14ac:dyDescent="0.3">
      <c r="B89" s="60" t="s">
        <v>27</v>
      </c>
      <c r="C89" s="61"/>
      <c r="D89" s="61"/>
      <c r="E89" s="4">
        <f>E86+E74</f>
        <v>4</v>
      </c>
    </row>
    <row r="90" spans="1:10" ht="15.6" x14ac:dyDescent="0.3">
      <c r="B90" s="62" t="s">
        <v>28</v>
      </c>
      <c r="C90" s="63"/>
      <c r="D90" s="63"/>
      <c r="E90" s="18">
        <f>SUM(E88:E89)</f>
        <v>57</v>
      </c>
    </row>
    <row r="91" spans="1:10" ht="15.6" x14ac:dyDescent="0.3">
      <c r="B91" s="60" t="s">
        <v>29</v>
      </c>
      <c r="C91" s="61"/>
      <c r="D91" s="61"/>
      <c r="E91" s="4">
        <f>COUNT(E83:E83)</f>
        <v>1</v>
      </c>
    </row>
    <row r="92" spans="1:10" ht="15.6" x14ac:dyDescent="0.3">
      <c r="B92" s="62" t="s">
        <v>30</v>
      </c>
      <c r="C92" s="63"/>
      <c r="D92" s="63"/>
      <c r="E92" s="18">
        <f>E91+E77</f>
        <v>14</v>
      </c>
    </row>
    <row r="93" spans="1:10" ht="16.2" thickBot="1" x14ac:dyDescent="0.35">
      <c r="B93" s="64" t="s">
        <v>53</v>
      </c>
      <c r="C93" s="65"/>
      <c r="D93" s="65"/>
      <c r="E93" s="34">
        <f>J83/E92</f>
        <v>66.285714285714292</v>
      </c>
    </row>
    <row r="95" spans="1:10" ht="15" thickBot="1" x14ac:dyDescent="0.35"/>
    <row r="96" spans="1:10" x14ac:dyDescent="0.3">
      <c r="A96" s="69" t="s">
        <v>54</v>
      </c>
      <c r="B96" s="70"/>
      <c r="C96" s="70"/>
      <c r="D96" s="70"/>
      <c r="E96" s="70"/>
      <c r="F96" s="70"/>
      <c r="G96" s="70"/>
      <c r="H96" s="71"/>
    </row>
    <row r="97" spans="1:10" s="21" customFormat="1" x14ac:dyDescent="0.3">
      <c r="A97" s="32" t="s">
        <v>8</v>
      </c>
      <c r="B97" s="23" t="s">
        <v>9</v>
      </c>
      <c r="C97" s="23" t="s">
        <v>10</v>
      </c>
      <c r="D97" s="23" t="s">
        <v>11</v>
      </c>
      <c r="E97" s="23" t="s">
        <v>12</v>
      </c>
      <c r="F97" s="23" t="s">
        <v>13</v>
      </c>
      <c r="G97" s="23" t="s">
        <v>14</v>
      </c>
      <c r="H97" s="33" t="s">
        <v>15</v>
      </c>
    </row>
    <row r="98" spans="1:10" x14ac:dyDescent="0.3">
      <c r="A98" s="6">
        <v>15</v>
      </c>
      <c r="B98" s="15">
        <v>290</v>
      </c>
      <c r="C98" s="11">
        <v>949</v>
      </c>
      <c r="D98" s="7" t="s">
        <v>55</v>
      </c>
      <c r="E98" s="7">
        <v>61</v>
      </c>
      <c r="F98" s="16">
        <v>43963</v>
      </c>
      <c r="G98" s="7">
        <v>5</v>
      </c>
      <c r="H98" s="4" t="s">
        <v>21</v>
      </c>
      <c r="I98" t="s">
        <v>39</v>
      </c>
      <c r="J98" t="s">
        <v>40</v>
      </c>
    </row>
    <row r="99" spans="1:10" ht="15" thickBot="1" x14ac:dyDescent="0.35">
      <c r="A99" s="8">
        <v>16</v>
      </c>
      <c r="B99" s="19">
        <v>290</v>
      </c>
      <c r="C99" s="24">
        <v>292</v>
      </c>
      <c r="D99" s="9" t="s">
        <v>56</v>
      </c>
      <c r="E99" s="9">
        <v>77</v>
      </c>
      <c r="F99" s="20">
        <v>43964</v>
      </c>
      <c r="G99" s="9">
        <v>5</v>
      </c>
      <c r="H99" s="10" t="s">
        <v>21</v>
      </c>
      <c r="I99">
        <f>SUM(E98:E99)</f>
        <v>138</v>
      </c>
      <c r="J99">
        <f>I99+J83</f>
        <v>1066</v>
      </c>
    </row>
    <row r="100" spans="1:10" ht="15" thickBot="1" x14ac:dyDescent="0.35"/>
    <row r="101" spans="1:10" ht="15.6" x14ac:dyDescent="0.3">
      <c r="B101" s="72" t="s">
        <v>23</v>
      </c>
      <c r="C101" s="73"/>
      <c r="D101" s="73"/>
      <c r="E101" s="3">
        <f>SUMIF(H98:H99,"*OBLIGATORIO*",G98:G99)</f>
        <v>10</v>
      </c>
      <c r="I101">
        <f>E101</f>
        <v>10</v>
      </c>
      <c r="J101">
        <f>I101+J85</f>
        <v>63</v>
      </c>
    </row>
    <row r="102" spans="1:10" ht="15.6" x14ac:dyDescent="0.3">
      <c r="B102" s="60" t="s">
        <v>24</v>
      </c>
      <c r="C102" s="61"/>
      <c r="D102" s="61"/>
      <c r="E102" s="4">
        <f>SUMIF(H98:H99,"*OPTATIVO*",G98:G99)</f>
        <v>0</v>
      </c>
      <c r="I102">
        <f>E102</f>
        <v>0</v>
      </c>
      <c r="J102">
        <f>I102+J86</f>
        <v>4</v>
      </c>
    </row>
    <row r="103" spans="1:10" ht="15.6" x14ac:dyDescent="0.3">
      <c r="B103" s="62" t="s">
        <v>25</v>
      </c>
      <c r="C103" s="63"/>
      <c r="D103" s="63"/>
      <c r="E103" s="18">
        <f>SUM(E101:E102)</f>
        <v>10</v>
      </c>
    </row>
    <row r="104" spans="1:10" ht="15.6" x14ac:dyDescent="0.3">
      <c r="B104" s="60" t="s">
        <v>26</v>
      </c>
      <c r="C104" s="61"/>
      <c r="D104" s="61"/>
      <c r="E104" s="4">
        <f>E101+E88</f>
        <v>63</v>
      </c>
    </row>
    <row r="105" spans="1:10" ht="15.6" x14ac:dyDescent="0.3">
      <c r="B105" s="60" t="s">
        <v>27</v>
      </c>
      <c r="C105" s="61"/>
      <c r="D105" s="61"/>
      <c r="E105" s="4">
        <f>E102+E89</f>
        <v>4</v>
      </c>
    </row>
    <row r="106" spans="1:10" ht="15.6" x14ac:dyDescent="0.3">
      <c r="B106" s="62" t="s">
        <v>28</v>
      </c>
      <c r="C106" s="63"/>
      <c r="D106" s="63"/>
      <c r="E106" s="18">
        <f>SUM(E104:E105)</f>
        <v>67</v>
      </c>
    </row>
    <row r="107" spans="1:10" ht="15.6" x14ac:dyDescent="0.3">
      <c r="B107" s="60" t="s">
        <v>29</v>
      </c>
      <c r="C107" s="61"/>
      <c r="D107" s="61"/>
      <c r="E107" s="4">
        <f>COUNT(E98:E99)</f>
        <v>2</v>
      </c>
    </row>
    <row r="108" spans="1:10" ht="15.6" x14ac:dyDescent="0.3">
      <c r="B108" s="62" t="s">
        <v>30</v>
      </c>
      <c r="C108" s="63"/>
      <c r="D108" s="63"/>
      <c r="E108" s="18">
        <f>E107+E92</f>
        <v>16</v>
      </c>
    </row>
    <row r="109" spans="1:10" ht="16.2" thickBot="1" x14ac:dyDescent="0.35">
      <c r="B109" s="64" t="s">
        <v>57</v>
      </c>
      <c r="C109" s="65"/>
      <c r="D109" s="65"/>
      <c r="E109" s="34">
        <f>J99/E108</f>
        <v>66.625</v>
      </c>
    </row>
    <row r="111" spans="1:10" ht="15" thickBot="1" x14ac:dyDescent="0.35"/>
    <row r="112" spans="1:10" x14ac:dyDescent="0.3">
      <c r="A112" s="69" t="s">
        <v>62</v>
      </c>
      <c r="B112" s="70"/>
      <c r="C112" s="70"/>
      <c r="D112" s="70"/>
      <c r="E112" s="70"/>
      <c r="F112" s="70"/>
      <c r="G112" s="70"/>
      <c r="H112" s="71"/>
    </row>
    <row r="113" spans="1:10" s="21" customFormat="1" x14ac:dyDescent="0.3">
      <c r="A113" s="32" t="s">
        <v>8</v>
      </c>
      <c r="B113" s="23" t="s">
        <v>9</v>
      </c>
      <c r="C113" s="23" t="s">
        <v>10</v>
      </c>
      <c r="D113" s="23" t="s">
        <v>11</v>
      </c>
      <c r="E113" s="23" t="s">
        <v>12</v>
      </c>
      <c r="F113" s="23" t="s">
        <v>13</v>
      </c>
      <c r="G113" s="23" t="s">
        <v>14</v>
      </c>
      <c r="H113" s="33" t="s">
        <v>15</v>
      </c>
      <c r="I113" s="21" t="s">
        <v>39</v>
      </c>
      <c r="J113" s="21" t="s">
        <v>40</v>
      </c>
    </row>
    <row r="114" spans="1:10" x14ac:dyDescent="0.3">
      <c r="A114" s="6">
        <v>17</v>
      </c>
      <c r="B114" s="11" t="s">
        <v>59</v>
      </c>
      <c r="C114" s="11">
        <v>147</v>
      </c>
      <c r="D114" s="7" t="s">
        <v>60</v>
      </c>
      <c r="E114" s="7">
        <v>79</v>
      </c>
      <c r="F114" s="16">
        <v>44011</v>
      </c>
      <c r="G114" s="7">
        <v>6</v>
      </c>
      <c r="H114" s="4" t="s">
        <v>21</v>
      </c>
    </row>
    <row r="115" spans="1:10" ht="15" thickBot="1" x14ac:dyDescent="0.35">
      <c r="A115" s="8">
        <v>18</v>
      </c>
      <c r="B115" s="24">
        <v>290</v>
      </c>
      <c r="C115" s="24">
        <v>291</v>
      </c>
      <c r="D115" s="9" t="s">
        <v>61</v>
      </c>
      <c r="E115" s="9">
        <v>61</v>
      </c>
      <c r="F115" s="20">
        <v>44011</v>
      </c>
      <c r="G115" s="9">
        <v>5</v>
      </c>
      <c r="H115" s="10" t="s">
        <v>21</v>
      </c>
      <c r="I115">
        <f>SUM(E114:E115)</f>
        <v>140</v>
      </c>
      <c r="J115">
        <f>I115+J99</f>
        <v>1206</v>
      </c>
    </row>
    <row r="116" spans="1:10" ht="15" thickBot="1" x14ac:dyDescent="0.35"/>
    <row r="117" spans="1:10" ht="15.6" x14ac:dyDescent="0.3">
      <c r="B117" s="72" t="s">
        <v>23</v>
      </c>
      <c r="C117" s="73"/>
      <c r="D117" s="73"/>
      <c r="E117" s="3">
        <f>SUMIF(H114:H115,"*OBLIGATORIO*",G114:G115)</f>
        <v>11</v>
      </c>
      <c r="I117">
        <f>E117</f>
        <v>11</v>
      </c>
      <c r="J117">
        <f>I117+J101</f>
        <v>74</v>
      </c>
    </row>
    <row r="118" spans="1:10" ht="15.6" x14ac:dyDescent="0.3">
      <c r="B118" s="60" t="s">
        <v>24</v>
      </c>
      <c r="C118" s="61"/>
      <c r="D118" s="61"/>
      <c r="E118" s="4">
        <f>SUMIF(H114:H115,"*OPTATIVO*",G114:G115)</f>
        <v>0</v>
      </c>
      <c r="I118">
        <f>E118</f>
        <v>0</v>
      </c>
      <c r="J118">
        <f>I118+J102</f>
        <v>4</v>
      </c>
    </row>
    <row r="119" spans="1:10" ht="15.6" x14ac:dyDescent="0.3">
      <c r="B119" s="62" t="s">
        <v>25</v>
      </c>
      <c r="C119" s="63"/>
      <c r="D119" s="63"/>
      <c r="E119" s="18">
        <f>SUM(E117:E118)</f>
        <v>11</v>
      </c>
    </row>
    <row r="120" spans="1:10" ht="15.6" x14ac:dyDescent="0.3">
      <c r="B120" s="60" t="s">
        <v>26</v>
      </c>
      <c r="C120" s="61"/>
      <c r="D120" s="61"/>
      <c r="E120" s="4">
        <f>E117+E104</f>
        <v>74</v>
      </c>
    </row>
    <row r="121" spans="1:10" ht="15.6" x14ac:dyDescent="0.3">
      <c r="B121" s="60" t="s">
        <v>27</v>
      </c>
      <c r="C121" s="61"/>
      <c r="D121" s="61"/>
      <c r="E121" s="4">
        <f>E118+E105</f>
        <v>4</v>
      </c>
    </row>
    <row r="122" spans="1:10" ht="15.6" x14ac:dyDescent="0.3">
      <c r="B122" s="62" t="s">
        <v>28</v>
      </c>
      <c r="C122" s="63"/>
      <c r="D122" s="63"/>
      <c r="E122" s="18">
        <f>SUM(E120:E121)</f>
        <v>78</v>
      </c>
    </row>
    <row r="123" spans="1:10" ht="15.6" x14ac:dyDescent="0.3">
      <c r="B123" s="60" t="s">
        <v>29</v>
      </c>
      <c r="C123" s="61"/>
      <c r="D123" s="61"/>
      <c r="E123" s="4">
        <f>COUNT(E114:E115)</f>
        <v>2</v>
      </c>
    </row>
    <row r="124" spans="1:10" ht="15.6" x14ac:dyDescent="0.3">
      <c r="B124" s="62" t="s">
        <v>30</v>
      </c>
      <c r="C124" s="63"/>
      <c r="D124" s="63"/>
      <c r="E124" s="18">
        <f>E123+E108</f>
        <v>18</v>
      </c>
    </row>
    <row r="125" spans="1:10" ht="16.2" thickBot="1" x14ac:dyDescent="0.35">
      <c r="B125" s="64" t="s">
        <v>58</v>
      </c>
      <c r="C125" s="65"/>
      <c r="D125" s="65"/>
      <c r="E125" s="34">
        <f>J115/E124</f>
        <v>67</v>
      </c>
    </row>
    <row r="127" spans="1:10" ht="15" thickBot="1" x14ac:dyDescent="0.35"/>
    <row r="128" spans="1:10" x14ac:dyDescent="0.3">
      <c r="A128" s="69" t="s">
        <v>63</v>
      </c>
      <c r="B128" s="70"/>
      <c r="C128" s="70"/>
      <c r="D128" s="70"/>
      <c r="E128" s="70"/>
      <c r="F128" s="70"/>
      <c r="G128" s="70"/>
      <c r="H128" s="71"/>
    </row>
    <row r="129" spans="1:10" s="21" customFormat="1" x14ac:dyDescent="0.3">
      <c r="A129" s="32" t="s">
        <v>8</v>
      </c>
      <c r="B129" s="23" t="s">
        <v>9</v>
      </c>
      <c r="C129" s="23" t="s">
        <v>10</v>
      </c>
      <c r="D129" s="23" t="s">
        <v>11</v>
      </c>
      <c r="E129" s="23" t="s">
        <v>12</v>
      </c>
      <c r="F129" s="23" t="s">
        <v>13</v>
      </c>
      <c r="G129" s="23" t="s">
        <v>14</v>
      </c>
      <c r="H129" s="33" t="s">
        <v>15</v>
      </c>
      <c r="I129" s="21" t="s">
        <v>39</v>
      </c>
      <c r="J129" s="21" t="s">
        <v>40</v>
      </c>
    </row>
    <row r="130" spans="1:10" x14ac:dyDescent="0.3">
      <c r="A130" s="6">
        <v>19</v>
      </c>
      <c r="B130" s="11" t="s">
        <v>65</v>
      </c>
      <c r="C130" s="11">
        <v>673</v>
      </c>
      <c r="D130" s="7" t="s">
        <v>66</v>
      </c>
      <c r="E130" s="7">
        <v>68</v>
      </c>
      <c r="F130" s="16">
        <v>44139</v>
      </c>
      <c r="G130" s="7">
        <v>6</v>
      </c>
      <c r="H130" s="4" t="s">
        <v>21</v>
      </c>
    </row>
    <row r="131" spans="1:10" x14ac:dyDescent="0.3">
      <c r="A131" s="6">
        <v>20</v>
      </c>
      <c r="B131" s="11" t="s">
        <v>65</v>
      </c>
      <c r="C131" s="11">
        <v>674</v>
      </c>
      <c r="D131" s="7" t="s">
        <v>67</v>
      </c>
      <c r="E131" s="7">
        <v>64</v>
      </c>
      <c r="F131" s="16">
        <v>44145</v>
      </c>
      <c r="G131" s="7">
        <v>5</v>
      </c>
      <c r="H131" s="4" t="s">
        <v>22</v>
      </c>
    </row>
    <row r="132" spans="1:10" ht="15" thickBot="1" x14ac:dyDescent="0.35">
      <c r="A132" s="8">
        <v>21</v>
      </c>
      <c r="B132" s="24" t="s">
        <v>68</v>
      </c>
      <c r="C132" s="24">
        <v>670</v>
      </c>
      <c r="D132" s="9" t="s">
        <v>69</v>
      </c>
      <c r="E132" s="9">
        <v>80</v>
      </c>
      <c r="F132" s="20">
        <v>44211</v>
      </c>
      <c r="G132" s="9">
        <v>5</v>
      </c>
      <c r="H132" s="10" t="s">
        <v>21</v>
      </c>
      <c r="I132">
        <f>SUM(E130:E132)</f>
        <v>212</v>
      </c>
      <c r="J132">
        <f>I132+J115</f>
        <v>1418</v>
      </c>
    </row>
    <row r="133" spans="1:10" ht="15" thickBot="1" x14ac:dyDescent="0.35"/>
    <row r="134" spans="1:10" ht="15.6" x14ac:dyDescent="0.3">
      <c r="B134" s="72" t="s">
        <v>23</v>
      </c>
      <c r="C134" s="73"/>
      <c r="D134" s="73"/>
      <c r="E134" s="3">
        <f>SUMIF(H130:H132,"*OBLIGATORIO*",G130:G132)</f>
        <v>11</v>
      </c>
      <c r="I134">
        <f>E134</f>
        <v>11</v>
      </c>
      <c r="J134">
        <f>I134+J117</f>
        <v>85</v>
      </c>
    </row>
    <row r="135" spans="1:10" ht="15.6" x14ac:dyDescent="0.3">
      <c r="B135" s="60" t="s">
        <v>24</v>
      </c>
      <c r="C135" s="61"/>
      <c r="D135" s="61"/>
      <c r="E135" s="4">
        <f>SUMIF(H130:H132,"*OPTATIVO*",G130:G132)</f>
        <v>5</v>
      </c>
      <c r="I135">
        <f>E135</f>
        <v>5</v>
      </c>
      <c r="J135">
        <f>I135+J118</f>
        <v>9</v>
      </c>
    </row>
    <row r="136" spans="1:10" ht="15.6" x14ac:dyDescent="0.3">
      <c r="B136" s="62" t="s">
        <v>25</v>
      </c>
      <c r="C136" s="63"/>
      <c r="D136" s="63"/>
      <c r="E136" s="18">
        <f>SUM(E134:E135)</f>
        <v>16</v>
      </c>
    </row>
    <row r="137" spans="1:10" ht="15.6" x14ac:dyDescent="0.3">
      <c r="B137" s="60" t="s">
        <v>26</v>
      </c>
      <c r="C137" s="61"/>
      <c r="D137" s="61"/>
      <c r="E137" s="4">
        <f>E134+E120</f>
        <v>85</v>
      </c>
    </row>
    <row r="138" spans="1:10" ht="15.6" x14ac:dyDescent="0.3">
      <c r="B138" s="60" t="s">
        <v>27</v>
      </c>
      <c r="C138" s="61"/>
      <c r="D138" s="61"/>
      <c r="E138" s="4">
        <f>E135+E121</f>
        <v>9</v>
      </c>
    </row>
    <row r="139" spans="1:10" ht="15.6" x14ac:dyDescent="0.3">
      <c r="B139" s="62" t="s">
        <v>28</v>
      </c>
      <c r="C139" s="63"/>
      <c r="D139" s="63"/>
      <c r="E139" s="18">
        <f>SUM(E137:E138)</f>
        <v>94</v>
      </c>
    </row>
    <row r="140" spans="1:10" ht="15.6" x14ac:dyDescent="0.3">
      <c r="B140" s="60" t="s">
        <v>29</v>
      </c>
      <c r="C140" s="61"/>
      <c r="D140" s="61"/>
      <c r="E140" s="4">
        <f>COUNT(E130:E132)</f>
        <v>3</v>
      </c>
    </row>
    <row r="141" spans="1:10" ht="15.6" x14ac:dyDescent="0.3">
      <c r="B141" s="62" t="s">
        <v>30</v>
      </c>
      <c r="C141" s="63"/>
      <c r="D141" s="63"/>
      <c r="E141" s="18">
        <f>E140+E124</f>
        <v>21</v>
      </c>
    </row>
    <row r="142" spans="1:10" ht="16.2" thickBot="1" x14ac:dyDescent="0.35">
      <c r="B142" s="64" t="s">
        <v>64</v>
      </c>
      <c r="C142" s="65"/>
      <c r="D142" s="65"/>
      <c r="E142" s="34">
        <f>J132/E141</f>
        <v>67.523809523809518</v>
      </c>
    </row>
    <row r="144" spans="1:10" ht="15" thickBot="1" x14ac:dyDescent="0.35"/>
    <row r="145" spans="1:10" x14ac:dyDescent="0.3">
      <c r="A145" s="69" t="s">
        <v>70</v>
      </c>
      <c r="B145" s="70"/>
      <c r="C145" s="70"/>
      <c r="D145" s="70"/>
      <c r="E145" s="70"/>
      <c r="F145" s="70"/>
      <c r="G145" s="70"/>
      <c r="H145" s="71"/>
    </row>
    <row r="146" spans="1:10" s="21" customFormat="1" x14ac:dyDescent="0.3">
      <c r="A146" s="32" t="s">
        <v>8</v>
      </c>
      <c r="B146" s="23" t="s">
        <v>9</v>
      </c>
      <c r="C146" s="23" t="s">
        <v>10</v>
      </c>
      <c r="D146" s="23" t="s">
        <v>11</v>
      </c>
      <c r="E146" s="23" t="s">
        <v>12</v>
      </c>
      <c r="F146" s="23" t="s">
        <v>13</v>
      </c>
      <c r="G146" s="23" t="s">
        <v>14</v>
      </c>
      <c r="H146" s="33" t="s">
        <v>15</v>
      </c>
      <c r="I146" s="21" t="s">
        <v>39</v>
      </c>
      <c r="J146" s="21" t="s">
        <v>40</v>
      </c>
    </row>
    <row r="147" spans="1:10" ht="15" thickBot="1" x14ac:dyDescent="0.35">
      <c r="A147" s="8">
        <v>22</v>
      </c>
      <c r="B147" s="24" t="s">
        <v>72</v>
      </c>
      <c r="C147" s="24">
        <v>694</v>
      </c>
      <c r="D147" s="9" t="s">
        <v>73</v>
      </c>
      <c r="E147" s="9">
        <v>70</v>
      </c>
      <c r="F147" s="20">
        <v>44504</v>
      </c>
      <c r="G147" s="9">
        <v>3</v>
      </c>
      <c r="H147" s="10" t="s">
        <v>22</v>
      </c>
      <c r="I147">
        <f>SUM(E147:E147)</f>
        <v>70</v>
      </c>
      <c r="J147">
        <f>I147+J132</f>
        <v>1488</v>
      </c>
    </row>
    <row r="148" spans="1:10" ht="15" thickBot="1" x14ac:dyDescent="0.35"/>
    <row r="149" spans="1:10" ht="15.6" x14ac:dyDescent="0.3">
      <c r="B149" s="72" t="s">
        <v>23</v>
      </c>
      <c r="C149" s="73"/>
      <c r="D149" s="73"/>
      <c r="E149" s="3">
        <f>SUMIF(H147:H147,"*OBLIGATORIO*",G147:G147)</f>
        <v>0</v>
      </c>
      <c r="I149">
        <f>E149</f>
        <v>0</v>
      </c>
      <c r="J149">
        <f>I149+J134</f>
        <v>85</v>
      </c>
    </row>
    <row r="150" spans="1:10" ht="15.6" x14ac:dyDescent="0.3">
      <c r="B150" s="60" t="s">
        <v>24</v>
      </c>
      <c r="C150" s="61"/>
      <c r="D150" s="61"/>
      <c r="E150" s="4">
        <f>SUMIF(H147:H147,"*OPTATIVO*",G147:G147)</f>
        <v>3</v>
      </c>
      <c r="I150">
        <f>E150</f>
        <v>3</v>
      </c>
      <c r="J150">
        <f>I150+J135</f>
        <v>12</v>
      </c>
    </row>
    <row r="151" spans="1:10" ht="15.6" x14ac:dyDescent="0.3">
      <c r="B151" s="62" t="s">
        <v>25</v>
      </c>
      <c r="C151" s="63"/>
      <c r="D151" s="63"/>
      <c r="E151" s="18">
        <f>SUM(E149:E150)</f>
        <v>3</v>
      </c>
    </row>
    <row r="152" spans="1:10" ht="15.6" x14ac:dyDescent="0.3">
      <c r="B152" s="60" t="s">
        <v>26</v>
      </c>
      <c r="C152" s="61"/>
      <c r="D152" s="61"/>
      <c r="E152" s="4">
        <f>E149+E137</f>
        <v>85</v>
      </c>
    </row>
    <row r="153" spans="1:10" ht="15.6" x14ac:dyDescent="0.3">
      <c r="B153" s="60" t="s">
        <v>27</v>
      </c>
      <c r="C153" s="61"/>
      <c r="D153" s="61"/>
      <c r="E153" s="4">
        <f>E150+E138</f>
        <v>12</v>
      </c>
    </row>
    <row r="154" spans="1:10" ht="15.6" x14ac:dyDescent="0.3">
      <c r="B154" s="62" t="s">
        <v>28</v>
      </c>
      <c r="C154" s="63"/>
      <c r="D154" s="63"/>
      <c r="E154" s="18">
        <f>SUM(E152:E153)</f>
        <v>97</v>
      </c>
    </row>
    <row r="155" spans="1:10" ht="15.6" x14ac:dyDescent="0.3">
      <c r="B155" s="60" t="s">
        <v>29</v>
      </c>
      <c r="C155" s="61"/>
      <c r="D155" s="61"/>
      <c r="E155" s="4">
        <f>COUNT(E147:E147)</f>
        <v>1</v>
      </c>
    </row>
    <row r="156" spans="1:10" ht="15.6" x14ac:dyDescent="0.3">
      <c r="B156" s="62" t="s">
        <v>30</v>
      </c>
      <c r="C156" s="63"/>
      <c r="D156" s="63"/>
      <c r="E156" s="18">
        <f>E155+E141</f>
        <v>22</v>
      </c>
    </row>
    <row r="157" spans="1:10" ht="16.2" thickBot="1" x14ac:dyDescent="0.35">
      <c r="B157" s="64" t="s">
        <v>71</v>
      </c>
      <c r="C157" s="65"/>
      <c r="D157" s="65"/>
      <c r="E157" s="34">
        <f>J147/E156</f>
        <v>67.63636363636364</v>
      </c>
    </row>
    <row r="159" spans="1:10" ht="15" thickBot="1" x14ac:dyDescent="0.35"/>
    <row r="160" spans="1:10" x14ac:dyDescent="0.3">
      <c r="A160" s="69" t="s">
        <v>74</v>
      </c>
      <c r="B160" s="70"/>
      <c r="C160" s="70"/>
      <c r="D160" s="70"/>
      <c r="E160" s="70"/>
      <c r="F160" s="70"/>
      <c r="G160" s="70"/>
      <c r="H160" s="71"/>
    </row>
    <row r="161" spans="1:10" s="21" customFormat="1" x14ac:dyDescent="0.3">
      <c r="A161" s="32" t="s">
        <v>8</v>
      </c>
      <c r="B161" s="23" t="s">
        <v>9</v>
      </c>
      <c r="C161" s="23" t="s">
        <v>10</v>
      </c>
      <c r="D161" s="23" t="s">
        <v>11</v>
      </c>
      <c r="E161" s="23" t="s">
        <v>12</v>
      </c>
      <c r="F161" s="23" t="s">
        <v>13</v>
      </c>
      <c r="G161" s="23" t="s">
        <v>14</v>
      </c>
      <c r="H161" s="33" t="s">
        <v>15</v>
      </c>
      <c r="I161" s="21" t="s">
        <v>39</v>
      </c>
      <c r="J161" s="21" t="s">
        <v>40</v>
      </c>
    </row>
    <row r="162" spans="1:10" ht="15" thickBot="1" x14ac:dyDescent="0.35">
      <c r="A162" s="8">
        <v>23</v>
      </c>
      <c r="B162" s="24" t="s">
        <v>72</v>
      </c>
      <c r="C162" s="24">
        <v>94</v>
      </c>
      <c r="D162" s="9" t="s">
        <v>75</v>
      </c>
      <c r="E162" s="9">
        <v>61</v>
      </c>
      <c r="F162" s="20">
        <v>44693</v>
      </c>
      <c r="G162" s="9">
        <v>3</v>
      </c>
      <c r="H162" s="10" t="s">
        <v>76</v>
      </c>
      <c r="I162">
        <f>SUM(E162:E162)</f>
        <v>61</v>
      </c>
      <c r="J162">
        <f>I162+J147</f>
        <v>1549</v>
      </c>
    </row>
    <row r="163" spans="1:10" ht="15" thickBot="1" x14ac:dyDescent="0.35"/>
    <row r="164" spans="1:10" ht="15.6" x14ac:dyDescent="0.3">
      <c r="B164" s="72" t="s">
        <v>23</v>
      </c>
      <c r="C164" s="73"/>
      <c r="D164" s="73"/>
      <c r="E164" s="3">
        <f>SUMIF(H162:H162,"*OBLIGATORIO*",G162:G162)</f>
        <v>3</v>
      </c>
      <c r="I164">
        <f>E164</f>
        <v>3</v>
      </c>
      <c r="J164">
        <f>I164+J149</f>
        <v>88</v>
      </c>
    </row>
    <row r="165" spans="1:10" ht="15.6" x14ac:dyDescent="0.3">
      <c r="B165" s="60" t="s">
        <v>24</v>
      </c>
      <c r="C165" s="61"/>
      <c r="D165" s="61"/>
      <c r="E165" s="4">
        <f>SUMIF(H162:H162,"*OPTATIVO*",G162:G162)</f>
        <v>0</v>
      </c>
      <c r="I165">
        <f>E165</f>
        <v>0</v>
      </c>
      <c r="J165">
        <f>I165+J150</f>
        <v>12</v>
      </c>
    </row>
    <row r="166" spans="1:10" ht="15.6" x14ac:dyDescent="0.3">
      <c r="B166" s="62" t="s">
        <v>25</v>
      </c>
      <c r="C166" s="63"/>
      <c r="D166" s="63"/>
      <c r="E166" s="18">
        <f>SUM(E164:E165)</f>
        <v>3</v>
      </c>
    </row>
    <row r="167" spans="1:10" ht="15.6" x14ac:dyDescent="0.3">
      <c r="B167" s="60" t="s">
        <v>26</v>
      </c>
      <c r="C167" s="61"/>
      <c r="D167" s="61"/>
      <c r="E167" s="4">
        <f>E164+E152</f>
        <v>88</v>
      </c>
    </row>
    <row r="168" spans="1:10" ht="15.6" x14ac:dyDescent="0.3">
      <c r="B168" s="60" t="s">
        <v>27</v>
      </c>
      <c r="C168" s="61"/>
      <c r="D168" s="61"/>
      <c r="E168" s="4">
        <f>E165+E153</f>
        <v>12</v>
      </c>
    </row>
    <row r="169" spans="1:10" ht="15.6" x14ac:dyDescent="0.3">
      <c r="B169" s="62" t="s">
        <v>28</v>
      </c>
      <c r="C169" s="63"/>
      <c r="D169" s="63"/>
      <c r="E169" s="18">
        <f>SUM(E167:E168)</f>
        <v>100</v>
      </c>
    </row>
    <row r="170" spans="1:10" ht="15.6" x14ac:dyDescent="0.3">
      <c r="B170" s="60" t="s">
        <v>29</v>
      </c>
      <c r="C170" s="61"/>
      <c r="D170" s="61"/>
      <c r="E170" s="4">
        <f>COUNT(E162:E162)</f>
        <v>1</v>
      </c>
    </row>
    <row r="171" spans="1:10" ht="15.6" x14ac:dyDescent="0.3">
      <c r="B171" s="62" t="s">
        <v>30</v>
      </c>
      <c r="C171" s="63"/>
      <c r="D171" s="63"/>
      <c r="E171" s="18">
        <f>E170+E156</f>
        <v>23</v>
      </c>
    </row>
    <row r="172" spans="1:10" ht="16.2" thickBot="1" x14ac:dyDescent="0.35">
      <c r="B172" s="64" t="s">
        <v>165</v>
      </c>
      <c r="C172" s="65"/>
      <c r="D172" s="65"/>
      <c r="E172" s="34">
        <f>J162/E171</f>
        <v>67.347826086956516</v>
      </c>
    </row>
    <row r="174" spans="1:10" ht="15" thickBot="1" x14ac:dyDescent="0.35"/>
    <row r="175" spans="1:10" x14ac:dyDescent="0.3">
      <c r="A175" s="69" t="s">
        <v>77</v>
      </c>
      <c r="B175" s="70"/>
      <c r="C175" s="70"/>
      <c r="D175" s="70"/>
      <c r="E175" s="70"/>
      <c r="F175" s="70"/>
      <c r="G175" s="70"/>
      <c r="H175" s="71"/>
    </row>
    <row r="176" spans="1:10" s="21" customFormat="1" x14ac:dyDescent="0.3">
      <c r="A176" s="32" t="s">
        <v>8</v>
      </c>
      <c r="B176" s="23" t="s">
        <v>9</v>
      </c>
      <c r="C176" s="23" t="s">
        <v>10</v>
      </c>
      <c r="D176" s="23" t="s">
        <v>11</v>
      </c>
      <c r="E176" s="23" t="s">
        <v>12</v>
      </c>
      <c r="F176" s="23" t="s">
        <v>13</v>
      </c>
      <c r="G176" s="23" t="s">
        <v>14</v>
      </c>
      <c r="H176" s="33" t="s">
        <v>15</v>
      </c>
      <c r="I176" s="21" t="s">
        <v>39</v>
      </c>
      <c r="J176" s="21" t="s">
        <v>40</v>
      </c>
    </row>
    <row r="177" spans="1:10" x14ac:dyDescent="0.3">
      <c r="A177" s="6">
        <v>24</v>
      </c>
      <c r="B177" s="11" t="s">
        <v>79</v>
      </c>
      <c r="C177" s="11">
        <v>87</v>
      </c>
      <c r="D177" s="7" t="s">
        <v>80</v>
      </c>
      <c r="E177" s="7">
        <v>63</v>
      </c>
      <c r="F177" s="16">
        <v>45054</v>
      </c>
      <c r="G177" s="7">
        <v>3</v>
      </c>
      <c r="H177" s="4" t="s">
        <v>76</v>
      </c>
    </row>
    <row r="178" spans="1:10" x14ac:dyDescent="0.3">
      <c r="A178" s="6">
        <v>25</v>
      </c>
      <c r="B178" s="11">
        <v>170</v>
      </c>
      <c r="C178" s="11">
        <v>2394</v>
      </c>
      <c r="D178" s="7" t="s">
        <v>81</v>
      </c>
      <c r="E178" s="7">
        <v>71</v>
      </c>
      <c r="F178" s="16">
        <v>45054</v>
      </c>
      <c r="G178" s="7">
        <v>0</v>
      </c>
      <c r="H178" s="4" t="s">
        <v>21</v>
      </c>
    </row>
    <row r="179" spans="1:10" x14ac:dyDescent="0.3">
      <c r="A179" s="6">
        <v>26</v>
      </c>
      <c r="B179" s="11" t="s">
        <v>82</v>
      </c>
      <c r="C179" s="11">
        <v>217</v>
      </c>
      <c r="D179" s="7" t="s">
        <v>83</v>
      </c>
      <c r="E179" s="7">
        <v>68</v>
      </c>
      <c r="F179" s="16">
        <v>45055</v>
      </c>
      <c r="G179" s="7">
        <v>4</v>
      </c>
      <c r="H179" s="4" t="s">
        <v>22</v>
      </c>
    </row>
    <row r="180" spans="1:10" x14ac:dyDescent="0.3">
      <c r="A180" s="6">
        <v>27</v>
      </c>
      <c r="B180" s="11" t="s">
        <v>72</v>
      </c>
      <c r="C180" s="11">
        <v>680</v>
      </c>
      <c r="D180" s="7" t="s">
        <v>84</v>
      </c>
      <c r="E180" s="7">
        <v>72</v>
      </c>
      <c r="F180" s="16">
        <v>45055</v>
      </c>
      <c r="G180" s="7">
        <v>3</v>
      </c>
      <c r="H180" s="4" t="s">
        <v>21</v>
      </c>
    </row>
    <row r="181" spans="1:10" x14ac:dyDescent="0.3">
      <c r="A181" s="6">
        <v>28</v>
      </c>
      <c r="B181" s="11">
        <v>290</v>
      </c>
      <c r="C181" s="11">
        <v>746</v>
      </c>
      <c r="D181" s="7" t="s">
        <v>85</v>
      </c>
      <c r="E181" s="7">
        <v>69</v>
      </c>
      <c r="F181" s="16">
        <v>45058</v>
      </c>
      <c r="G181" s="7">
        <v>6</v>
      </c>
      <c r="H181" s="4" t="s">
        <v>21</v>
      </c>
    </row>
    <row r="182" spans="1:10" ht="15" thickBot="1" x14ac:dyDescent="0.35">
      <c r="A182" s="8">
        <v>29</v>
      </c>
      <c r="B182" s="24" t="s">
        <v>59</v>
      </c>
      <c r="C182" s="24">
        <v>109</v>
      </c>
      <c r="D182" s="9" t="s">
        <v>86</v>
      </c>
      <c r="E182" s="9">
        <v>68</v>
      </c>
      <c r="F182" s="20">
        <v>45068</v>
      </c>
      <c r="G182" s="9">
        <v>5</v>
      </c>
      <c r="H182" s="10" t="s">
        <v>21</v>
      </c>
      <c r="I182">
        <f>SUM(E177:E182)</f>
        <v>411</v>
      </c>
      <c r="J182">
        <f>I182+J162</f>
        <v>1960</v>
      </c>
    </row>
    <row r="183" spans="1:10" ht="15" thickBot="1" x14ac:dyDescent="0.35"/>
    <row r="184" spans="1:10" ht="15.6" x14ac:dyDescent="0.3">
      <c r="B184" s="72" t="s">
        <v>23</v>
      </c>
      <c r="C184" s="73"/>
      <c r="D184" s="73"/>
      <c r="E184" s="3">
        <f>SUMIF(H177:H182,"*OBLIGATORIO*",G177:G182)</f>
        <v>17</v>
      </c>
      <c r="I184">
        <f>E184</f>
        <v>17</v>
      </c>
      <c r="J184">
        <f>I184+J164</f>
        <v>105</v>
      </c>
    </row>
    <row r="185" spans="1:10" ht="15.6" x14ac:dyDescent="0.3">
      <c r="B185" s="60" t="s">
        <v>24</v>
      </c>
      <c r="C185" s="61"/>
      <c r="D185" s="61"/>
      <c r="E185" s="4">
        <f>SUMIF(H177:H182,"*OPTATIVO*",G177:G182)</f>
        <v>4</v>
      </c>
      <c r="I185">
        <f>E185</f>
        <v>4</v>
      </c>
      <c r="J185">
        <f>I185+J165</f>
        <v>16</v>
      </c>
    </row>
    <row r="186" spans="1:10" ht="15.6" x14ac:dyDescent="0.3">
      <c r="B186" s="62" t="s">
        <v>25</v>
      </c>
      <c r="C186" s="63"/>
      <c r="D186" s="63"/>
      <c r="E186" s="18">
        <f>SUM(E184:E185)</f>
        <v>21</v>
      </c>
    </row>
    <row r="187" spans="1:10" ht="15.6" x14ac:dyDescent="0.3">
      <c r="B187" s="60" t="s">
        <v>26</v>
      </c>
      <c r="C187" s="61"/>
      <c r="D187" s="61"/>
      <c r="E187" s="4">
        <f>E184+E167</f>
        <v>105</v>
      </c>
    </row>
    <row r="188" spans="1:10" ht="15.6" x14ac:dyDescent="0.3">
      <c r="B188" s="60" t="s">
        <v>27</v>
      </c>
      <c r="C188" s="61"/>
      <c r="D188" s="61"/>
      <c r="E188" s="4">
        <f>E185+E168</f>
        <v>16</v>
      </c>
    </row>
    <row r="189" spans="1:10" ht="15.6" x14ac:dyDescent="0.3">
      <c r="B189" s="62" t="s">
        <v>28</v>
      </c>
      <c r="C189" s="63"/>
      <c r="D189" s="63"/>
      <c r="E189" s="18">
        <f>SUM(E187:E188)</f>
        <v>121</v>
      </c>
    </row>
    <row r="190" spans="1:10" ht="15.6" x14ac:dyDescent="0.3">
      <c r="B190" s="60" t="s">
        <v>29</v>
      </c>
      <c r="C190" s="61"/>
      <c r="D190" s="61"/>
      <c r="E190" s="4">
        <f>COUNT(E177:E182)</f>
        <v>6</v>
      </c>
    </row>
    <row r="191" spans="1:10" ht="15.6" x14ac:dyDescent="0.3">
      <c r="B191" s="62" t="s">
        <v>30</v>
      </c>
      <c r="C191" s="63"/>
      <c r="D191" s="63"/>
      <c r="E191" s="18">
        <f>E190+E171</f>
        <v>29</v>
      </c>
    </row>
    <row r="192" spans="1:10" ht="16.2" thickBot="1" x14ac:dyDescent="0.35">
      <c r="B192" s="64" t="s">
        <v>78</v>
      </c>
      <c r="C192" s="65"/>
      <c r="D192" s="65"/>
      <c r="E192" s="34">
        <f>J182/E191</f>
        <v>67.58620689655173</v>
      </c>
    </row>
    <row r="194" spans="1:10" ht="15" thickBot="1" x14ac:dyDescent="0.35"/>
    <row r="195" spans="1:10" x14ac:dyDescent="0.3">
      <c r="A195" s="69" t="s">
        <v>87</v>
      </c>
      <c r="B195" s="70"/>
      <c r="C195" s="70"/>
      <c r="D195" s="70"/>
      <c r="E195" s="70"/>
      <c r="F195" s="70"/>
      <c r="G195" s="70"/>
      <c r="H195" s="71"/>
    </row>
    <row r="196" spans="1:10" s="21" customFormat="1" x14ac:dyDescent="0.3">
      <c r="A196" s="32" t="s">
        <v>8</v>
      </c>
      <c r="B196" s="23" t="s">
        <v>9</v>
      </c>
      <c r="C196" s="23" t="s">
        <v>10</v>
      </c>
      <c r="D196" s="23" t="s">
        <v>11</v>
      </c>
      <c r="E196" s="23" t="s">
        <v>12</v>
      </c>
      <c r="F196" s="23" t="s">
        <v>13</v>
      </c>
      <c r="G196" s="23" t="s">
        <v>14</v>
      </c>
      <c r="H196" s="33" t="s">
        <v>15</v>
      </c>
      <c r="I196" s="21" t="s">
        <v>39</v>
      </c>
      <c r="J196" s="21" t="s">
        <v>40</v>
      </c>
    </row>
    <row r="197" spans="1:10" ht="15" thickBot="1" x14ac:dyDescent="0.35">
      <c r="A197" s="8">
        <v>30</v>
      </c>
      <c r="B197" s="24" t="s">
        <v>89</v>
      </c>
      <c r="C197" s="24">
        <v>672</v>
      </c>
      <c r="D197" s="9" t="s">
        <v>90</v>
      </c>
      <c r="E197" s="9">
        <v>81</v>
      </c>
      <c r="F197" s="20">
        <v>45106</v>
      </c>
      <c r="G197" s="9">
        <v>5</v>
      </c>
      <c r="H197" s="10" t="s">
        <v>76</v>
      </c>
      <c r="I197">
        <f>SUM(E197:E197)</f>
        <v>81</v>
      </c>
      <c r="J197">
        <f>I197+J182</f>
        <v>2041</v>
      </c>
    </row>
    <row r="198" spans="1:10" ht="15" thickBot="1" x14ac:dyDescent="0.35"/>
    <row r="199" spans="1:10" ht="15.6" x14ac:dyDescent="0.3">
      <c r="B199" s="72" t="s">
        <v>23</v>
      </c>
      <c r="C199" s="73"/>
      <c r="D199" s="73"/>
      <c r="E199" s="3">
        <f>SUMIF(H197:H197,"*OBLIGATORIO*",G197:G197)</f>
        <v>5</v>
      </c>
      <c r="I199">
        <f>E199</f>
        <v>5</v>
      </c>
      <c r="J199">
        <f>I199+J184</f>
        <v>110</v>
      </c>
    </row>
    <row r="200" spans="1:10" ht="15.6" x14ac:dyDescent="0.3">
      <c r="B200" s="60" t="s">
        <v>24</v>
      </c>
      <c r="C200" s="61"/>
      <c r="D200" s="61"/>
      <c r="E200" s="4">
        <f>SUMIF(H197:H197,"*OPTATIVO*",G197:G197)</f>
        <v>0</v>
      </c>
      <c r="I200">
        <f>E200</f>
        <v>0</v>
      </c>
      <c r="J200">
        <f>I200+J185</f>
        <v>16</v>
      </c>
    </row>
    <row r="201" spans="1:10" ht="15.6" x14ac:dyDescent="0.3">
      <c r="B201" s="62" t="s">
        <v>25</v>
      </c>
      <c r="C201" s="63"/>
      <c r="D201" s="63"/>
      <c r="E201" s="18">
        <f>SUM(E199:E200)</f>
        <v>5</v>
      </c>
    </row>
    <row r="202" spans="1:10" ht="15.6" x14ac:dyDescent="0.3">
      <c r="B202" s="60" t="s">
        <v>26</v>
      </c>
      <c r="C202" s="61"/>
      <c r="D202" s="61"/>
      <c r="E202" s="4">
        <f>E199+E187</f>
        <v>110</v>
      </c>
    </row>
    <row r="203" spans="1:10" ht="15.6" x14ac:dyDescent="0.3">
      <c r="B203" s="60" t="s">
        <v>27</v>
      </c>
      <c r="C203" s="61"/>
      <c r="D203" s="61"/>
      <c r="E203" s="4">
        <f>E200+E188</f>
        <v>16</v>
      </c>
    </row>
    <row r="204" spans="1:10" ht="15.6" x14ac:dyDescent="0.3">
      <c r="B204" s="62" t="s">
        <v>28</v>
      </c>
      <c r="C204" s="63"/>
      <c r="D204" s="63"/>
      <c r="E204" s="18">
        <f>SUM(E202:E203)</f>
        <v>126</v>
      </c>
    </row>
    <row r="205" spans="1:10" ht="15.6" x14ac:dyDescent="0.3">
      <c r="B205" s="60" t="s">
        <v>29</v>
      </c>
      <c r="C205" s="61"/>
      <c r="D205" s="61"/>
      <c r="E205" s="4">
        <f>COUNT(E197:E197)</f>
        <v>1</v>
      </c>
    </row>
    <row r="206" spans="1:10" ht="15.6" x14ac:dyDescent="0.3">
      <c r="B206" s="62" t="s">
        <v>30</v>
      </c>
      <c r="C206" s="63"/>
      <c r="D206" s="63"/>
      <c r="E206" s="18">
        <f>E205+E191</f>
        <v>30</v>
      </c>
    </row>
    <row r="207" spans="1:10" ht="16.2" thickBot="1" x14ac:dyDescent="0.35">
      <c r="B207" s="64" t="s">
        <v>88</v>
      </c>
      <c r="C207" s="65"/>
      <c r="D207" s="65"/>
      <c r="E207" s="34">
        <f>J197/E206</f>
        <v>68.033333333333331</v>
      </c>
    </row>
    <row r="209" spans="1:10" ht="15" thickBot="1" x14ac:dyDescent="0.35"/>
    <row r="210" spans="1:10" x14ac:dyDescent="0.3">
      <c r="A210" s="69" t="s">
        <v>91</v>
      </c>
      <c r="B210" s="70"/>
      <c r="C210" s="70"/>
      <c r="D210" s="70"/>
      <c r="E210" s="70"/>
      <c r="F210" s="70"/>
      <c r="G210" s="70"/>
      <c r="H210" s="71"/>
    </row>
    <row r="211" spans="1:10" s="21" customFormat="1" x14ac:dyDescent="0.3">
      <c r="A211" s="32" t="s">
        <v>8</v>
      </c>
      <c r="B211" s="23" t="s">
        <v>9</v>
      </c>
      <c r="C211" s="23" t="s">
        <v>10</v>
      </c>
      <c r="D211" s="23" t="s">
        <v>11</v>
      </c>
      <c r="E211" s="23" t="s">
        <v>12</v>
      </c>
      <c r="F211" s="23" t="s">
        <v>13</v>
      </c>
      <c r="G211" s="23" t="s">
        <v>14</v>
      </c>
      <c r="H211" s="33" t="s">
        <v>15</v>
      </c>
      <c r="I211" s="21" t="s">
        <v>39</v>
      </c>
      <c r="J211" s="21" t="s">
        <v>40</v>
      </c>
    </row>
    <row r="212" spans="1:10" x14ac:dyDescent="0.3">
      <c r="A212" s="6">
        <v>31</v>
      </c>
      <c r="B212" s="11">
        <v>949</v>
      </c>
      <c r="C212" s="11">
        <v>690</v>
      </c>
      <c r="D212" s="7" t="s">
        <v>93</v>
      </c>
      <c r="E212" s="7">
        <v>65</v>
      </c>
      <c r="F212" s="16">
        <v>45236</v>
      </c>
      <c r="G212" s="7">
        <v>5</v>
      </c>
      <c r="H212" s="4" t="s">
        <v>22</v>
      </c>
    </row>
    <row r="213" spans="1:10" x14ac:dyDescent="0.3">
      <c r="A213" s="6">
        <v>32</v>
      </c>
      <c r="B213" s="11">
        <v>119</v>
      </c>
      <c r="C213" s="11">
        <v>121</v>
      </c>
      <c r="D213" s="7" t="s">
        <v>94</v>
      </c>
      <c r="E213" s="7">
        <v>66</v>
      </c>
      <c r="F213" s="16">
        <v>45236</v>
      </c>
      <c r="G213" s="7">
        <v>3</v>
      </c>
      <c r="H213" s="4" t="s">
        <v>21</v>
      </c>
    </row>
    <row r="214" spans="1:10" x14ac:dyDescent="0.3">
      <c r="A214" s="6">
        <v>33</v>
      </c>
      <c r="B214" s="11" t="s">
        <v>89</v>
      </c>
      <c r="C214" s="11">
        <v>671</v>
      </c>
      <c r="D214" s="7" t="s">
        <v>95</v>
      </c>
      <c r="E214" s="7">
        <v>63</v>
      </c>
      <c r="F214" s="16">
        <v>45238</v>
      </c>
      <c r="G214" s="7">
        <v>6</v>
      </c>
      <c r="H214" s="4" t="s">
        <v>21</v>
      </c>
    </row>
    <row r="215" spans="1:10" x14ac:dyDescent="0.3">
      <c r="A215" s="6">
        <v>34</v>
      </c>
      <c r="B215" s="11">
        <v>672</v>
      </c>
      <c r="C215" s="11">
        <v>679</v>
      </c>
      <c r="D215" s="7" t="s">
        <v>96</v>
      </c>
      <c r="E215" s="7">
        <v>71</v>
      </c>
      <c r="F215" s="16">
        <v>45239</v>
      </c>
      <c r="G215" s="7">
        <v>6</v>
      </c>
      <c r="H215" s="4" t="s">
        <v>21</v>
      </c>
    </row>
    <row r="216" spans="1:10" x14ac:dyDescent="0.3">
      <c r="A216" s="6">
        <v>35</v>
      </c>
      <c r="B216" s="11">
        <v>672</v>
      </c>
      <c r="C216" s="11">
        <v>748</v>
      </c>
      <c r="D216" s="7" t="s">
        <v>97</v>
      </c>
      <c r="E216" s="7">
        <v>76</v>
      </c>
      <c r="F216" s="16">
        <v>45239</v>
      </c>
      <c r="G216" s="7">
        <v>5</v>
      </c>
      <c r="H216" s="4" t="s">
        <v>21</v>
      </c>
    </row>
    <row r="217" spans="1:10" x14ac:dyDescent="0.3">
      <c r="A217" s="6">
        <v>36</v>
      </c>
      <c r="B217" s="11">
        <v>680</v>
      </c>
      <c r="C217" s="11">
        <v>764</v>
      </c>
      <c r="D217" s="7" t="s">
        <v>98</v>
      </c>
      <c r="E217" s="7">
        <v>76</v>
      </c>
      <c r="F217" s="16">
        <v>45240</v>
      </c>
      <c r="G217" s="7">
        <v>3</v>
      </c>
      <c r="H217" s="4" t="s">
        <v>22</v>
      </c>
    </row>
    <row r="218" spans="1:10" x14ac:dyDescent="0.3">
      <c r="A218" s="6">
        <v>37</v>
      </c>
      <c r="B218" s="11">
        <v>672</v>
      </c>
      <c r="C218" s="11">
        <v>677</v>
      </c>
      <c r="D218" s="7" t="s">
        <v>99</v>
      </c>
      <c r="E218" s="7">
        <v>63</v>
      </c>
      <c r="F218" s="16">
        <v>45251</v>
      </c>
      <c r="G218" s="7">
        <v>5</v>
      </c>
      <c r="H218" s="4" t="s">
        <v>21</v>
      </c>
    </row>
    <row r="219" spans="1:10" ht="15" thickBot="1" x14ac:dyDescent="0.35">
      <c r="A219" s="8">
        <v>38</v>
      </c>
      <c r="B219" s="24" t="s">
        <v>100</v>
      </c>
      <c r="C219" s="24">
        <v>2585</v>
      </c>
      <c r="D219" s="9" t="s">
        <v>101</v>
      </c>
      <c r="E219" s="9">
        <v>89</v>
      </c>
      <c r="F219" s="20">
        <v>45253</v>
      </c>
      <c r="G219" s="9">
        <v>0</v>
      </c>
      <c r="H219" s="10" t="s">
        <v>21</v>
      </c>
      <c r="I219">
        <f>SUM(E212:E219)</f>
        <v>569</v>
      </c>
      <c r="J219">
        <f>I219+J197</f>
        <v>2610</v>
      </c>
    </row>
    <row r="220" spans="1:10" ht="15" thickBot="1" x14ac:dyDescent="0.35"/>
    <row r="221" spans="1:10" ht="15.6" x14ac:dyDescent="0.3">
      <c r="B221" s="72" t="s">
        <v>23</v>
      </c>
      <c r="C221" s="73"/>
      <c r="D221" s="73"/>
      <c r="E221" s="3">
        <f>SUMIF(H212:H219,"*OBLIGATORIO*",G212:G219)</f>
        <v>25</v>
      </c>
      <c r="I221">
        <f>E221</f>
        <v>25</v>
      </c>
      <c r="J221">
        <f>I221+J199</f>
        <v>135</v>
      </c>
    </row>
    <row r="222" spans="1:10" ht="15.6" x14ac:dyDescent="0.3">
      <c r="B222" s="60" t="s">
        <v>24</v>
      </c>
      <c r="C222" s="61"/>
      <c r="D222" s="61"/>
      <c r="E222" s="4">
        <f>SUMIF(H212:H219,"*OPTATIVO*",G212:G219)</f>
        <v>8</v>
      </c>
      <c r="I222">
        <f>E222</f>
        <v>8</v>
      </c>
      <c r="J222">
        <f>I222+J200</f>
        <v>24</v>
      </c>
    </row>
    <row r="223" spans="1:10" ht="15.6" x14ac:dyDescent="0.3">
      <c r="B223" s="62" t="s">
        <v>25</v>
      </c>
      <c r="C223" s="63"/>
      <c r="D223" s="63"/>
      <c r="E223" s="18">
        <f>SUM(E221:E222)</f>
        <v>33</v>
      </c>
    </row>
    <row r="224" spans="1:10" ht="15.6" x14ac:dyDescent="0.3">
      <c r="B224" s="60" t="s">
        <v>26</v>
      </c>
      <c r="C224" s="61"/>
      <c r="D224" s="61"/>
      <c r="E224" s="4">
        <f>E221+E202</f>
        <v>135</v>
      </c>
    </row>
    <row r="225" spans="1:10" ht="15.6" x14ac:dyDescent="0.3">
      <c r="B225" s="60" t="s">
        <v>27</v>
      </c>
      <c r="C225" s="61"/>
      <c r="D225" s="61"/>
      <c r="E225" s="4">
        <f>E222+E203</f>
        <v>24</v>
      </c>
    </row>
    <row r="226" spans="1:10" ht="15.6" x14ac:dyDescent="0.3">
      <c r="B226" s="62" t="s">
        <v>28</v>
      </c>
      <c r="C226" s="63"/>
      <c r="D226" s="63"/>
      <c r="E226" s="18">
        <f>SUM(E224:E225)</f>
        <v>159</v>
      </c>
    </row>
    <row r="227" spans="1:10" ht="15.6" x14ac:dyDescent="0.3">
      <c r="B227" s="60" t="s">
        <v>29</v>
      </c>
      <c r="C227" s="61"/>
      <c r="D227" s="61"/>
      <c r="E227" s="4">
        <f>COUNT(E212:E219)</f>
        <v>8</v>
      </c>
    </row>
    <row r="228" spans="1:10" ht="15.6" x14ac:dyDescent="0.3">
      <c r="B228" s="62" t="s">
        <v>30</v>
      </c>
      <c r="C228" s="63"/>
      <c r="D228" s="63"/>
      <c r="E228" s="18">
        <f>E227+E206</f>
        <v>38</v>
      </c>
    </row>
    <row r="229" spans="1:10" ht="16.2" thickBot="1" x14ac:dyDescent="0.35">
      <c r="B229" s="64" t="s">
        <v>92</v>
      </c>
      <c r="C229" s="65"/>
      <c r="D229" s="65"/>
      <c r="E229" s="34">
        <f>J219/E228</f>
        <v>68.684210526315795</v>
      </c>
    </row>
    <row r="231" spans="1:10" ht="15" thickBot="1" x14ac:dyDescent="0.35"/>
    <row r="232" spans="1:10" x14ac:dyDescent="0.3">
      <c r="A232" s="69" t="s">
        <v>102</v>
      </c>
      <c r="B232" s="70"/>
      <c r="C232" s="70"/>
      <c r="D232" s="70"/>
      <c r="E232" s="70"/>
      <c r="F232" s="70"/>
      <c r="G232" s="70"/>
      <c r="H232" s="71"/>
    </row>
    <row r="233" spans="1:10" s="21" customFormat="1" x14ac:dyDescent="0.3">
      <c r="A233" s="32" t="s">
        <v>8</v>
      </c>
      <c r="B233" s="23" t="s">
        <v>9</v>
      </c>
      <c r="C233" s="23" t="s">
        <v>10</v>
      </c>
      <c r="D233" s="23" t="s">
        <v>11</v>
      </c>
      <c r="E233" s="23" t="s">
        <v>12</v>
      </c>
      <c r="F233" s="23" t="s">
        <v>13</v>
      </c>
      <c r="G233" s="23" t="s">
        <v>14</v>
      </c>
      <c r="H233" s="33" t="s">
        <v>15</v>
      </c>
      <c r="I233" s="21" t="s">
        <v>39</v>
      </c>
      <c r="J233" s="21" t="s">
        <v>40</v>
      </c>
    </row>
    <row r="234" spans="1:10" ht="15" thickBot="1" x14ac:dyDescent="0.35">
      <c r="A234" s="8">
        <v>39</v>
      </c>
      <c r="B234" s="24">
        <v>671</v>
      </c>
      <c r="C234" s="24">
        <v>686</v>
      </c>
      <c r="D234" s="9" t="s">
        <v>104</v>
      </c>
      <c r="E234" s="9">
        <v>61</v>
      </c>
      <c r="F234" s="20">
        <v>45289</v>
      </c>
      <c r="G234" s="9">
        <v>6</v>
      </c>
      <c r="H234" s="10" t="s">
        <v>76</v>
      </c>
      <c r="I234">
        <f>SUM(E234:E234)</f>
        <v>61</v>
      </c>
      <c r="J234">
        <f>I234+J219</f>
        <v>2671</v>
      </c>
    </row>
    <row r="235" spans="1:10" ht="15" thickBot="1" x14ac:dyDescent="0.35"/>
    <row r="236" spans="1:10" ht="15.6" x14ac:dyDescent="0.3">
      <c r="B236" s="84" t="s">
        <v>23</v>
      </c>
      <c r="C236" s="85"/>
      <c r="D236" s="86"/>
      <c r="E236">
        <f>SUMIF(H234:H234,"*OBLIGATORIO*",G234:G234)</f>
        <v>6</v>
      </c>
      <c r="I236">
        <f>E236</f>
        <v>6</v>
      </c>
      <c r="J236">
        <f>I236+J221</f>
        <v>141</v>
      </c>
    </row>
    <row r="237" spans="1:10" ht="15.6" x14ac:dyDescent="0.3">
      <c r="B237" s="78" t="s">
        <v>24</v>
      </c>
      <c r="C237" s="79"/>
      <c r="D237" s="80"/>
      <c r="E237">
        <f>SUMIF(H234:H234,"*OPTATIVO*",G234:G234)</f>
        <v>0</v>
      </c>
      <c r="I237">
        <f>E237</f>
        <v>0</v>
      </c>
      <c r="J237">
        <f>I237+J222</f>
        <v>24</v>
      </c>
    </row>
    <row r="238" spans="1:10" ht="15.6" x14ac:dyDescent="0.3">
      <c r="B238" s="75" t="s">
        <v>25</v>
      </c>
      <c r="C238" s="76"/>
      <c r="D238" s="77"/>
      <c r="E238" s="2">
        <f>SUM(E236:E237)</f>
        <v>6</v>
      </c>
    </row>
    <row r="239" spans="1:10" ht="15.6" x14ac:dyDescent="0.3">
      <c r="B239" s="78" t="s">
        <v>26</v>
      </c>
      <c r="C239" s="79"/>
      <c r="D239" s="80"/>
      <c r="E239">
        <f>E236+E224</f>
        <v>141</v>
      </c>
    </row>
    <row r="240" spans="1:10" ht="15.6" x14ac:dyDescent="0.3">
      <c r="B240" s="78" t="s">
        <v>27</v>
      </c>
      <c r="C240" s="79"/>
      <c r="D240" s="80"/>
      <c r="E240">
        <f>E237+E225</f>
        <v>24</v>
      </c>
    </row>
    <row r="241" spans="1:10" ht="15.6" x14ac:dyDescent="0.3">
      <c r="B241" s="75" t="s">
        <v>28</v>
      </c>
      <c r="C241" s="76"/>
      <c r="D241" s="77"/>
      <c r="E241" s="2">
        <f>SUM(E239:E240)</f>
        <v>165</v>
      </c>
    </row>
    <row r="242" spans="1:10" ht="15.6" x14ac:dyDescent="0.3">
      <c r="B242" s="78" t="s">
        <v>29</v>
      </c>
      <c r="C242" s="79"/>
      <c r="D242" s="80"/>
      <c r="E242">
        <f>COUNT(E234:E234)</f>
        <v>1</v>
      </c>
    </row>
    <row r="243" spans="1:10" ht="15.6" x14ac:dyDescent="0.3">
      <c r="B243" s="75" t="s">
        <v>30</v>
      </c>
      <c r="C243" s="76"/>
      <c r="D243" s="77"/>
      <c r="E243" s="2">
        <f>E242+E228</f>
        <v>39</v>
      </c>
    </row>
    <row r="244" spans="1:10" ht="16.2" thickBot="1" x14ac:dyDescent="0.35">
      <c r="B244" s="81" t="s">
        <v>103</v>
      </c>
      <c r="C244" s="82"/>
      <c r="D244" s="83"/>
      <c r="E244" s="12">
        <f>J234/E243</f>
        <v>68.487179487179489</v>
      </c>
    </row>
    <row r="246" spans="1:10" ht="15" thickBot="1" x14ac:dyDescent="0.35"/>
    <row r="247" spans="1:10" x14ac:dyDescent="0.3">
      <c r="A247" s="69" t="s">
        <v>105</v>
      </c>
      <c r="B247" s="70"/>
      <c r="C247" s="70"/>
      <c r="D247" s="70"/>
      <c r="E247" s="70"/>
      <c r="F247" s="70"/>
      <c r="G247" s="70"/>
      <c r="H247" s="71"/>
    </row>
    <row r="248" spans="1:10" s="21" customFormat="1" x14ac:dyDescent="0.3">
      <c r="A248" s="32" t="s">
        <v>8</v>
      </c>
      <c r="B248" s="23" t="s">
        <v>9</v>
      </c>
      <c r="C248" s="23" t="s">
        <v>10</v>
      </c>
      <c r="D248" s="23" t="s">
        <v>11</v>
      </c>
      <c r="E248" s="23" t="s">
        <v>12</v>
      </c>
      <c r="F248" s="23" t="s">
        <v>13</v>
      </c>
      <c r="G248" s="23" t="s">
        <v>14</v>
      </c>
      <c r="H248" s="33" t="s">
        <v>15</v>
      </c>
      <c r="I248" s="21" t="s">
        <v>39</v>
      </c>
      <c r="J248" s="21" t="s">
        <v>40</v>
      </c>
    </row>
    <row r="249" spans="1:10" x14ac:dyDescent="0.3">
      <c r="A249" s="6">
        <v>40</v>
      </c>
      <c r="B249" s="11" t="s">
        <v>107</v>
      </c>
      <c r="C249" s="11">
        <v>945</v>
      </c>
      <c r="D249" s="7" t="s">
        <v>108</v>
      </c>
      <c r="E249" s="7">
        <v>88</v>
      </c>
      <c r="F249" s="16">
        <v>45418</v>
      </c>
      <c r="G249" s="7">
        <v>5</v>
      </c>
      <c r="H249" s="4" t="s">
        <v>21</v>
      </c>
    </row>
    <row r="250" spans="1:10" x14ac:dyDescent="0.3">
      <c r="A250" s="6">
        <v>41</v>
      </c>
      <c r="B250" s="11" t="s">
        <v>109</v>
      </c>
      <c r="C250" s="11">
        <v>935</v>
      </c>
      <c r="D250" s="7" t="s">
        <v>110</v>
      </c>
      <c r="E250" s="7">
        <v>83</v>
      </c>
      <c r="F250" s="16">
        <v>45419</v>
      </c>
      <c r="G250" s="7">
        <v>5</v>
      </c>
      <c r="H250" s="4" t="s">
        <v>21</v>
      </c>
    </row>
    <row r="251" spans="1:10" x14ac:dyDescent="0.3">
      <c r="A251" s="6">
        <v>42</v>
      </c>
      <c r="B251" s="11">
        <v>686</v>
      </c>
      <c r="C251" s="11">
        <v>749</v>
      </c>
      <c r="D251" s="7" t="s">
        <v>111</v>
      </c>
      <c r="E251" s="7">
        <v>87</v>
      </c>
      <c r="F251" s="16">
        <v>45422</v>
      </c>
      <c r="G251" s="7">
        <v>6</v>
      </c>
      <c r="H251" s="4" t="s">
        <v>21</v>
      </c>
    </row>
    <row r="252" spans="1:10" x14ac:dyDescent="0.3">
      <c r="A252" s="6">
        <v>43</v>
      </c>
      <c r="B252" s="11">
        <v>746</v>
      </c>
      <c r="C252" s="11">
        <v>747</v>
      </c>
      <c r="D252" s="7" t="s">
        <v>112</v>
      </c>
      <c r="E252" s="7">
        <v>82</v>
      </c>
      <c r="F252" s="16">
        <v>45436</v>
      </c>
      <c r="G252" s="7">
        <v>6</v>
      </c>
      <c r="H252" s="4" t="s">
        <v>21</v>
      </c>
    </row>
    <row r="253" spans="1:10" ht="15" thickBot="1" x14ac:dyDescent="0.35">
      <c r="A253" s="8">
        <v>44</v>
      </c>
      <c r="B253" s="24" t="s">
        <v>113</v>
      </c>
      <c r="C253" s="24">
        <v>943</v>
      </c>
      <c r="D253" s="9" t="s">
        <v>114</v>
      </c>
      <c r="E253" s="9">
        <v>68</v>
      </c>
      <c r="F253" s="20">
        <v>45436</v>
      </c>
      <c r="G253" s="9">
        <v>5</v>
      </c>
      <c r="H253" s="10" t="s">
        <v>22</v>
      </c>
      <c r="I253">
        <f>SUM(E249:E253)</f>
        <v>408</v>
      </c>
      <c r="J253">
        <f>I253+J234</f>
        <v>3079</v>
      </c>
    </row>
    <row r="254" spans="1:10" ht="15" thickBot="1" x14ac:dyDescent="0.35"/>
    <row r="255" spans="1:10" ht="15.6" x14ac:dyDescent="0.3">
      <c r="B255" s="72" t="s">
        <v>23</v>
      </c>
      <c r="C255" s="73"/>
      <c r="D255" s="73"/>
      <c r="E255" s="3">
        <f>SUMIF(H249:H253,"*OBLIGATORIO*",G249:G253)</f>
        <v>22</v>
      </c>
      <c r="I255">
        <f>E255</f>
        <v>22</v>
      </c>
      <c r="J255">
        <f>I255+J236</f>
        <v>163</v>
      </c>
    </row>
    <row r="256" spans="1:10" ht="15.6" x14ac:dyDescent="0.3">
      <c r="B256" s="60" t="s">
        <v>24</v>
      </c>
      <c r="C256" s="61"/>
      <c r="D256" s="61"/>
      <c r="E256" s="4">
        <f>SUMIF(H249:H253,"*OPTATIVO*",G249:G253)</f>
        <v>5</v>
      </c>
      <c r="I256">
        <f>E256</f>
        <v>5</v>
      </c>
      <c r="J256">
        <f>I256+J237</f>
        <v>29</v>
      </c>
    </row>
    <row r="257" spans="1:10" ht="15.6" x14ac:dyDescent="0.3">
      <c r="B257" s="62" t="s">
        <v>25</v>
      </c>
      <c r="C257" s="63"/>
      <c r="D257" s="63"/>
      <c r="E257" s="18">
        <f>SUM(E255:E256)</f>
        <v>27</v>
      </c>
    </row>
    <row r="258" spans="1:10" ht="15.6" x14ac:dyDescent="0.3">
      <c r="B258" s="60" t="s">
        <v>26</v>
      </c>
      <c r="C258" s="61"/>
      <c r="D258" s="61"/>
      <c r="E258" s="4">
        <f>E255+E239</f>
        <v>163</v>
      </c>
    </row>
    <row r="259" spans="1:10" ht="15.6" x14ac:dyDescent="0.3">
      <c r="B259" s="60" t="s">
        <v>27</v>
      </c>
      <c r="C259" s="61"/>
      <c r="D259" s="61"/>
      <c r="E259" s="4">
        <f>E256+E240</f>
        <v>29</v>
      </c>
    </row>
    <row r="260" spans="1:10" ht="15.6" x14ac:dyDescent="0.3">
      <c r="B260" s="62" t="s">
        <v>28</v>
      </c>
      <c r="C260" s="63"/>
      <c r="D260" s="63"/>
      <c r="E260" s="18">
        <f>SUM(E258:E259)</f>
        <v>192</v>
      </c>
    </row>
    <row r="261" spans="1:10" ht="15.6" x14ac:dyDescent="0.3">
      <c r="B261" s="60" t="s">
        <v>29</v>
      </c>
      <c r="C261" s="61"/>
      <c r="D261" s="61"/>
      <c r="E261" s="4">
        <f>COUNT(E249:E253)</f>
        <v>5</v>
      </c>
    </row>
    <row r="262" spans="1:10" ht="15.6" x14ac:dyDescent="0.3">
      <c r="B262" s="62" t="s">
        <v>30</v>
      </c>
      <c r="C262" s="63"/>
      <c r="D262" s="63"/>
      <c r="E262" s="18">
        <f>E261+E243</f>
        <v>44</v>
      </c>
    </row>
    <row r="263" spans="1:10" ht="16.2" thickBot="1" x14ac:dyDescent="0.35">
      <c r="B263" s="64" t="s">
        <v>106</v>
      </c>
      <c r="C263" s="65"/>
      <c r="D263" s="65"/>
      <c r="E263" s="34">
        <f>J253/E262</f>
        <v>69.977272727272734</v>
      </c>
    </row>
    <row r="265" spans="1:10" ht="15" thickBot="1" x14ac:dyDescent="0.35"/>
    <row r="266" spans="1:10" x14ac:dyDescent="0.3">
      <c r="A266" s="69" t="s">
        <v>115</v>
      </c>
      <c r="B266" s="70"/>
      <c r="C266" s="70"/>
      <c r="D266" s="70"/>
      <c r="E266" s="70"/>
      <c r="F266" s="70"/>
      <c r="G266" s="70"/>
      <c r="H266" s="71"/>
    </row>
    <row r="267" spans="1:10" s="21" customFormat="1" x14ac:dyDescent="0.3">
      <c r="A267" s="32" t="s">
        <v>8</v>
      </c>
      <c r="B267" s="23" t="s">
        <v>9</v>
      </c>
      <c r="C267" s="23" t="s">
        <v>10</v>
      </c>
      <c r="D267" s="23" t="s">
        <v>11</v>
      </c>
      <c r="E267" s="23" t="s">
        <v>12</v>
      </c>
      <c r="F267" s="23" t="s">
        <v>13</v>
      </c>
      <c r="G267" s="23" t="s">
        <v>14</v>
      </c>
      <c r="H267" s="33" t="s">
        <v>15</v>
      </c>
      <c r="I267" s="21" t="s">
        <v>39</v>
      </c>
      <c r="J267" s="21" t="s">
        <v>40</v>
      </c>
    </row>
    <row r="268" spans="1:10" x14ac:dyDescent="0.3">
      <c r="A268" s="6">
        <v>45</v>
      </c>
      <c r="B268" s="11">
        <v>677</v>
      </c>
      <c r="C268" s="11">
        <v>745</v>
      </c>
      <c r="D268" s="7" t="s">
        <v>117</v>
      </c>
      <c r="E268" s="7">
        <v>79</v>
      </c>
      <c r="F268" s="16">
        <v>45471</v>
      </c>
      <c r="G268" s="7">
        <v>6</v>
      </c>
      <c r="H268" s="4" t="s">
        <v>21</v>
      </c>
    </row>
    <row r="269" spans="1:10" ht="15" thickBot="1" x14ac:dyDescent="0.35">
      <c r="A269" s="8">
        <v>46</v>
      </c>
      <c r="B269" s="24" t="s">
        <v>118</v>
      </c>
      <c r="C269" s="24">
        <v>940</v>
      </c>
      <c r="D269" s="9" t="s">
        <v>119</v>
      </c>
      <c r="E269" s="9">
        <v>81</v>
      </c>
      <c r="F269" s="20">
        <v>45471</v>
      </c>
      <c r="G269" s="9">
        <v>6</v>
      </c>
      <c r="H269" s="10" t="s">
        <v>21</v>
      </c>
      <c r="I269">
        <f>SUM(E268:E269)</f>
        <v>160</v>
      </c>
      <c r="J269">
        <f>I269+J253</f>
        <v>3239</v>
      </c>
    </row>
    <row r="270" spans="1:10" ht="15" thickBot="1" x14ac:dyDescent="0.35"/>
    <row r="271" spans="1:10" ht="15.6" x14ac:dyDescent="0.3">
      <c r="B271" s="72" t="s">
        <v>23</v>
      </c>
      <c r="C271" s="73"/>
      <c r="D271" s="73"/>
      <c r="E271" s="3">
        <f>SUMIF(H268:H269,"*OBLIGATORIO*",G268:G269)</f>
        <v>12</v>
      </c>
      <c r="I271">
        <f>E271</f>
        <v>12</v>
      </c>
      <c r="J271">
        <f>I271+J255</f>
        <v>175</v>
      </c>
    </row>
    <row r="272" spans="1:10" ht="15.6" x14ac:dyDescent="0.3">
      <c r="B272" s="60" t="s">
        <v>24</v>
      </c>
      <c r="C272" s="61"/>
      <c r="D272" s="61"/>
      <c r="E272" s="4">
        <f>SUMIF(H268:H269,"*OPTATIVO*",G268:G269)</f>
        <v>0</v>
      </c>
      <c r="I272">
        <f>E272</f>
        <v>0</v>
      </c>
      <c r="J272">
        <f>I272+J256</f>
        <v>29</v>
      </c>
    </row>
    <row r="273" spans="1:10" ht="15.6" x14ac:dyDescent="0.3">
      <c r="B273" s="62" t="s">
        <v>25</v>
      </c>
      <c r="C273" s="63"/>
      <c r="D273" s="63"/>
      <c r="E273" s="18">
        <f>SUM(E271:E272)</f>
        <v>12</v>
      </c>
    </row>
    <row r="274" spans="1:10" ht="15.6" x14ac:dyDescent="0.3">
      <c r="B274" s="60" t="s">
        <v>26</v>
      </c>
      <c r="C274" s="61"/>
      <c r="D274" s="61"/>
      <c r="E274" s="4">
        <f>E271+E258</f>
        <v>175</v>
      </c>
    </row>
    <row r="275" spans="1:10" ht="15.6" x14ac:dyDescent="0.3">
      <c r="B275" s="60" t="s">
        <v>27</v>
      </c>
      <c r="C275" s="61"/>
      <c r="D275" s="61"/>
      <c r="E275" s="4">
        <f>E272+E259</f>
        <v>29</v>
      </c>
    </row>
    <row r="276" spans="1:10" ht="15.6" x14ac:dyDescent="0.3">
      <c r="B276" s="62" t="s">
        <v>28</v>
      </c>
      <c r="C276" s="63"/>
      <c r="D276" s="63"/>
      <c r="E276" s="18">
        <f>SUM(E274:E275)</f>
        <v>204</v>
      </c>
    </row>
    <row r="277" spans="1:10" ht="15.6" x14ac:dyDescent="0.3">
      <c r="B277" s="60" t="s">
        <v>29</v>
      </c>
      <c r="C277" s="61"/>
      <c r="D277" s="61"/>
      <c r="E277" s="4">
        <f>COUNT(E268:E269)</f>
        <v>2</v>
      </c>
    </row>
    <row r="278" spans="1:10" ht="15.6" x14ac:dyDescent="0.3">
      <c r="B278" s="62" t="s">
        <v>30</v>
      </c>
      <c r="C278" s="63"/>
      <c r="D278" s="63"/>
      <c r="E278" s="18">
        <f>E277+E262</f>
        <v>46</v>
      </c>
    </row>
    <row r="279" spans="1:10" ht="16.2" thickBot="1" x14ac:dyDescent="0.35">
      <c r="B279" s="64" t="s">
        <v>116</v>
      </c>
      <c r="C279" s="65"/>
      <c r="D279" s="65"/>
      <c r="E279" s="34">
        <f>J269/E278</f>
        <v>70.413043478260875</v>
      </c>
    </row>
    <row r="281" spans="1:10" ht="15" thickBot="1" x14ac:dyDescent="0.35"/>
    <row r="282" spans="1:10" x14ac:dyDescent="0.3">
      <c r="A282" s="69" t="s">
        <v>120</v>
      </c>
      <c r="B282" s="70"/>
      <c r="C282" s="70"/>
      <c r="D282" s="70"/>
      <c r="E282" s="70"/>
      <c r="F282" s="70"/>
      <c r="G282" s="70"/>
      <c r="H282" s="71"/>
    </row>
    <row r="283" spans="1:10" s="21" customFormat="1" x14ac:dyDescent="0.3">
      <c r="A283" s="32" t="s">
        <v>8</v>
      </c>
      <c r="B283" s="23" t="s">
        <v>9</v>
      </c>
      <c r="C283" s="23" t="s">
        <v>10</v>
      </c>
      <c r="D283" s="23" t="s">
        <v>11</v>
      </c>
      <c r="E283" s="23" t="s">
        <v>12</v>
      </c>
      <c r="F283" s="23" t="s">
        <v>13</v>
      </c>
      <c r="G283" s="23" t="s">
        <v>14</v>
      </c>
      <c r="H283" s="33" t="s">
        <v>15</v>
      </c>
      <c r="I283" s="21" t="s">
        <v>39</v>
      </c>
      <c r="J283" s="21" t="s">
        <v>40</v>
      </c>
    </row>
    <row r="284" spans="1:10" x14ac:dyDescent="0.3">
      <c r="A284" s="6">
        <v>47</v>
      </c>
      <c r="B284" s="11" t="s">
        <v>122</v>
      </c>
      <c r="C284" s="11">
        <v>932</v>
      </c>
      <c r="D284" s="7" t="s">
        <v>123</v>
      </c>
      <c r="E284" s="7">
        <v>61</v>
      </c>
      <c r="F284" s="16">
        <v>45600</v>
      </c>
      <c r="G284" s="7">
        <v>5</v>
      </c>
      <c r="H284" s="4" t="s">
        <v>21</v>
      </c>
    </row>
    <row r="285" spans="1:10" x14ac:dyDescent="0.3">
      <c r="A285" s="6">
        <v>48</v>
      </c>
      <c r="B285" s="11" t="s">
        <v>124</v>
      </c>
      <c r="C285" s="11">
        <v>799</v>
      </c>
      <c r="D285" s="7" t="s">
        <v>125</v>
      </c>
      <c r="E285" s="7">
        <v>61</v>
      </c>
      <c r="F285" s="16">
        <v>45602</v>
      </c>
      <c r="G285" s="7">
        <v>5</v>
      </c>
      <c r="H285" s="4" t="s">
        <v>21</v>
      </c>
    </row>
    <row r="286" spans="1:10" x14ac:dyDescent="0.3">
      <c r="A286" s="6">
        <v>49</v>
      </c>
      <c r="B286" s="11" t="s">
        <v>126</v>
      </c>
      <c r="C286" s="11">
        <v>2671</v>
      </c>
      <c r="D286" s="7" t="s">
        <v>127</v>
      </c>
      <c r="E286" s="7">
        <v>70</v>
      </c>
      <c r="F286" s="16">
        <v>45602</v>
      </c>
      <c r="G286" s="7">
        <v>4</v>
      </c>
      <c r="H286" s="4" t="s">
        <v>21</v>
      </c>
    </row>
    <row r="287" spans="1:10" ht="15" thickBot="1" x14ac:dyDescent="0.35">
      <c r="A287" s="8">
        <v>50</v>
      </c>
      <c r="B287" s="24">
        <v>749</v>
      </c>
      <c r="C287" s="24">
        <v>798</v>
      </c>
      <c r="D287" s="9" t="s">
        <v>128</v>
      </c>
      <c r="E287" s="9">
        <v>63</v>
      </c>
      <c r="F287" s="20">
        <v>45615</v>
      </c>
      <c r="G287" s="9">
        <v>5</v>
      </c>
      <c r="H287" s="10" t="s">
        <v>21</v>
      </c>
      <c r="I287">
        <f>SUM(E284:E287)</f>
        <v>255</v>
      </c>
      <c r="J287">
        <f>I287+J269</f>
        <v>3494</v>
      </c>
    </row>
    <row r="288" spans="1:10" ht="15" thickBot="1" x14ac:dyDescent="0.35"/>
    <row r="289" spans="1:10" ht="15.6" x14ac:dyDescent="0.3">
      <c r="B289" s="72" t="s">
        <v>23</v>
      </c>
      <c r="C289" s="73"/>
      <c r="D289" s="73"/>
      <c r="E289" s="3">
        <f>SUMIF(H284:H287,"*OBLIGATORIO*",G284:G287)</f>
        <v>19</v>
      </c>
      <c r="I289">
        <f>E289</f>
        <v>19</v>
      </c>
      <c r="J289">
        <f>I289+J271</f>
        <v>194</v>
      </c>
    </row>
    <row r="290" spans="1:10" ht="15.6" x14ac:dyDescent="0.3">
      <c r="B290" s="60" t="s">
        <v>24</v>
      </c>
      <c r="C290" s="61"/>
      <c r="D290" s="61"/>
      <c r="E290" s="4">
        <f>SUMIF(H284:H287,"*OPTATIVO*",G284:G287)</f>
        <v>0</v>
      </c>
      <c r="I290">
        <f>E290</f>
        <v>0</v>
      </c>
      <c r="J290">
        <f>I290+J272</f>
        <v>29</v>
      </c>
    </row>
    <row r="291" spans="1:10" ht="15.6" x14ac:dyDescent="0.3">
      <c r="B291" s="62" t="s">
        <v>25</v>
      </c>
      <c r="C291" s="63"/>
      <c r="D291" s="63"/>
      <c r="E291" s="18">
        <f>SUM(E289:E290)</f>
        <v>19</v>
      </c>
    </row>
    <row r="292" spans="1:10" ht="15.6" x14ac:dyDescent="0.3">
      <c r="B292" s="60" t="s">
        <v>26</v>
      </c>
      <c r="C292" s="61"/>
      <c r="D292" s="61"/>
      <c r="E292" s="4">
        <f>E289+E274</f>
        <v>194</v>
      </c>
    </row>
    <row r="293" spans="1:10" ht="15.6" x14ac:dyDescent="0.3">
      <c r="B293" s="60" t="s">
        <v>27</v>
      </c>
      <c r="C293" s="61"/>
      <c r="D293" s="61"/>
      <c r="E293" s="4">
        <f>E290+E275</f>
        <v>29</v>
      </c>
    </row>
    <row r="294" spans="1:10" ht="15.6" x14ac:dyDescent="0.3">
      <c r="B294" s="62" t="s">
        <v>28</v>
      </c>
      <c r="C294" s="63"/>
      <c r="D294" s="63"/>
      <c r="E294" s="18">
        <f>SUM(E292:E293)</f>
        <v>223</v>
      </c>
    </row>
    <row r="295" spans="1:10" ht="15.6" x14ac:dyDescent="0.3">
      <c r="B295" s="60" t="s">
        <v>29</v>
      </c>
      <c r="C295" s="61"/>
      <c r="D295" s="61"/>
      <c r="E295" s="4">
        <f>COUNT(E284:E287)</f>
        <v>4</v>
      </c>
    </row>
    <row r="296" spans="1:10" ht="15.6" x14ac:dyDescent="0.3">
      <c r="B296" s="62" t="s">
        <v>30</v>
      </c>
      <c r="C296" s="63"/>
      <c r="D296" s="63"/>
      <c r="E296" s="18">
        <f>E295+E278</f>
        <v>50</v>
      </c>
    </row>
    <row r="297" spans="1:10" ht="16.2" thickBot="1" x14ac:dyDescent="0.35">
      <c r="B297" s="64" t="s">
        <v>121</v>
      </c>
      <c r="C297" s="65"/>
      <c r="D297" s="65"/>
      <c r="E297" s="5">
        <f>J287/E296</f>
        <v>69.88</v>
      </c>
    </row>
    <row r="299" spans="1:10" ht="15" thickBot="1" x14ac:dyDescent="0.35"/>
    <row r="300" spans="1:10" x14ac:dyDescent="0.3">
      <c r="A300" s="69" t="s">
        <v>129</v>
      </c>
      <c r="B300" s="70"/>
      <c r="C300" s="70"/>
      <c r="D300" s="70"/>
      <c r="E300" s="70"/>
      <c r="F300" s="70"/>
      <c r="G300" s="70"/>
      <c r="H300" s="71"/>
    </row>
    <row r="301" spans="1:10" s="21" customFormat="1" x14ac:dyDescent="0.3">
      <c r="A301" s="32" t="s">
        <v>8</v>
      </c>
      <c r="B301" s="23" t="s">
        <v>9</v>
      </c>
      <c r="C301" s="23" t="s">
        <v>10</v>
      </c>
      <c r="D301" s="23" t="s">
        <v>11</v>
      </c>
      <c r="E301" s="23" t="s">
        <v>12</v>
      </c>
      <c r="F301" s="23" t="s">
        <v>13</v>
      </c>
      <c r="G301" s="23" t="s">
        <v>14</v>
      </c>
      <c r="H301" s="33" t="s">
        <v>15</v>
      </c>
      <c r="I301" s="21" t="s">
        <v>39</v>
      </c>
      <c r="J301" s="21" t="s">
        <v>40</v>
      </c>
    </row>
    <row r="302" spans="1:10" x14ac:dyDescent="0.3">
      <c r="A302" s="6">
        <v>51</v>
      </c>
      <c r="B302" s="11">
        <v>749</v>
      </c>
      <c r="C302" s="11">
        <v>791</v>
      </c>
      <c r="D302" s="7" t="s">
        <v>131</v>
      </c>
      <c r="E302" s="7">
        <v>65</v>
      </c>
      <c r="F302" s="16">
        <v>45657</v>
      </c>
      <c r="G302" s="7">
        <v>5</v>
      </c>
      <c r="H302" s="4" t="s">
        <v>76</v>
      </c>
    </row>
    <row r="303" spans="1:10" ht="15" thickBot="1" x14ac:dyDescent="0.35">
      <c r="A303" s="8">
        <v>52</v>
      </c>
      <c r="B303" s="24">
        <v>935</v>
      </c>
      <c r="C303" s="24">
        <v>936</v>
      </c>
      <c r="D303" s="9" t="s">
        <v>132</v>
      </c>
      <c r="E303" s="9">
        <v>84</v>
      </c>
      <c r="F303" s="20">
        <v>45657</v>
      </c>
      <c r="G303" s="9">
        <v>5</v>
      </c>
      <c r="H303" s="10" t="s">
        <v>76</v>
      </c>
      <c r="I303">
        <f>SUM(E302:E303)</f>
        <v>149</v>
      </c>
      <c r="J303">
        <f>I303+J287</f>
        <v>3643</v>
      </c>
    </row>
    <row r="304" spans="1:10" ht="15" thickBot="1" x14ac:dyDescent="0.35"/>
    <row r="305" spans="1:10" ht="15.6" x14ac:dyDescent="0.3">
      <c r="B305" s="72" t="s">
        <v>23</v>
      </c>
      <c r="C305" s="73"/>
      <c r="D305" s="73"/>
      <c r="E305" s="3">
        <f>SUMIF(H302:H303,"*OBLIGATORIO*",G302:G303)</f>
        <v>10</v>
      </c>
      <c r="I305">
        <f>E305</f>
        <v>10</v>
      </c>
      <c r="J305">
        <f>I305+J289</f>
        <v>204</v>
      </c>
    </row>
    <row r="306" spans="1:10" ht="15.6" x14ac:dyDescent="0.3">
      <c r="B306" s="60" t="s">
        <v>24</v>
      </c>
      <c r="C306" s="61"/>
      <c r="D306" s="61"/>
      <c r="E306" s="4">
        <f>SUMIF(H302:H303,"*OPTATIVO*",G302:G303)</f>
        <v>0</v>
      </c>
      <c r="I306">
        <f>E306</f>
        <v>0</v>
      </c>
      <c r="J306">
        <f>I306+J290</f>
        <v>29</v>
      </c>
    </row>
    <row r="307" spans="1:10" ht="15.6" x14ac:dyDescent="0.3">
      <c r="B307" s="62" t="s">
        <v>25</v>
      </c>
      <c r="C307" s="63"/>
      <c r="D307" s="63"/>
      <c r="E307" s="18">
        <f>SUM(E305:E306)</f>
        <v>10</v>
      </c>
    </row>
    <row r="308" spans="1:10" ht="15.6" x14ac:dyDescent="0.3">
      <c r="B308" s="60" t="s">
        <v>26</v>
      </c>
      <c r="C308" s="61"/>
      <c r="D308" s="61"/>
      <c r="E308" s="4">
        <f>E305+E292</f>
        <v>204</v>
      </c>
    </row>
    <row r="309" spans="1:10" ht="15.6" x14ac:dyDescent="0.3">
      <c r="B309" s="60" t="s">
        <v>27</v>
      </c>
      <c r="C309" s="61"/>
      <c r="D309" s="61"/>
      <c r="E309" s="4">
        <f>E306+E293</f>
        <v>29</v>
      </c>
    </row>
    <row r="310" spans="1:10" ht="15.6" x14ac:dyDescent="0.3">
      <c r="B310" s="62" t="s">
        <v>28</v>
      </c>
      <c r="C310" s="63"/>
      <c r="D310" s="63"/>
      <c r="E310" s="18">
        <f>SUM(E308:E309)</f>
        <v>233</v>
      </c>
    </row>
    <row r="311" spans="1:10" ht="15.6" x14ac:dyDescent="0.3">
      <c r="B311" s="60" t="s">
        <v>29</v>
      </c>
      <c r="C311" s="61"/>
      <c r="D311" s="61"/>
      <c r="E311" s="4">
        <f>COUNT(E302:E303)</f>
        <v>2</v>
      </c>
    </row>
    <row r="312" spans="1:10" ht="15.6" x14ac:dyDescent="0.3">
      <c r="B312" s="62" t="s">
        <v>30</v>
      </c>
      <c r="C312" s="63"/>
      <c r="D312" s="63"/>
      <c r="E312" s="18">
        <f>E311+E296</f>
        <v>52</v>
      </c>
    </row>
    <row r="313" spans="1:10" ht="16.2" thickBot="1" x14ac:dyDescent="0.35">
      <c r="B313" s="64" t="s">
        <v>130</v>
      </c>
      <c r="C313" s="65"/>
      <c r="D313" s="65"/>
      <c r="E313" s="34">
        <f>J303/E312</f>
        <v>70.057692307692307</v>
      </c>
    </row>
    <row r="315" spans="1:10" ht="15" thickBot="1" x14ac:dyDescent="0.35"/>
    <row r="316" spans="1:10" ht="15" thickBot="1" x14ac:dyDescent="0.35">
      <c r="A316" s="87" t="s">
        <v>133</v>
      </c>
      <c r="B316" s="88"/>
      <c r="C316" s="88"/>
      <c r="D316" s="88"/>
      <c r="E316" s="88"/>
      <c r="F316" s="88"/>
      <c r="G316" s="88"/>
      <c r="H316" s="89"/>
    </row>
    <row r="317" spans="1:10" s="21" customFormat="1" x14ac:dyDescent="0.3">
      <c r="A317" s="36" t="s">
        <v>8</v>
      </c>
      <c r="B317" s="37" t="s">
        <v>9</v>
      </c>
      <c r="C317" s="37" t="s">
        <v>10</v>
      </c>
      <c r="D317" s="37" t="s">
        <v>11</v>
      </c>
      <c r="E317" s="37" t="s">
        <v>12</v>
      </c>
      <c r="F317" s="37" t="s">
        <v>13</v>
      </c>
      <c r="G317" s="37" t="s">
        <v>14</v>
      </c>
      <c r="H317" s="38" t="s">
        <v>15</v>
      </c>
      <c r="I317" s="21" t="s">
        <v>39</v>
      </c>
      <c r="J317" s="21" t="s">
        <v>40</v>
      </c>
    </row>
    <row r="318" spans="1:10" x14ac:dyDescent="0.3">
      <c r="A318" s="6">
        <v>53</v>
      </c>
      <c r="B318" s="11">
        <v>799</v>
      </c>
      <c r="C318" s="11">
        <v>1071</v>
      </c>
      <c r="D318" s="7" t="s">
        <v>135</v>
      </c>
      <c r="E318" s="7">
        <v>63</v>
      </c>
      <c r="F318" s="16">
        <v>45782</v>
      </c>
      <c r="G318" s="7">
        <v>5</v>
      </c>
      <c r="H318" s="4" t="s">
        <v>21</v>
      </c>
    </row>
    <row r="319" spans="1:10" x14ac:dyDescent="0.3">
      <c r="A319" s="6">
        <v>54</v>
      </c>
      <c r="B319" s="11">
        <v>932</v>
      </c>
      <c r="C319" s="11">
        <v>1057</v>
      </c>
      <c r="D319" s="7" t="s">
        <v>136</v>
      </c>
      <c r="E319" s="7">
        <v>76</v>
      </c>
      <c r="F319" s="16">
        <v>45784</v>
      </c>
      <c r="G319" s="7">
        <v>5</v>
      </c>
      <c r="H319" s="4" t="s">
        <v>21</v>
      </c>
    </row>
    <row r="320" spans="1:10" x14ac:dyDescent="0.3">
      <c r="A320" s="6">
        <v>55</v>
      </c>
      <c r="B320" s="11" t="s">
        <v>137</v>
      </c>
      <c r="C320" s="11">
        <v>912</v>
      </c>
      <c r="D320" s="7" t="s">
        <v>138</v>
      </c>
      <c r="E320" s="7">
        <v>79</v>
      </c>
      <c r="F320" s="16">
        <v>45785</v>
      </c>
      <c r="G320" s="7">
        <v>6</v>
      </c>
      <c r="H320" s="4" t="s">
        <v>21</v>
      </c>
    </row>
    <row r="321" spans="1:10" ht="15" thickBot="1" x14ac:dyDescent="0.35">
      <c r="A321" s="8">
        <v>56</v>
      </c>
      <c r="B321" s="24" t="s">
        <v>139</v>
      </c>
      <c r="C321" s="24">
        <v>911</v>
      </c>
      <c r="D321" s="9" t="s">
        <v>140</v>
      </c>
      <c r="E321" s="9">
        <v>62</v>
      </c>
      <c r="F321" s="20">
        <v>45796</v>
      </c>
      <c r="G321" s="9">
        <v>6</v>
      </c>
      <c r="H321" s="10" t="s">
        <v>21</v>
      </c>
      <c r="I321">
        <f>SUM(E318:E321)</f>
        <v>280</v>
      </c>
      <c r="J321">
        <f>I321+J303</f>
        <v>3923</v>
      </c>
    </row>
    <row r="322" spans="1:10" ht="15" thickBot="1" x14ac:dyDescent="0.35"/>
    <row r="323" spans="1:10" ht="15.6" x14ac:dyDescent="0.3">
      <c r="B323" s="72" t="s">
        <v>23</v>
      </c>
      <c r="C323" s="73"/>
      <c r="D323" s="73"/>
      <c r="E323" s="3">
        <f>SUMIF(H318:H321,"*OBLIGATORIO*",G318:G321)</f>
        <v>22</v>
      </c>
      <c r="I323">
        <f>E323</f>
        <v>22</v>
      </c>
      <c r="J323">
        <f>I323+J305</f>
        <v>226</v>
      </c>
    </row>
    <row r="324" spans="1:10" ht="15.6" x14ac:dyDescent="0.3">
      <c r="B324" s="60" t="s">
        <v>24</v>
      </c>
      <c r="C324" s="61"/>
      <c r="D324" s="61"/>
      <c r="E324" s="4">
        <f>SUMIF(H318:H321,"*OPTATIVO*",G318:G321)</f>
        <v>0</v>
      </c>
      <c r="I324">
        <f>E324</f>
        <v>0</v>
      </c>
      <c r="J324">
        <f>I324+J306</f>
        <v>29</v>
      </c>
    </row>
    <row r="325" spans="1:10" ht="15.6" x14ac:dyDescent="0.3">
      <c r="B325" s="62" t="s">
        <v>25</v>
      </c>
      <c r="C325" s="63"/>
      <c r="D325" s="63"/>
      <c r="E325" s="18">
        <f>SUM(E323:E324)</f>
        <v>22</v>
      </c>
    </row>
    <row r="326" spans="1:10" ht="15.6" x14ac:dyDescent="0.3">
      <c r="B326" s="60" t="s">
        <v>26</v>
      </c>
      <c r="C326" s="61"/>
      <c r="D326" s="61"/>
      <c r="E326" s="4">
        <f>E323+E308</f>
        <v>226</v>
      </c>
    </row>
    <row r="327" spans="1:10" ht="15.6" x14ac:dyDescent="0.3">
      <c r="B327" s="60" t="s">
        <v>27</v>
      </c>
      <c r="C327" s="61"/>
      <c r="D327" s="61"/>
      <c r="E327" s="4">
        <f>E324+E309</f>
        <v>29</v>
      </c>
    </row>
    <row r="328" spans="1:10" ht="15.6" x14ac:dyDescent="0.3">
      <c r="B328" s="62" t="s">
        <v>28</v>
      </c>
      <c r="C328" s="63"/>
      <c r="D328" s="63"/>
      <c r="E328" s="18">
        <f>SUM(E326:E327)</f>
        <v>255</v>
      </c>
    </row>
    <row r="329" spans="1:10" ht="15.6" x14ac:dyDescent="0.3">
      <c r="B329" s="60" t="s">
        <v>29</v>
      </c>
      <c r="C329" s="61"/>
      <c r="D329" s="61"/>
      <c r="E329" s="4">
        <f>COUNT(E318:E321)</f>
        <v>4</v>
      </c>
    </row>
    <row r="330" spans="1:10" ht="15.6" x14ac:dyDescent="0.3">
      <c r="B330" s="62" t="s">
        <v>30</v>
      </c>
      <c r="C330" s="63"/>
      <c r="D330" s="63"/>
      <c r="E330" s="18">
        <f>E329+E312</f>
        <v>56</v>
      </c>
    </row>
    <row r="331" spans="1:10" ht="16.2" thickBot="1" x14ac:dyDescent="0.35">
      <c r="B331" s="64" t="s">
        <v>134</v>
      </c>
      <c r="C331" s="65"/>
      <c r="D331" s="65"/>
      <c r="E331" s="34">
        <f>J321/E330</f>
        <v>70.053571428571431</v>
      </c>
    </row>
    <row r="333" spans="1:10" ht="15" thickBot="1" x14ac:dyDescent="0.35"/>
    <row r="334" spans="1:10" x14ac:dyDescent="0.3">
      <c r="A334" s="69" t="s">
        <v>141</v>
      </c>
      <c r="B334" s="70"/>
      <c r="C334" s="70"/>
      <c r="D334" s="70"/>
      <c r="E334" s="70"/>
      <c r="F334" s="70"/>
      <c r="G334" s="70"/>
      <c r="H334" s="71"/>
    </row>
    <row r="335" spans="1:10" s="21" customFormat="1" x14ac:dyDescent="0.3">
      <c r="A335" s="32" t="s">
        <v>8</v>
      </c>
      <c r="B335" s="23" t="s">
        <v>9</v>
      </c>
      <c r="C335" s="23" t="s">
        <v>10</v>
      </c>
      <c r="D335" s="23" t="s">
        <v>11</v>
      </c>
      <c r="E335" s="23" t="s">
        <v>12</v>
      </c>
      <c r="F335" s="23" t="s">
        <v>13</v>
      </c>
      <c r="G335" s="23" t="s">
        <v>14</v>
      </c>
      <c r="H335" s="33" t="s">
        <v>15</v>
      </c>
      <c r="I335" s="21" t="s">
        <v>39</v>
      </c>
      <c r="J335" s="21" t="s">
        <v>40</v>
      </c>
    </row>
    <row r="336" spans="1:10" ht="15" thickBot="1" x14ac:dyDescent="0.35">
      <c r="A336" s="8">
        <v>57</v>
      </c>
      <c r="B336" s="24" t="s">
        <v>147</v>
      </c>
      <c r="C336" s="24">
        <v>2860</v>
      </c>
      <c r="D336" s="9" t="s">
        <v>148</v>
      </c>
      <c r="E336" s="9">
        <v>74</v>
      </c>
      <c r="F336" s="20">
        <v>45835</v>
      </c>
      <c r="G336" s="9">
        <v>1</v>
      </c>
      <c r="H336" s="10" t="s">
        <v>21</v>
      </c>
      <c r="I336">
        <f>SUM(E336:E336)</f>
        <v>74</v>
      </c>
      <c r="J336">
        <f>I336+J321</f>
        <v>3997</v>
      </c>
    </row>
    <row r="337" spans="1:10" ht="15" thickBot="1" x14ac:dyDescent="0.35"/>
    <row r="338" spans="1:10" ht="15.6" x14ac:dyDescent="0.3">
      <c r="B338" s="72" t="s">
        <v>23</v>
      </c>
      <c r="C338" s="73"/>
      <c r="D338" s="73"/>
      <c r="E338" s="3">
        <f>SUMIF(H336:H336,"*OBLIGATORIO*",G336:G336)</f>
        <v>1</v>
      </c>
      <c r="I338">
        <f>E338</f>
        <v>1</v>
      </c>
      <c r="J338">
        <f>I338+J323</f>
        <v>227</v>
      </c>
    </row>
    <row r="339" spans="1:10" ht="15.6" x14ac:dyDescent="0.3">
      <c r="B339" s="60" t="s">
        <v>24</v>
      </c>
      <c r="C339" s="61"/>
      <c r="D339" s="61"/>
      <c r="E339" s="4">
        <f>SUMIF(H336:H336,"*OPTATIVO*",G336:G336)</f>
        <v>0</v>
      </c>
      <c r="I339">
        <f>E339</f>
        <v>0</v>
      </c>
      <c r="J339">
        <f>I339+J324</f>
        <v>29</v>
      </c>
    </row>
    <row r="340" spans="1:10" ht="15.6" x14ac:dyDescent="0.3">
      <c r="B340" s="62" t="s">
        <v>25</v>
      </c>
      <c r="C340" s="63"/>
      <c r="D340" s="63"/>
      <c r="E340" s="18">
        <f>SUM(E338:E339)</f>
        <v>1</v>
      </c>
    </row>
    <row r="341" spans="1:10" ht="15.6" x14ac:dyDescent="0.3">
      <c r="B341" s="60" t="s">
        <v>26</v>
      </c>
      <c r="C341" s="61"/>
      <c r="D341" s="61"/>
      <c r="E341" s="4">
        <f>E338+E326</f>
        <v>227</v>
      </c>
    </row>
    <row r="342" spans="1:10" ht="15.6" x14ac:dyDescent="0.3">
      <c r="B342" s="60" t="s">
        <v>27</v>
      </c>
      <c r="C342" s="61"/>
      <c r="D342" s="61"/>
      <c r="E342" s="4">
        <f>E339+E327</f>
        <v>29</v>
      </c>
    </row>
    <row r="343" spans="1:10" ht="15.6" x14ac:dyDescent="0.3">
      <c r="B343" s="62" t="s">
        <v>28</v>
      </c>
      <c r="C343" s="63"/>
      <c r="D343" s="63"/>
      <c r="E343" s="18">
        <f>SUM(E341:E342)</f>
        <v>256</v>
      </c>
    </row>
    <row r="344" spans="1:10" ht="15.6" x14ac:dyDescent="0.3">
      <c r="B344" s="60" t="s">
        <v>29</v>
      </c>
      <c r="C344" s="61"/>
      <c r="D344" s="61"/>
      <c r="E344" s="4">
        <f>COUNT(E336:E336)</f>
        <v>1</v>
      </c>
    </row>
    <row r="345" spans="1:10" ht="15.6" x14ac:dyDescent="0.3">
      <c r="B345" s="62" t="s">
        <v>30</v>
      </c>
      <c r="C345" s="63"/>
      <c r="D345" s="63"/>
      <c r="E345" s="18">
        <f>E344+E330</f>
        <v>57</v>
      </c>
    </row>
    <row r="346" spans="1:10" ht="16.2" thickBot="1" x14ac:dyDescent="0.35">
      <c r="B346" s="64" t="s">
        <v>142</v>
      </c>
      <c r="C346" s="65"/>
      <c r="D346" s="65"/>
      <c r="E346" s="34">
        <f>J336/E345</f>
        <v>70.122807017543863</v>
      </c>
    </row>
    <row r="348" spans="1:10" ht="15" thickBot="1" x14ac:dyDescent="0.35"/>
    <row r="349" spans="1:10" x14ac:dyDescent="0.3">
      <c r="A349" s="69" t="s">
        <v>143</v>
      </c>
      <c r="B349" s="70"/>
      <c r="C349" s="70"/>
      <c r="D349" s="70"/>
      <c r="E349" s="70"/>
      <c r="F349" s="70"/>
      <c r="G349" s="70"/>
      <c r="H349" s="71"/>
    </row>
    <row r="350" spans="1:10" s="21" customFormat="1" x14ac:dyDescent="0.3">
      <c r="A350" s="32" t="s">
        <v>8</v>
      </c>
      <c r="B350" s="23" t="s">
        <v>9</v>
      </c>
      <c r="C350" s="23" t="s">
        <v>10</v>
      </c>
      <c r="D350" s="23" t="s">
        <v>11</v>
      </c>
      <c r="E350" s="23" t="s">
        <v>12</v>
      </c>
      <c r="F350" s="23" t="s">
        <v>13</v>
      </c>
      <c r="G350" s="23" t="s">
        <v>14</v>
      </c>
      <c r="H350" s="33" t="s">
        <v>15</v>
      </c>
      <c r="I350" s="21" t="s">
        <v>39</v>
      </c>
      <c r="J350" s="21" t="s">
        <v>40</v>
      </c>
    </row>
    <row r="351" spans="1:10" ht="15" thickBot="1" x14ac:dyDescent="0.35">
      <c r="A351" s="8">
        <v>58</v>
      </c>
      <c r="B351" s="24" t="s">
        <v>149</v>
      </c>
      <c r="C351" s="24">
        <v>2586</v>
      </c>
      <c r="D351" s="9" t="s">
        <v>150</v>
      </c>
      <c r="E351" s="9">
        <v>69</v>
      </c>
      <c r="F351" s="20">
        <v>45967</v>
      </c>
      <c r="G351" s="9">
        <v>0</v>
      </c>
      <c r="H351" s="10" t="s">
        <v>21</v>
      </c>
      <c r="I351">
        <f>SUM(E351:E351)</f>
        <v>69</v>
      </c>
      <c r="J351">
        <f>I351+J336</f>
        <v>4066</v>
      </c>
    </row>
    <row r="352" spans="1:10" ht="15" thickBot="1" x14ac:dyDescent="0.35"/>
    <row r="353" spans="1:10" ht="15.6" x14ac:dyDescent="0.3">
      <c r="B353" s="72" t="s">
        <v>23</v>
      </c>
      <c r="C353" s="73"/>
      <c r="D353" s="73"/>
      <c r="E353" s="3">
        <f>SUMIF(H351:H351,"*OBLIGATORIO*",G351:G351)</f>
        <v>0</v>
      </c>
      <c r="I353">
        <f>E353</f>
        <v>0</v>
      </c>
      <c r="J353">
        <f>I353+J338</f>
        <v>227</v>
      </c>
    </row>
    <row r="354" spans="1:10" ht="15.6" x14ac:dyDescent="0.3">
      <c r="B354" s="60" t="s">
        <v>24</v>
      </c>
      <c r="C354" s="61"/>
      <c r="D354" s="61"/>
      <c r="E354" s="4">
        <f>SUMIF(H351:H351,"*OPTATIVO*",G351:G351)</f>
        <v>0</v>
      </c>
      <c r="I354">
        <f>E354</f>
        <v>0</v>
      </c>
      <c r="J354">
        <f>I354+J339</f>
        <v>29</v>
      </c>
    </row>
    <row r="355" spans="1:10" ht="15.6" x14ac:dyDescent="0.3">
      <c r="B355" s="62" t="s">
        <v>25</v>
      </c>
      <c r="C355" s="63"/>
      <c r="D355" s="63"/>
      <c r="E355" s="18">
        <f>SUM(E353:E354)</f>
        <v>0</v>
      </c>
    </row>
    <row r="356" spans="1:10" ht="15.6" x14ac:dyDescent="0.3">
      <c r="B356" s="60" t="s">
        <v>26</v>
      </c>
      <c r="C356" s="61"/>
      <c r="D356" s="61"/>
      <c r="E356" s="4">
        <f>E353+E341</f>
        <v>227</v>
      </c>
    </row>
    <row r="357" spans="1:10" ht="15.6" x14ac:dyDescent="0.3">
      <c r="B357" s="60" t="s">
        <v>27</v>
      </c>
      <c r="C357" s="61"/>
      <c r="D357" s="61"/>
      <c r="E357" s="4">
        <f>E354+E342</f>
        <v>29</v>
      </c>
    </row>
    <row r="358" spans="1:10" ht="15.6" x14ac:dyDescent="0.3">
      <c r="B358" s="62" t="s">
        <v>28</v>
      </c>
      <c r="C358" s="63"/>
      <c r="D358" s="63"/>
      <c r="E358" s="18">
        <f>SUM(E356:E357)</f>
        <v>256</v>
      </c>
    </row>
    <row r="359" spans="1:10" ht="15.6" x14ac:dyDescent="0.3">
      <c r="B359" s="60" t="s">
        <v>29</v>
      </c>
      <c r="C359" s="61"/>
      <c r="D359" s="61"/>
      <c r="E359" s="4">
        <f>COUNT(E351:E351)</f>
        <v>1</v>
      </c>
    </row>
    <row r="360" spans="1:10" ht="15.6" x14ac:dyDescent="0.3">
      <c r="B360" s="62" t="s">
        <v>30</v>
      </c>
      <c r="C360" s="63"/>
      <c r="D360" s="63"/>
      <c r="E360" s="18">
        <f>E359+E345</f>
        <v>58</v>
      </c>
    </row>
    <row r="361" spans="1:10" ht="16.2" thickBot="1" x14ac:dyDescent="0.35">
      <c r="B361" s="64" t="s">
        <v>144</v>
      </c>
      <c r="C361" s="65"/>
      <c r="D361" s="65"/>
      <c r="E361" s="34">
        <f>J351/E360</f>
        <v>70.103448275862064</v>
      </c>
    </row>
    <row r="363" spans="1:10" ht="15" thickBot="1" x14ac:dyDescent="0.35"/>
    <row r="364" spans="1:10" x14ac:dyDescent="0.3">
      <c r="A364" s="69" t="s">
        <v>145</v>
      </c>
      <c r="B364" s="70"/>
      <c r="C364" s="70"/>
      <c r="D364" s="70"/>
      <c r="E364" s="70"/>
      <c r="F364" s="70"/>
      <c r="G364" s="70"/>
      <c r="H364" s="71"/>
    </row>
    <row r="365" spans="1:10" s="21" customFormat="1" x14ac:dyDescent="0.3">
      <c r="A365" s="32" t="s">
        <v>8</v>
      </c>
      <c r="B365" s="23" t="s">
        <v>9</v>
      </c>
      <c r="C365" s="23" t="s">
        <v>10</v>
      </c>
      <c r="D365" s="23" t="s">
        <v>11</v>
      </c>
      <c r="E365" s="23" t="s">
        <v>12</v>
      </c>
      <c r="F365" s="23" t="s">
        <v>13</v>
      </c>
      <c r="G365" s="23" t="s">
        <v>14</v>
      </c>
      <c r="H365" s="33" t="s">
        <v>15</v>
      </c>
      <c r="I365" s="21" t="s">
        <v>39</v>
      </c>
      <c r="J365" s="21" t="s">
        <v>40</v>
      </c>
    </row>
    <row r="366" spans="1:10" ht="15" thickBot="1" x14ac:dyDescent="0.35">
      <c r="A366" s="8">
        <v>59</v>
      </c>
      <c r="B366" s="24" t="s">
        <v>151</v>
      </c>
      <c r="C366" s="24">
        <v>906</v>
      </c>
      <c r="D366" s="9" t="s">
        <v>152</v>
      </c>
      <c r="E366" s="9">
        <v>62</v>
      </c>
      <c r="F366" s="20">
        <v>46022</v>
      </c>
      <c r="G366" s="9">
        <v>6</v>
      </c>
      <c r="H366" s="10" t="s">
        <v>21</v>
      </c>
      <c r="I366">
        <f>SUM(E366:E366)</f>
        <v>62</v>
      </c>
      <c r="J366">
        <f>I366+J351</f>
        <v>4128</v>
      </c>
    </row>
    <row r="367" spans="1:10" ht="15" thickBot="1" x14ac:dyDescent="0.35"/>
    <row r="368" spans="1:10" ht="15.6" x14ac:dyDescent="0.3">
      <c r="B368" s="72" t="s">
        <v>23</v>
      </c>
      <c r="C368" s="73"/>
      <c r="D368" s="73"/>
      <c r="E368" s="3">
        <f>SUMIF(H366:H366,"*OBLIGATORIO*",G366:G366)</f>
        <v>6</v>
      </c>
      <c r="I368">
        <f>E368</f>
        <v>6</v>
      </c>
      <c r="J368">
        <f>I368+J353</f>
        <v>233</v>
      </c>
    </row>
    <row r="369" spans="2:10" ht="15.6" x14ac:dyDescent="0.3">
      <c r="B369" s="60" t="s">
        <v>24</v>
      </c>
      <c r="C369" s="61"/>
      <c r="D369" s="61"/>
      <c r="E369" s="4">
        <f>SUMIF(H366:H366,"*OPTATIVO*",G366:G366)</f>
        <v>0</v>
      </c>
      <c r="I369">
        <f>E369</f>
        <v>0</v>
      </c>
      <c r="J369">
        <f>I369+J354</f>
        <v>29</v>
      </c>
    </row>
    <row r="370" spans="2:10" ht="15.6" x14ac:dyDescent="0.3">
      <c r="B370" s="62" t="s">
        <v>25</v>
      </c>
      <c r="C370" s="63"/>
      <c r="D370" s="63"/>
      <c r="E370" s="18">
        <f>SUM(E368:E369)</f>
        <v>6</v>
      </c>
      <c r="J370">
        <f>SUM(J368:J369)</f>
        <v>262</v>
      </c>
    </row>
    <row r="371" spans="2:10" ht="15.6" x14ac:dyDescent="0.3">
      <c r="B371" s="60" t="s">
        <v>26</v>
      </c>
      <c r="C371" s="61"/>
      <c r="D371" s="61"/>
      <c r="E371" s="4">
        <f>E368+E356</f>
        <v>233</v>
      </c>
    </row>
    <row r="372" spans="2:10" ht="15.6" x14ac:dyDescent="0.3">
      <c r="B372" s="60" t="s">
        <v>27</v>
      </c>
      <c r="C372" s="61"/>
      <c r="D372" s="61"/>
      <c r="E372" s="4">
        <f>E369+E357</f>
        <v>29</v>
      </c>
    </row>
    <row r="373" spans="2:10" ht="15.6" x14ac:dyDescent="0.3">
      <c r="B373" s="62" t="s">
        <v>28</v>
      </c>
      <c r="C373" s="63"/>
      <c r="D373" s="63"/>
      <c r="E373" s="18">
        <f>SUM(E371:E372)</f>
        <v>262</v>
      </c>
    </row>
    <row r="374" spans="2:10" ht="15.6" x14ac:dyDescent="0.3">
      <c r="B374" s="60" t="s">
        <v>29</v>
      </c>
      <c r="C374" s="61"/>
      <c r="D374" s="61"/>
      <c r="E374" s="4">
        <f>COUNT(E366:E366)</f>
        <v>1</v>
      </c>
    </row>
    <row r="375" spans="2:10" ht="15.6" x14ac:dyDescent="0.3">
      <c r="B375" s="62" t="s">
        <v>30</v>
      </c>
      <c r="C375" s="63"/>
      <c r="D375" s="63"/>
      <c r="E375" s="18">
        <f>E374+E360</f>
        <v>59</v>
      </c>
    </row>
    <row r="376" spans="2:10" ht="16.2" thickBot="1" x14ac:dyDescent="0.35">
      <c r="B376" s="64" t="s">
        <v>146</v>
      </c>
      <c r="C376" s="65"/>
      <c r="D376" s="65"/>
      <c r="E376" s="34">
        <f>J366/E375</f>
        <v>69.966101694915253</v>
      </c>
    </row>
    <row r="378" spans="2:10" ht="15" thickBot="1" x14ac:dyDescent="0.35"/>
    <row r="379" spans="2:10" ht="15.6" x14ac:dyDescent="0.3">
      <c r="B379" s="66" t="s">
        <v>153</v>
      </c>
      <c r="C379" s="67"/>
      <c r="D379" s="67"/>
      <c r="E379" s="68"/>
    </row>
    <row r="380" spans="2:10" ht="15.6" x14ac:dyDescent="0.3">
      <c r="B380" s="45" t="s">
        <v>154</v>
      </c>
      <c r="C380" s="46"/>
      <c r="D380" s="46"/>
      <c r="E380" s="39">
        <f>E371</f>
        <v>233</v>
      </c>
    </row>
    <row r="381" spans="2:10" ht="15.6" x14ac:dyDescent="0.3">
      <c r="B381" s="45" t="s">
        <v>155</v>
      </c>
      <c r="C381" s="46"/>
      <c r="D381" s="46"/>
      <c r="E381" s="39">
        <f>E372</f>
        <v>29</v>
      </c>
    </row>
    <row r="382" spans="2:10" ht="15.6" x14ac:dyDescent="0.3">
      <c r="B382" s="43" t="s">
        <v>156</v>
      </c>
      <c r="C382" s="44"/>
      <c r="D382" s="44"/>
      <c r="E382" s="40">
        <f>E380+E381</f>
        <v>262</v>
      </c>
    </row>
    <row r="383" spans="2:10" ht="15.6" x14ac:dyDescent="0.3">
      <c r="B383" s="45" t="s">
        <v>157</v>
      </c>
      <c r="C383" s="46"/>
      <c r="D383" s="46"/>
      <c r="E383" s="39">
        <v>50</v>
      </c>
    </row>
    <row r="384" spans="2:10" ht="15.6" x14ac:dyDescent="0.3">
      <c r="B384" s="45" t="s">
        <v>158</v>
      </c>
      <c r="C384" s="46"/>
      <c r="D384" s="46"/>
      <c r="E384" s="39">
        <v>9</v>
      </c>
    </row>
    <row r="385" spans="2:5" ht="15.6" x14ac:dyDescent="0.3">
      <c r="B385" s="47" t="s">
        <v>159</v>
      </c>
      <c r="C385" s="48"/>
      <c r="D385" s="48"/>
      <c r="E385" s="41">
        <f>E383+E384</f>
        <v>59</v>
      </c>
    </row>
    <row r="386" spans="2:5" ht="16.2" thickBot="1" x14ac:dyDescent="0.35">
      <c r="B386" s="49" t="s">
        <v>160</v>
      </c>
      <c r="C386" s="50"/>
      <c r="D386" s="50"/>
      <c r="E386" s="42">
        <f>E376</f>
        <v>69.966101694915253</v>
      </c>
    </row>
  </sheetData>
  <mergeCells count="236">
    <mergeCell ref="B373:D373"/>
    <mergeCell ref="B374:D374"/>
    <mergeCell ref="B375:D375"/>
    <mergeCell ref="B376:D376"/>
    <mergeCell ref="B368:D368"/>
    <mergeCell ref="B369:D369"/>
    <mergeCell ref="B370:D370"/>
    <mergeCell ref="B371:D371"/>
    <mergeCell ref="B372:D372"/>
    <mergeCell ref="B358:D358"/>
    <mergeCell ref="B359:D359"/>
    <mergeCell ref="B360:D360"/>
    <mergeCell ref="B361:D361"/>
    <mergeCell ref="A364:H364"/>
    <mergeCell ref="B353:D353"/>
    <mergeCell ref="B354:D354"/>
    <mergeCell ref="B355:D355"/>
    <mergeCell ref="B356:D356"/>
    <mergeCell ref="B357:D357"/>
    <mergeCell ref="B343:D343"/>
    <mergeCell ref="B344:D344"/>
    <mergeCell ref="B345:D345"/>
    <mergeCell ref="B346:D346"/>
    <mergeCell ref="A349:H349"/>
    <mergeCell ref="B338:D338"/>
    <mergeCell ref="B339:D339"/>
    <mergeCell ref="B340:D340"/>
    <mergeCell ref="B341:D341"/>
    <mergeCell ref="B342:D342"/>
    <mergeCell ref="B328:D328"/>
    <mergeCell ref="B329:D329"/>
    <mergeCell ref="B330:D330"/>
    <mergeCell ref="B331:D331"/>
    <mergeCell ref="A334:H334"/>
    <mergeCell ref="B323:D323"/>
    <mergeCell ref="B324:D324"/>
    <mergeCell ref="B325:D325"/>
    <mergeCell ref="B326:D326"/>
    <mergeCell ref="B327:D327"/>
    <mergeCell ref="B310:D310"/>
    <mergeCell ref="B311:D311"/>
    <mergeCell ref="B312:D312"/>
    <mergeCell ref="B313:D313"/>
    <mergeCell ref="A316:H316"/>
    <mergeCell ref="B305:D305"/>
    <mergeCell ref="B306:D306"/>
    <mergeCell ref="B307:D307"/>
    <mergeCell ref="B308:D308"/>
    <mergeCell ref="B309:D309"/>
    <mergeCell ref="B294:D294"/>
    <mergeCell ref="B295:D295"/>
    <mergeCell ref="B296:D296"/>
    <mergeCell ref="B297:D297"/>
    <mergeCell ref="A300:H300"/>
    <mergeCell ref="B289:D289"/>
    <mergeCell ref="B290:D290"/>
    <mergeCell ref="B291:D291"/>
    <mergeCell ref="B292:D292"/>
    <mergeCell ref="B293:D293"/>
    <mergeCell ref="B276:D276"/>
    <mergeCell ref="B277:D277"/>
    <mergeCell ref="B278:D278"/>
    <mergeCell ref="B279:D279"/>
    <mergeCell ref="A282:H282"/>
    <mergeCell ref="B271:D271"/>
    <mergeCell ref="B272:D272"/>
    <mergeCell ref="B273:D273"/>
    <mergeCell ref="B274:D274"/>
    <mergeCell ref="B275:D275"/>
    <mergeCell ref="B260:D260"/>
    <mergeCell ref="B261:D261"/>
    <mergeCell ref="B262:D262"/>
    <mergeCell ref="B263:D263"/>
    <mergeCell ref="A266:H266"/>
    <mergeCell ref="B255:D255"/>
    <mergeCell ref="B256:D256"/>
    <mergeCell ref="B257:D257"/>
    <mergeCell ref="B258:D258"/>
    <mergeCell ref="B259:D259"/>
    <mergeCell ref="B241:D241"/>
    <mergeCell ref="B242:D242"/>
    <mergeCell ref="B243:D243"/>
    <mergeCell ref="B244:D244"/>
    <mergeCell ref="A247:H247"/>
    <mergeCell ref="B236:D236"/>
    <mergeCell ref="B237:D237"/>
    <mergeCell ref="B238:D238"/>
    <mergeCell ref="B239:D239"/>
    <mergeCell ref="B240:D240"/>
    <mergeCell ref="B226:D226"/>
    <mergeCell ref="B227:D227"/>
    <mergeCell ref="B228:D228"/>
    <mergeCell ref="B229:D229"/>
    <mergeCell ref="A232:H232"/>
    <mergeCell ref="B221:D221"/>
    <mergeCell ref="B222:D222"/>
    <mergeCell ref="B223:D223"/>
    <mergeCell ref="B224:D224"/>
    <mergeCell ref="B225:D225"/>
    <mergeCell ref="B204:D204"/>
    <mergeCell ref="B205:D205"/>
    <mergeCell ref="B206:D206"/>
    <mergeCell ref="B207:D207"/>
    <mergeCell ref="A210:H210"/>
    <mergeCell ref="B199:D199"/>
    <mergeCell ref="B200:D200"/>
    <mergeCell ref="B201:D201"/>
    <mergeCell ref="B202:D202"/>
    <mergeCell ref="B203:D203"/>
    <mergeCell ref="B189:D189"/>
    <mergeCell ref="B190:D190"/>
    <mergeCell ref="B191:D191"/>
    <mergeCell ref="B192:D192"/>
    <mergeCell ref="A195:H195"/>
    <mergeCell ref="B184:D184"/>
    <mergeCell ref="B185:D185"/>
    <mergeCell ref="B186:D186"/>
    <mergeCell ref="B187:D187"/>
    <mergeCell ref="B188:D188"/>
    <mergeCell ref="B169:D169"/>
    <mergeCell ref="B170:D170"/>
    <mergeCell ref="B171:D171"/>
    <mergeCell ref="B172:D172"/>
    <mergeCell ref="A175:H175"/>
    <mergeCell ref="B164:D164"/>
    <mergeCell ref="B165:D165"/>
    <mergeCell ref="B166:D166"/>
    <mergeCell ref="B167:D167"/>
    <mergeCell ref="B168:D168"/>
    <mergeCell ref="B154:D154"/>
    <mergeCell ref="B155:D155"/>
    <mergeCell ref="B156:D156"/>
    <mergeCell ref="B157:D157"/>
    <mergeCell ref="A160:H160"/>
    <mergeCell ref="B149:D149"/>
    <mergeCell ref="B150:D150"/>
    <mergeCell ref="B151:D151"/>
    <mergeCell ref="B152:D152"/>
    <mergeCell ref="B153:D153"/>
    <mergeCell ref="B139:D139"/>
    <mergeCell ref="B140:D140"/>
    <mergeCell ref="B141:D141"/>
    <mergeCell ref="B142:D142"/>
    <mergeCell ref="A145:H145"/>
    <mergeCell ref="B134:D134"/>
    <mergeCell ref="B135:D135"/>
    <mergeCell ref="B136:D136"/>
    <mergeCell ref="B137:D137"/>
    <mergeCell ref="B138:D138"/>
    <mergeCell ref="A128:H128"/>
    <mergeCell ref="A48:H48"/>
    <mergeCell ref="B53:D53"/>
    <mergeCell ref="B54:D54"/>
    <mergeCell ref="B55:D55"/>
    <mergeCell ref="B56:D56"/>
    <mergeCell ref="B71:D71"/>
    <mergeCell ref="B72:D72"/>
    <mergeCell ref="B78:D78"/>
    <mergeCell ref="B73:D73"/>
    <mergeCell ref="B74:D74"/>
    <mergeCell ref="B75:D75"/>
    <mergeCell ref="B76:D76"/>
    <mergeCell ref="B77:D77"/>
    <mergeCell ref="B93:D93"/>
    <mergeCell ref="A81:H81"/>
    <mergeCell ref="B85:D85"/>
    <mergeCell ref="B86:D86"/>
    <mergeCell ref="B87:D87"/>
    <mergeCell ref="B88:D88"/>
    <mergeCell ref="B20:D20"/>
    <mergeCell ref="A12:H12"/>
    <mergeCell ref="B21:D21"/>
    <mergeCell ref="B22:D22"/>
    <mergeCell ref="B23:D23"/>
    <mergeCell ref="C1:H1"/>
    <mergeCell ref="C2:H2"/>
    <mergeCell ref="C3:H3"/>
    <mergeCell ref="C4:H4"/>
    <mergeCell ref="B24:D24"/>
    <mergeCell ref="B25:D25"/>
    <mergeCell ref="B26:D26"/>
    <mergeCell ref="B27:D27"/>
    <mergeCell ref="B28:D28"/>
    <mergeCell ref="B37:D37"/>
    <mergeCell ref="B38:D38"/>
    <mergeCell ref="A31:H31"/>
    <mergeCell ref="B44:D44"/>
    <mergeCell ref="B45:D45"/>
    <mergeCell ref="B39:D39"/>
    <mergeCell ref="B40:D40"/>
    <mergeCell ref="B41:D41"/>
    <mergeCell ref="B42:D42"/>
    <mergeCell ref="B43:D43"/>
    <mergeCell ref="B61:D61"/>
    <mergeCell ref="A64:H64"/>
    <mergeCell ref="B70:D70"/>
    <mergeCell ref="B57:D57"/>
    <mergeCell ref="B58:D58"/>
    <mergeCell ref="B59:D59"/>
    <mergeCell ref="B60:D60"/>
    <mergeCell ref="B117:D117"/>
    <mergeCell ref="B118:D118"/>
    <mergeCell ref="B119:D119"/>
    <mergeCell ref="B89:D89"/>
    <mergeCell ref="B90:D90"/>
    <mergeCell ref="B91:D91"/>
    <mergeCell ref="B92:D92"/>
    <mergeCell ref="A96:H96"/>
    <mergeCell ref="B101:D101"/>
    <mergeCell ref="B102:D102"/>
    <mergeCell ref="B103:D103"/>
    <mergeCell ref="B104:D104"/>
    <mergeCell ref="B382:D382"/>
    <mergeCell ref="B383:D383"/>
    <mergeCell ref="B384:D384"/>
    <mergeCell ref="B385:D385"/>
    <mergeCell ref="B386:D386"/>
    <mergeCell ref="A6:H6"/>
    <mergeCell ref="F8:G8"/>
    <mergeCell ref="C9:D9"/>
    <mergeCell ref="C10:D10"/>
    <mergeCell ref="B120:D120"/>
    <mergeCell ref="B121:D121"/>
    <mergeCell ref="B122:D122"/>
    <mergeCell ref="B123:D123"/>
    <mergeCell ref="B124:D124"/>
    <mergeCell ref="B125:D125"/>
    <mergeCell ref="B379:E379"/>
    <mergeCell ref="B380:D380"/>
    <mergeCell ref="B381:D381"/>
    <mergeCell ref="B105:D105"/>
    <mergeCell ref="B106:D106"/>
    <mergeCell ref="B107:D107"/>
    <mergeCell ref="B108:D108"/>
    <mergeCell ref="B109:D109"/>
    <mergeCell ref="A112:H112"/>
  </mergeCells>
  <pageMargins left="0.25" right="0.25" top="0.75" bottom="0.75" header="0.3" footer="0.3"/>
  <pageSetup scale="60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Rivera</dc:creator>
  <cp:lastModifiedBy>Ivan Rivera</cp:lastModifiedBy>
  <cp:lastPrinted>2026-01-29T05:58:41Z</cp:lastPrinted>
  <dcterms:created xsi:type="dcterms:W3CDTF">2026-01-23T04:27:34Z</dcterms:created>
  <dcterms:modified xsi:type="dcterms:W3CDTF">2026-01-29T05:58:50Z</dcterms:modified>
</cp:coreProperties>
</file>