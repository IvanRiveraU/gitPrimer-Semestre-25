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rica\OneDrive\Desktop\Papelería Cierre de Pensum\"/>
    </mc:Choice>
  </mc:AlternateContent>
  <xr:revisionPtr revIDLastSave="0" documentId="13_ncr:1_{40BF16C0-6333-4574-87E5-DB50ABE06D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Print_Area" localSheetId="0">Hoja1!$A$212:$H$368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0" i="1" l="1"/>
  <c r="D356" i="1"/>
  <c r="D342" i="1"/>
  <c r="D338" i="1"/>
  <c r="D336" i="1"/>
  <c r="D323" i="1"/>
  <c r="D322" i="1"/>
  <c r="D328" i="1"/>
  <c r="D308" i="1"/>
  <c r="D307" i="1"/>
  <c r="D313" i="1"/>
  <c r="D280" i="1"/>
  <c r="D275" i="1"/>
  <c r="D295" i="1"/>
  <c r="D289" i="1"/>
  <c r="D274" i="1"/>
  <c r="D260" i="1"/>
  <c r="D254" i="1"/>
  <c r="D240" i="1"/>
  <c r="D234" i="1"/>
  <c r="D226" i="1"/>
  <c r="D222" i="1"/>
  <c r="D220" i="1"/>
  <c r="D201" i="1"/>
  <c r="D193" i="1"/>
  <c r="D187" i="1"/>
  <c r="D171" i="1"/>
  <c r="D156" i="1"/>
  <c r="D137" i="1"/>
  <c r="D138" i="1"/>
  <c r="D121" i="1"/>
  <c r="D105" i="1"/>
  <c r="D91" i="1"/>
  <c r="D76" i="1"/>
  <c r="D78" i="1" s="1"/>
  <c r="D62" i="1"/>
  <c r="D352" i="1" l="1"/>
  <c r="D324" i="1"/>
  <c r="D309" i="1"/>
  <c r="D291" i="1"/>
  <c r="D34" i="1"/>
  <c r="D32" i="1"/>
  <c r="D16" i="1"/>
  <c r="F367" i="1"/>
  <c r="D203" i="1"/>
  <c r="D173" i="1"/>
  <c r="D123" i="1"/>
  <c r="D107" i="1"/>
  <c r="D236" i="1"/>
  <c r="D207" i="1"/>
  <c r="D158" i="1"/>
  <c r="D111" i="1"/>
  <c r="D68" i="1"/>
  <c r="D64" i="1"/>
  <c r="D47" i="1"/>
  <c r="D38" i="1"/>
  <c r="D221" i="1"/>
  <c r="D22" i="1"/>
  <c r="D24" i="1" s="1"/>
  <c r="D188" i="1"/>
  <c r="D177" i="1"/>
  <c r="D162" i="1"/>
  <c r="D127" i="1"/>
  <c r="D97" i="1"/>
  <c r="D53" i="1"/>
  <c r="D49" i="1" l="1"/>
  <c r="D139" i="1"/>
  <c r="D276" i="1"/>
  <c r="D256" i="1"/>
  <c r="D189" i="1"/>
  <c r="D82" i="1" l="1"/>
  <c r="D23" i="1" l="1"/>
  <c r="D39" i="1" s="1"/>
  <c r="D18" i="1"/>
  <c r="D21" i="1" s="1"/>
  <c r="D37" i="1" s="1"/>
  <c r="D19" i="1"/>
  <c r="D35" i="1" s="1"/>
  <c r="D50" i="1" s="1"/>
  <c r="D65" i="1" s="1"/>
  <c r="D40" i="1" l="1"/>
  <c r="D54" i="1"/>
  <c r="D55" i="1" s="1"/>
  <c r="D17" i="1"/>
  <c r="D36" i="1" s="1"/>
  <c r="D51" i="1" s="1"/>
  <c r="D93" i="1"/>
  <c r="D52" i="1" l="1"/>
  <c r="D66" i="1"/>
  <c r="D79" i="1"/>
  <c r="D94" i="1" s="1"/>
  <c r="D108" i="1" l="1"/>
  <c r="D124" i="1" s="1"/>
  <c r="D140" i="1" s="1"/>
  <c r="D159" i="1" s="1"/>
  <c r="D174" i="1" s="1"/>
  <c r="D67" i="1"/>
  <c r="D81" i="1" s="1"/>
  <c r="D96" i="1" s="1"/>
  <c r="D110" i="1" s="1"/>
  <c r="D126" i="1" s="1"/>
  <c r="D20" i="1"/>
  <c r="D190" i="1" l="1"/>
  <c r="D204" i="1" s="1"/>
  <c r="D142" i="1"/>
  <c r="D161" i="1" s="1"/>
  <c r="D176" i="1" s="1"/>
  <c r="D192" i="1" s="1"/>
  <c r="D206" i="1" s="1"/>
  <c r="D223" i="1" l="1"/>
  <c r="D237" i="1" s="1"/>
  <c r="D257" i="1" l="1"/>
  <c r="D277" i="1" s="1"/>
  <c r="D69" i="1"/>
  <c r="D70" i="1" s="1"/>
  <c r="D225" i="1"/>
  <c r="D239" i="1" s="1"/>
  <c r="D259" i="1" s="1"/>
  <c r="D279" i="1" s="1"/>
  <c r="D294" i="1" s="1"/>
  <c r="D312" i="1" s="1"/>
  <c r="D327" i="1" s="1"/>
  <c r="D341" i="1" s="1"/>
  <c r="D355" i="1" s="1"/>
  <c r="D80" i="1"/>
  <c r="D95" i="1" s="1"/>
  <c r="D109" i="1" s="1"/>
  <c r="D125" i="1" s="1"/>
  <c r="D141" i="1" s="1"/>
  <c r="D160" i="1" s="1"/>
  <c r="D175" i="1" s="1"/>
  <c r="D191" i="1" s="1"/>
  <c r="D205" i="1" s="1"/>
  <c r="D292" i="1" l="1"/>
  <c r="D310" i="1" s="1"/>
  <c r="D325" i="1" s="1"/>
  <c r="D339" i="1" s="1"/>
  <c r="D353" i="1" s="1"/>
  <c r="F362" i="1" s="1"/>
  <c r="D83" i="1"/>
  <c r="D84" i="1" s="1"/>
  <c r="D98" i="1" l="1"/>
  <c r="D99" i="1" s="1"/>
  <c r="D112" i="1" l="1"/>
  <c r="D113" i="1" s="1"/>
  <c r="D128" i="1" l="1"/>
  <c r="D144" i="1" s="1"/>
  <c r="D145" i="1" s="1"/>
  <c r="D224" i="1"/>
  <c r="D129" i="1" l="1"/>
  <c r="D163" i="1"/>
  <c r="D164" i="1" s="1"/>
  <c r="D238" i="1"/>
  <c r="D258" i="1" s="1"/>
  <c r="D278" i="1" s="1"/>
  <c r="D293" i="1" l="1"/>
  <c r="D311" i="1" s="1"/>
  <c r="D326" i="1" s="1"/>
  <c r="D340" i="1" s="1"/>
  <c r="D354" i="1" s="1"/>
  <c r="F363" i="1" s="1"/>
  <c r="F364" i="1" s="1"/>
  <c r="D178" i="1"/>
  <c r="D179" i="1" s="1"/>
  <c r="D194" i="1" l="1"/>
  <c r="D195" i="1" s="1"/>
  <c r="D208" i="1" l="1"/>
  <c r="D209" i="1" s="1"/>
  <c r="D227" i="1" l="1"/>
  <c r="D228" i="1" s="1"/>
  <c r="D241" i="1" l="1"/>
  <c r="D242" i="1" s="1"/>
  <c r="D261" i="1" l="1"/>
  <c r="D262" i="1" s="1"/>
  <c r="D281" i="1" l="1"/>
  <c r="D296" i="1" l="1"/>
  <c r="D282" i="1"/>
  <c r="D297" i="1" l="1"/>
  <c r="D314" i="1"/>
  <c r="D315" i="1" l="1"/>
  <c r="D329" i="1"/>
  <c r="D330" i="1" l="1"/>
  <c r="D343" i="1"/>
  <c r="D344" i="1" l="1"/>
  <c r="D357" i="1"/>
  <c r="D358" i="1" s="1"/>
  <c r="F368" i="1" s="1"/>
</calcChain>
</file>

<file path=xl/sharedStrings.xml><?xml version="1.0" encoding="utf-8"?>
<sst xmlns="http://schemas.openxmlformats.org/spreadsheetml/2006/main" count="555" uniqueCount="172">
  <si>
    <t>Universidad de San Carlos de Guatemala</t>
  </si>
  <si>
    <t>Centro Universitario de Occidente</t>
  </si>
  <si>
    <t>División de Ciencias de la Ingeniería</t>
  </si>
  <si>
    <t>Nombre:</t>
  </si>
  <si>
    <t>Registro Academico:</t>
  </si>
  <si>
    <t>Carné:</t>
  </si>
  <si>
    <t>Primer Semestre 2018</t>
  </si>
  <si>
    <t>Código
Pre-
Requisitos</t>
  </si>
  <si>
    <t>Código
Cursos</t>
  </si>
  <si>
    <t>Categoria</t>
  </si>
  <si>
    <t>Nota 
Final</t>
  </si>
  <si>
    <t>Fecha de 
Aprobación</t>
  </si>
  <si>
    <t>Curso</t>
  </si>
  <si>
    <t>Créditos</t>
  </si>
  <si>
    <t>Obligatorio</t>
  </si>
  <si>
    <t>Ninguno</t>
  </si>
  <si>
    <t>Social Humanística 1</t>
  </si>
  <si>
    <t>Orientación y Liderazgo</t>
  </si>
  <si>
    <t>Deportes 1</t>
  </si>
  <si>
    <t>Optativo</t>
  </si>
  <si>
    <t>Créditos de Cursos Obligatorios</t>
  </si>
  <si>
    <t>Créditos de Cursos Optativos</t>
  </si>
  <si>
    <t>Créditos del Semestre</t>
  </si>
  <si>
    <t>Créditos Acumulados Obligatorios</t>
  </si>
  <si>
    <t>Créditos Acumulados Optativos</t>
  </si>
  <si>
    <t>Créditos Acumulados</t>
  </si>
  <si>
    <t>Cursos de Semestre</t>
  </si>
  <si>
    <t>Cursos Acumulados</t>
  </si>
  <si>
    <t>Créditos Escuela de Vacaciones</t>
  </si>
  <si>
    <t>Segundo Semestre 2018</t>
  </si>
  <si>
    <t>Cursos Escuela de Vacaciones</t>
  </si>
  <si>
    <t>Escuela de Vacaciones de Junio 2019</t>
  </si>
  <si>
    <t>Resistencia de Materiales 1</t>
  </si>
  <si>
    <t>Primer Semestre 2020</t>
  </si>
  <si>
    <t>Resistencia de Materiales 2</t>
  </si>
  <si>
    <t>Escuela de Vacaciones de Junio 2020</t>
  </si>
  <si>
    <t>Segundo Semestre 2020</t>
  </si>
  <si>
    <t>Primer Semestre 2021</t>
  </si>
  <si>
    <t>Segundo Semestre 2021</t>
  </si>
  <si>
    <t>RESUMEN GENERAL</t>
  </si>
  <si>
    <t>Creditos Obligatorios</t>
  </si>
  <si>
    <t>Créditos Optativos</t>
  </si>
  <si>
    <t>Créditos Totales</t>
  </si>
  <si>
    <t>Cursos Obligatorios</t>
  </si>
  <si>
    <t>Cursos Optativos</t>
  </si>
  <si>
    <t>Cursos Totales</t>
  </si>
  <si>
    <t>Social Humanistica 2</t>
  </si>
  <si>
    <t>Fisica Basica</t>
  </si>
  <si>
    <t>Matematica Intermedia 3</t>
  </si>
  <si>
    <t>Hidraulica</t>
  </si>
  <si>
    <t>Practica Intermedia</t>
  </si>
  <si>
    <t>170 - 72</t>
  </si>
  <si>
    <t>291 - 292</t>
  </si>
  <si>
    <t>Estadística 2</t>
  </si>
  <si>
    <t>Primer Semestre 2022</t>
  </si>
  <si>
    <t>Segundo Semestre 2022</t>
  </si>
  <si>
    <t>Matriz de cursos aprobados</t>
  </si>
  <si>
    <t>Técnica complementaria  1</t>
  </si>
  <si>
    <t>Técnicas de investigación y estudio</t>
  </si>
  <si>
    <t>Estadística 1</t>
  </si>
  <si>
    <t>Física 2</t>
  </si>
  <si>
    <t>Segundo Semestre 2023</t>
  </si>
  <si>
    <t>Promedio hasta el primer semestre 2018</t>
  </si>
  <si>
    <t>Promedio hasta el segundo semestre 2018</t>
  </si>
  <si>
    <t>Promedio hasta el primer semestre 2020</t>
  </si>
  <si>
    <t>Promedio hasta el segundo semestre 2020</t>
  </si>
  <si>
    <t>Promedio hasta el primer semestre 2021</t>
  </si>
  <si>
    <t>Promedio hasta el segundo semestre 2021</t>
  </si>
  <si>
    <t>Promedio hasta el primer semestre 2022</t>
  </si>
  <si>
    <t>Promedio hasta segundo semestre 2023</t>
  </si>
  <si>
    <t>Promedio hasta primer semestre 2024</t>
  </si>
  <si>
    <t>Ingeniería Industrial</t>
  </si>
  <si>
    <t>José Ricardo López Martínez</t>
  </si>
  <si>
    <t>3229-07047-1001</t>
  </si>
  <si>
    <t>Matematica Básica 1</t>
  </si>
  <si>
    <t>Matemática Básica 2</t>
  </si>
  <si>
    <t>Física Básica</t>
  </si>
  <si>
    <t>Matemática Intermedia 1</t>
  </si>
  <si>
    <t>Matemática Intermedia 3</t>
  </si>
  <si>
    <t>Escuela de Vacaciones de Diciembre 2020</t>
  </si>
  <si>
    <t>Física 1</t>
  </si>
  <si>
    <t>Prácticas Iniciales</t>
  </si>
  <si>
    <t>Mecánica Analítica 1</t>
  </si>
  <si>
    <t>Matemática Intermedia 2</t>
  </si>
  <si>
    <t>290 - 146</t>
  </si>
  <si>
    <t>Matemática Aplicada 1</t>
  </si>
  <si>
    <t>146 - 290</t>
  </si>
  <si>
    <t>Cursos del Semestre</t>
  </si>
  <si>
    <t>Créditos de Escuela de Vacaciones</t>
  </si>
  <si>
    <t>Cursos de Escuela de Vacaciones</t>
  </si>
  <si>
    <t>Mecánica de Fluidos</t>
  </si>
  <si>
    <t>Química 1</t>
  </si>
  <si>
    <t>Ecología</t>
  </si>
  <si>
    <t>Legislación 1</t>
  </si>
  <si>
    <t>Contabilidad 1</t>
  </si>
  <si>
    <t>292 - 109</t>
  </si>
  <si>
    <t>Ciencia de los Materiales</t>
  </si>
  <si>
    <t>90 Cr</t>
  </si>
  <si>
    <t>Escuela de Vacaciones Junio 2022</t>
  </si>
  <si>
    <t>Matemática Aplicada 3</t>
  </si>
  <si>
    <t>Contabilidad 2</t>
  </si>
  <si>
    <t>Programación de Computadoras 1</t>
  </si>
  <si>
    <t>Legislación 2</t>
  </si>
  <si>
    <t>949 - 292</t>
  </si>
  <si>
    <t>Escuela de Vacaciones Diciembre 2022</t>
  </si>
  <si>
    <t>Ingeniería Eléctrica 1</t>
  </si>
  <si>
    <t>292 - 147</t>
  </si>
  <si>
    <t>Psicología Industrial</t>
  </si>
  <si>
    <t>Ingeniería de Plantas</t>
  </si>
  <si>
    <t>Procesos de Manufactura 1</t>
  </si>
  <si>
    <t>Contabilidad 3</t>
  </si>
  <si>
    <t>Ingeniería Eléctrica 2</t>
  </si>
  <si>
    <t>90 Cr.</t>
  </si>
  <si>
    <t>949 - 694</t>
  </si>
  <si>
    <t>Promedio hasta segundo semestre 2022</t>
  </si>
  <si>
    <t>Primer Semestre 2023</t>
  </si>
  <si>
    <t>Promedio hasta primer semestre 2023</t>
  </si>
  <si>
    <t>Investigación de Operaciones 1</t>
  </si>
  <si>
    <t>Escuela de Vacaciones Junio 2023</t>
  </si>
  <si>
    <t>Procesos de Manufactura 2</t>
  </si>
  <si>
    <t>Administración de Personal</t>
  </si>
  <si>
    <t>Programación Comercial</t>
  </si>
  <si>
    <t>Ingeniería de Métodos</t>
  </si>
  <si>
    <t>Investigación de Operaciones 2</t>
  </si>
  <si>
    <t>Microeconomía</t>
  </si>
  <si>
    <t>07/11/203</t>
  </si>
  <si>
    <t>087 - 952</t>
  </si>
  <si>
    <t>Mercadotecnia 1</t>
  </si>
  <si>
    <t>952 y 779 ó 690</t>
  </si>
  <si>
    <t>Primer Semestre 2024</t>
  </si>
  <si>
    <t>Controles Industriales</t>
  </si>
  <si>
    <t>Filosofía de la Ciencia</t>
  </si>
  <si>
    <t>Programación de Computadoras 2</t>
  </si>
  <si>
    <t>Dibujo Técnico Mecánico</t>
  </si>
  <si>
    <t>Diseño de la Producción</t>
  </si>
  <si>
    <t>Prácticas Intermedias</t>
  </si>
  <si>
    <t>954 - 950</t>
  </si>
  <si>
    <t>119 - 60 Cr</t>
  </si>
  <si>
    <t>2394 - 120 Cr</t>
  </si>
  <si>
    <t>Créditos de Escuela de Vacaciones 2023</t>
  </si>
  <si>
    <t>Escuela de Vacaciones Junio 2024</t>
  </si>
  <si>
    <t>Seminario de Investigación</t>
  </si>
  <si>
    <t>Ingeniería Económica 1</t>
  </si>
  <si>
    <t>200 Cr</t>
  </si>
  <si>
    <t>Química 2</t>
  </si>
  <si>
    <t>169 - 216 - 072</t>
  </si>
  <si>
    <t>Segundo Semestre 2024</t>
  </si>
  <si>
    <t>Administración de Empresas 1</t>
  </si>
  <si>
    <t>Seguridad e Higiene Industrial</t>
  </si>
  <si>
    <t>Control de la Producción</t>
  </si>
  <si>
    <t>Ética Profesional</t>
  </si>
  <si>
    <t>Termodinámica 1</t>
  </si>
  <si>
    <t>Escuela de Vacaciones Diciembre 2024</t>
  </si>
  <si>
    <t>Promedio hasta segundo semestre 2024</t>
  </si>
  <si>
    <t>Preparación y Evaluación de Proyectos 1</t>
  </si>
  <si>
    <t>Análisis de Sistemas Industriales</t>
  </si>
  <si>
    <t>690 - 190 Cr</t>
  </si>
  <si>
    <t>Primer Semestre 2025</t>
  </si>
  <si>
    <t>Práctica Final</t>
  </si>
  <si>
    <t>2585 - 200 Cr</t>
  </si>
  <si>
    <t>Promedio hasta el primer semestre 2025</t>
  </si>
  <si>
    <t>Escuela de Vacaciones Junio 2025</t>
  </si>
  <si>
    <t>Preparación y Evaluación de Proyectos 2</t>
  </si>
  <si>
    <t>Promedio hasta escuela de vacaciones junio 2020</t>
  </si>
  <si>
    <t>Promedio hasta escuela de vacaciones junio 2019</t>
  </si>
  <si>
    <t>Promedio hasta escuela de vacaciones diciembre 2020</t>
  </si>
  <si>
    <t>Promedio hasta escuela de vacaciones junio 2022</t>
  </si>
  <si>
    <t>Promedio hasta escuela de vacaciones diciembre 2022</t>
  </si>
  <si>
    <t>Promedio hasta escuela de vacaciones junio 2023</t>
  </si>
  <si>
    <t>Promedio hasta escuela de vacaciones junio 2024</t>
  </si>
  <si>
    <t>Promedio hasta escuela de vacaciones diciembre 2024</t>
  </si>
  <si>
    <t>Promedio hasta escuela de vacaciones juio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</si>
</sst>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2" fontId="5" fillId="0" borderId="2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5" fillId="0" borderId="0" xfId="1" applyFont="1" applyBorder="1" applyAlignment="1">
      <alignment horizontal="center"/>
    </xf>
    <xf numFmtId="2" fontId="5" fillId="0" borderId="0" xfId="1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2" fillId="0" borderId="8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2" fillId="0" borderId="15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13" xfId="0" applyBorder="1"/>
    <xf numFmtId="0" fontId="2" fillId="0" borderId="7" xfId="0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5" fillId="0" borderId="12" xfId="1" applyFont="1" applyBorder="1" applyAlignment="1">
      <alignment horizontal="center"/>
    </xf>
    <xf numFmtId="0" fontId="5" fillId="0" borderId="23" xfId="1" applyFont="1" applyBorder="1" applyAlignment="1">
      <alignment horizontal="center"/>
    </xf>
    <xf numFmtId="0" fontId="5" fillId="0" borderId="13" xfId="1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78740</xdr:rowOff>
    </xdr:from>
    <xdr:to>
      <xdr:col>2</xdr:col>
      <xdr:colOff>479138</xdr:colOff>
      <xdr:row>3</xdr:row>
      <xdr:rowOff>151940</xdr:rowOff>
    </xdr:to>
    <xdr:pic>
      <xdr:nvPicPr>
        <xdr:cNvPr id="2" name="Imagen 1" descr="Imagen relacionada">
          <a:extLst>
            <a:ext uri="{FF2B5EF4-FFF2-40B4-BE49-F238E27FC236}">
              <a16:creationId xmlns:a16="http://schemas.microsoft.com/office/drawing/2014/main" id="{096B0003-3351-4EEC-9297-7DC80E4F7B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26" t="27858" r="21288" b="20523"/>
        <a:stretch/>
      </xdr:blipFill>
      <xdr:spPr bwMode="auto">
        <a:xfrm>
          <a:off x="30480" y="78740"/>
          <a:ext cx="2506058" cy="65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14"/>
  <sheetViews>
    <sheetView showGridLines="0" tabSelected="1" topLeftCell="A350" zoomScaleNormal="100" zoomScaleSheetLayoutView="100" zoomScalePageLayoutView="90" workbookViewId="0">
      <selection activeCell="C361" sqref="C361:F368"/>
    </sheetView>
  </sheetViews>
  <sheetFormatPr baseColWidth="10" defaultRowHeight="15" x14ac:dyDescent="0.25"/>
  <cols>
    <col min="1" max="1" width="17.140625" customWidth="1"/>
    <col min="3" max="3" width="26" customWidth="1"/>
    <col min="4" max="4" width="13.28515625" customWidth="1"/>
    <col min="5" max="5" width="15.85546875" customWidth="1"/>
    <col min="6" max="6" width="24.85546875" customWidth="1"/>
    <col min="8" max="8" width="14.7109375" customWidth="1"/>
  </cols>
  <sheetData>
    <row r="1" spans="1:8" ht="15.75" x14ac:dyDescent="0.25">
      <c r="A1" s="1"/>
      <c r="B1" s="1"/>
      <c r="C1" s="1"/>
      <c r="D1" s="60" t="s">
        <v>0</v>
      </c>
      <c r="E1" s="60"/>
      <c r="F1" s="60"/>
      <c r="G1" s="60"/>
      <c r="H1" s="60"/>
    </row>
    <row r="2" spans="1:8" ht="15.75" x14ac:dyDescent="0.25">
      <c r="A2" s="1"/>
      <c r="B2" s="1"/>
      <c r="C2" s="1"/>
      <c r="D2" s="60" t="s">
        <v>1</v>
      </c>
      <c r="E2" s="60"/>
      <c r="F2" s="60"/>
      <c r="G2" s="60"/>
      <c r="H2" s="60"/>
    </row>
    <row r="3" spans="1:8" ht="15.75" x14ac:dyDescent="0.25">
      <c r="A3" s="1"/>
      <c r="B3" s="1"/>
      <c r="C3" s="1"/>
      <c r="D3" s="60" t="s">
        <v>2</v>
      </c>
      <c r="E3" s="60"/>
      <c r="F3" s="60"/>
      <c r="G3" s="60"/>
      <c r="H3" s="60"/>
    </row>
    <row r="4" spans="1:8" ht="15.75" x14ac:dyDescent="0.25">
      <c r="A4" s="1"/>
      <c r="B4" s="1"/>
      <c r="C4" s="1"/>
      <c r="D4" s="60" t="s">
        <v>71</v>
      </c>
      <c r="E4" s="60"/>
      <c r="F4" s="60"/>
      <c r="G4" s="60"/>
      <c r="H4" s="60"/>
    </row>
    <row r="5" spans="1:8" ht="15.75" x14ac:dyDescent="0.25">
      <c r="A5" s="93" t="s">
        <v>56</v>
      </c>
      <c r="B5" s="93"/>
      <c r="C5" s="93"/>
      <c r="D5" s="93"/>
      <c r="E5" s="93"/>
      <c r="F5" s="93"/>
      <c r="G5" s="93"/>
      <c r="H5" s="93"/>
    </row>
    <row r="6" spans="1:8" ht="15.75" x14ac:dyDescent="0.25">
      <c r="A6" s="60" t="s">
        <v>3</v>
      </c>
      <c r="B6" s="60"/>
      <c r="C6" s="60" t="s">
        <v>72</v>
      </c>
      <c r="D6" s="60"/>
      <c r="E6" s="60"/>
      <c r="F6" s="1" t="s">
        <v>5</v>
      </c>
      <c r="G6" s="60" t="s">
        <v>73</v>
      </c>
      <c r="H6" s="60"/>
    </row>
    <row r="7" spans="1:8" ht="15.75" x14ac:dyDescent="0.25">
      <c r="A7" s="60" t="s">
        <v>5</v>
      </c>
      <c r="B7" s="60"/>
      <c r="C7" s="60" t="s">
        <v>73</v>
      </c>
      <c r="D7" s="60"/>
      <c r="E7" s="60"/>
      <c r="F7" s="35" t="s">
        <v>4</v>
      </c>
      <c r="G7" s="60">
        <v>201831728</v>
      </c>
      <c r="H7" s="60"/>
    </row>
    <row r="8" spans="1:8" ht="16.5" thickBot="1" x14ac:dyDescent="0.3">
      <c r="A8" s="1"/>
      <c r="B8" s="1"/>
      <c r="C8" s="1"/>
      <c r="D8" s="1"/>
      <c r="E8" s="1"/>
      <c r="F8" s="1"/>
      <c r="G8" s="1"/>
      <c r="H8" s="1"/>
    </row>
    <row r="9" spans="1:8" ht="15.75" x14ac:dyDescent="0.25">
      <c r="A9" s="94" t="s">
        <v>6</v>
      </c>
      <c r="B9" s="95"/>
      <c r="C9" s="95"/>
      <c r="D9" s="95"/>
      <c r="E9" s="95"/>
      <c r="F9" s="95"/>
      <c r="G9" s="95"/>
      <c r="H9" s="96"/>
    </row>
    <row r="10" spans="1:8" ht="47.25" x14ac:dyDescent="0.25">
      <c r="A10" s="7" t="s">
        <v>7</v>
      </c>
      <c r="B10" s="2" t="s">
        <v>8</v>
      </c>
      <c r="C10" s="3" t="s">
        <v>9</v>
      </c>
      <c r="D10" s="3" t="s">
        <v>13</v>
      </c>
      <c r="E10" s="55" t="s">
        <v>12</v>
      </c>
      <c r="F10" s="55"/>
      <c r="G10" s="2" t="s">
        <v>10</v>
      </c>
      <c r="H10" s="8" t="s">
        <v>11</v>
      </c>
    </row>
    <row r="11" spans="1:8" ht="15.75" x14ac:dyDescent="0.25">
      <c r="A11" s="12" t="s">
        <v>15</v>
      </c>
      <c r="B11" s="4">
        <v>28</v>
      </c>
      <c r="C11" s="4" t="s">
        <v>14</v>
      </c>
      <c r="D11" s="4">
        <v>4</v>
      </c>
      <c r="E11" s="59" t="s">
        <v>16</v>
      </c>
      <c r="F11" s="59"/>
      <c r="G11" s="4">
        <v>62</v>
      </c>
      <c r="H11" s="9">
        <v>43294</v>
      </c>
    </row>
    <row r="12" spans="1:8" ht="15.75" x14ac:dyDescent="0.25">
      <c r="A12" s="12" t="s">
        <v>15</v>
      </c>
      <c r="B12" s="4">
        <v>2666</v>
      </c>
      <c r="C12" s="4" t="s">
        <v>14</v>
      </c>
      <c r="D12" s="4">
        <v>1</v>
      </c>
      <c r="E12" s="59" t="s">
        <v>17</v>
      </c>
      <c r="F12" s="59"/>
      <c r="G12" s="4">
        <v>80</v>
      </c>
      <c r="H12" s="9">
        <v>43227</v>
      </c>
    </row>
    <row r="13" spans="1:8" ht="15.75" x14ac:dyDescent="0.25">
      <c r="A13" s="12" t="s">
        <v>15</v>
      </c>
      <c r="B13" s="4">
        <v>177</v>
      </c>
      <c r="C13" s="4" t="s">
        <v>19</v>
      </c>
      <c r="D13" s="4">
        <v>1</v>
      </c>
      <c r="E13" s="59" t="s">
        <v>18</v>
      </c>
      <c r="F13" s="59"/>
      <c r="G13" s="4">
        <v>62</v>
      </c>
      <c r="H13" s="9">
        <v>43231</v>
      </c>
    </row>
    <row r="14" spans="1:8" ht="16.5" thickBot="1" x14ac:dyDescent="0.3">
      <c r="A14" s="32" t="s">
        <v>15</v>
      </c>
      <c r="B14" s="33">
        <v>119</v>
      </c>
      <c r="C14" s="33" t="s">
        <v>14</v>
      </c>
      <c r="D14" s="33">
        <v>3</v>
      </c>
      <c r="E14" s="97" t="s">
        <v>57</v>
      </c>
      <c r="F14" s="97"/>
      <c r="G14" s="33">
        <v>61</v>
      </c>
      <c r="H14" s="34">
        <v>43242</v>
      </c>
    </row>
    <row r="15" spans="1:8" ht="16.5" thickBot="1" x14ac:dyDescent="0.3">
      <c r="A15" s="1"/>
      <c r="B15" s="1"/>
      <c r="C15" s="1"/>
      <c r="D15" s="1"/>
      <c r="E15" s="1"/>
      <c r="F15" s="1"/>
      <c r="G15" s="1"/>
      <c r="H15" s="1"/>
    </row>
    <row r="16" spans="1:8" ht="15.75" x14ac:dyDescent="0.25">
      <c r="A16" s="66" t="s">
        <v>20</v>
      </c>
      <c r="B16" s="67"/>
      <c r="C16" s="67"/>
      <c r="D16" s="11">
        <f>+SUM(D11+D12+D14)</f>
        <v>8</v>
      </c>
      <c r="E16" s="1"/>
      <c r="F16" s="1"/>
      <c r="G16" s="1"/>
      <c r="H16" s="1"/>
    </row>
    <row r="17" spans="1:8" ht="15.75" x14ac:dyDescent="0.25">
      <c r="A17" s="58" t="s">
        <v>21</v>
      </c>
      <c r="B17" s="59"/>
      <c r="C17" s="59"/>
      <c r="D17" s="13">
        <f>D12</f>
        <v>1</v>
      </c>
      <c r="E17" s="1"/>
      <c r="F17" s="1"/>
      <c r="G17" s="1"/>
      <c r="H17" s="1"/>
    </row>
    <row r="18" spans="1:8" ht="15.75" x14ac:dyDescent="0.25">
      <c r="A18" s="54" t="s">
        <v>22</v>
      </c>
      <c r="B18" s="55"/>
      <c r="C18" s="55"/>
      <c r="D18" s="14">
        <f>SUM(D11:D14)</f>
        <v>9</v>
      </c>
      <c r="E18" s="1"/>
      <c r="F18" s="1"/>
      <c r="G18" s="1"/>
      <c r="H18" s="1"/>
    </row>
    <row r="19" spans="1:8" ht="15.75" x14ac:dyDescent="0.25">
      <c r="A19" s="58" t="s">
        <v>23</v>
      </c>
      <c r="B19" s="59"/>
      <c r="C19" s="59"/>
      <c r="D19" s="13">
        <f>+D16</f>
        <v>8</v>
      </c>
      <c r="E19" s="1"/>
      <c r="F19" s="1"/>
      <c r="G19" s="1"/>
      <c r="H19" s="1"/>
    </row>
    <row r="20" spans="1:8" ht="15.75" x14ac:dyDescent="0.25">
      <c r="A20" s="58" t="s">
        <v>24</v>
      </c>
      <c r="B20" s="59"/>
      <c r="C20" s="59"/>
      <c r="D20" s="13">
        <f>+D17</f>
        <v>1</v>
      </c>
      <c r="E20" s="1"/>
      <c r="F20" s="1"/>
      <c r="G20" s="1"/>
      <c r="H20" s="1"/>
    </row>
    <row r="21" spans="1:8" ht="15.75" x14ac:dyDescent="0.25">
      <c r="A21" s="54" t="s">
        <v>25</v>
      </c>
      <c r="B21" s="55"/>
      <c r="C21" s="55"/>
      <c r="D21" s="14">
        <f>+D18</f>
        <v>9</v>
      </c>
      <c r="E21" s="1"/>
      <c r="F21" s="1"/>
      <c r="G21" s="1"/>
      <c r="H21" s="1"/>
    </row>
    <row r="22" spans="1:8" ht="15.75" x14ac:dyDescent="0.25">
      <c r="A22" s="58" t="s">
        <v>26</v>
      </c>
      <c r="B22" s="59"/>
      <c r="C22" s="59"/>
      <c r="D22" s="13">
        <f>COUNT(D11:D14)</f>
        <v>4</v>
      </c>
      <c r="E22" s="1"/>
      <c r="F22" s="1"/>
      <c r="G22" s="1"/>
      <c r="H22" s="1"/>
    </row>
    <row r="23" spans="1:8" ht="15.75" x14ac:dyDescent="0.25">
      <c r="A23" s="54" t="s">
        <v>27</v>
      </c>
      <c r="B23" s="55"/>
      <c r="C23" s="55"/>
      <c r="D23" s="14">
        <f>+D22</f>
        <v>4</v>
      </c>
      <c r="E23" s="1"/>
      <c r="F23" s="1"/>
      <c r="G23" s="1"/>
      <c r="H23" s="1"/>
    </row>
    <row r="24" spans="1:8" ht="16.5" thickBot="1" x14ac:dyDescent="0.3">
      <c r="A24" s="56" t="s">
        <v>62</v>
      </c>
      <c r="B24" s="57"/>
      <c r="C24" s="57"/>
      <c r="D24" s="15">
        <f>+SUM(G11:G14)/D22</f>
        <v>66.25</v>
      </c>
      <c r="E24" s="1"/>
      <c r="F24" s="1"/>
      <c r="G24" s="1"/>
      <c r="H24" s="1"/>
    </row>
    <row r="25" spans="1:8" ht="15.75" x14ac:dyDescent="0.25">
      <c r="A25" s="1"/>
      <c r="B25" s="1"/>
      <c r="C25" s="1"/>
      <c r="D25" s="1"/>
      <c r="E25" s="1"/>
      <c r="F25" s="1"/>
      <c r="G25" s="1"/>
      <c r="H25" s="1"/>
    </row>
    <row r="26" spans="1:8" ht="16.5" thickBot="1" x14ac:dyDescent="0.3">
      <c r="A26" s="23"/>
      <c r="B26" s="23"/>
      <c r="C26" s="23"/>
      <c r="D26" s="24"/>
      <c r="E26" s="1"/>
      <c r="F26" s="1"/>
      <c r="G26" s="1"/>
      <c r="H26" s="1"/>
    </row>
    <row r="27" spans="1:8" ht="16.5" thickBot="1" x14ac:dyDescent="0.3">
      <c r="A27" s="89" t="s">
        <v>29</v>
      </c>
      <c r="B27" s="90"/>
      <c r="C27" s="90"/>
      <c r="D27" s="90"/>
      <c r="E27" s="90"/>
      <c r="F27" s="90"/>
      <c r="G27" s="90"/>
      <c r="H27" s="91"/>
    </row>
    <row r="28" spans="1:8" ht="47.25" x14ac:dyDescent="0.25">
      <c r="A28" s="41" t="s">
        <v>7</v>
      </c>
      <c r="B28" s="42" t="s">
        <v>8</v>
      </c>
      <c r="C28" s="39" t="s">
        <v>9</v>
      </c>
      <c r="D28" s="39" t="s">
        <v>13</v>
      </c>
      <c r="E28" s="92" t="s">
        <v>12</v>
      </c>
      <c r="F28" s="92"/>
      <c r="G28" s="42" t="s">
        <v>10</v>
      </c>
      <c r="H28" s="43" t="s">
        <v>11</v>
      </c>
    </row>
    <row r="29" spans="1:8" ht="15.75" x14ac:dyDescent="0.25">
      <c r="A29" s="12">
        <v>28</v>
      </c>
      <c r="B29" s="4">
        <v>29</v>
      </c>
      <c r="C29" s="4" t="s">
        <v>14</v>
      </c>
      <c r="D29" s="4">
        <v>4</v>
      </c>
      <c r="E29" s="64" t="s">
        <v>46</v>
      </c>
      <c r="F29" s="65" t="s">
        <v>46</v>
      </c>
      <c r="G29" s="4">
        <v>61</v>
      </c>
      <c r="H29" s="9">
        <v>43423</v>
      </c>
    </row>
    <row r="30" spans="1:8" ht="15.75" x14ac:dyDescent="0.25">
      <c r="A30" s="12" t="s">
        <v>15</v>
      </c>
      <c r="B30" s="4">
        <v>2667</v>
      </c>
      <c r="C30" s="4" t="s">
        <v>14</v>
      </c>
      <c r="D30" s="4">
        <v>3</v>
      </c>
      <c r="E30" s="64" t="s">
        <v>58</v>
      </c>
      <c r="F30" s="65" t="s">
        <v>47</v>
      </c>
      <c r="G30" s="4">
        <v>77</v>
      </c>
      <c r="H30" s="9">
        <v>43423</v>
      </c>
    </row>
    <row r="31" spans="1:8" ht="16.5" thickBot="1" x14ac:dyDescent="0.3">
      <c r="A31" s="1"/>
      <c r="B31" s="1"/>
      <c r="C31" s="1"/>
      <c r="D31" s="1"/>
      <c r="E31" s="1"/>
      <c r="F31" s="1"/>
      <c r="G31" s="1"/>
      <c r="H31" s="1"/>
    </row>
    <row r="32" spans="1:8" ht="15.75" x14ac:dyDescent="0.25">
      <c r="A32" s="66" t="s">
        <v>20</v>
      </c>
      <c r="B32" s="67"/>
      <c r="C32" s="67"/>
      <c r="D32" s="11">
        <f>(D29+D30)</f>
        <v>7</v>
      </c>
      <c r="E32" s="1"/>
      <c r="F32" s="1"/>
      <c r="G32" s="1"/>
      <c r="H32" s="1"/>
    </row>
    <row r="33" spans="1:8" ht="15.75" x14ac:dyDescent="0.25">
      <c r="A33" s="58" t="s">
        <v>21</v>
      </c>
      <c r="B33" s="59"/>
      <c r="C33" s="59"/>
      <c r="D33" s="13">
        <v>0</v>
      </c>
      <c r="E33" s="1"/>
      <c r="F33" s="1"/>
      <c r="G33" s="1"/>
      <c r="H33" s="1"/>
    </row>
    <row r="34" spans="1:8" ht="15.75" x14ac:dyDescent="0.25">
      <c r="A34" s="54" t="s">
        <v>22</v>
      </c>
      <c r="B34" s="55"/>
      <c r="C34" s="55"/>
      <c r="D34" s="14">
        <f>SUM(D29:D30)</f>
        <v>7</v>
      </c>
      <c r="E34" s="1"/>
      <c r="F34" s="1"/>
      <c r="G34" s="1"/>
      <c r="H34" s="1"/>
    </row>
    <row r="35" spans="1:8" ht="15.75" x14ac:dyDescent="0.25">
      <c r="A35" s="58" t="s">
        <v>23</v>
      </c>
      <c r="B35" s="59"/>
      <c r="C35" s="59"/>
      <c r="D35" s="13">
        <f>(D32+D19)</f>
        <v>15</v>
      </c>
      <c r="E35" s="1"/>
      <c r="F35" s="1"/>
      <c r="G35" s="1"/>
      <c r="H35" s="1"/>
    </row>
    <row r="36" spans="1:8" ht="15.75" x14ac:dyDescent="0.25">
      <c r="A36" s="58" t="s">
        <v>24</v>
      </c>
      <c r="B36" s="59"/>
      <c r="C36" s="59"/>
      <c r="D36" s="13">
        <f>D33+D17</f>
        <v>1</v>
      </c>
      <c r="E36" s="1"/>
      <c r="F36" s="1"/>
      <c r="G36" s="1"/>
      <c r="H36" s="1"/>
    </row>
    <row r="37" spans="1:8" ht="15.75" x14ac:dyDescent="0.25">
      <c r="A37" s="54" t="s">
        <v>25</v>
      </c>
      <c r="B37" s="55"/>
      <c r="C37" s="55"/>
      <c r="D37" s="14">
        <f>+D34+D21</f>
        <v>16</v>
      </c>
      <c r="E37" s="1"/>
      <c r="F37" s="1"/>
      <c r="G37" s="1"/>
      <c r="H37" s="1"/>
    </row>
    <row r="38" spans="1:8" ht="15.75" x14ac:dyDescent="0.25">
      <c r="A38" s="58" t="s">
        <v>26</v>
      </c>
      <c r="B38" s="59"/>
      <c r="C38" s="59"/>
      <c r="D38" s="13">
        <f>COUNT(D29:D30)</f>
        <v>2</v>
      </c>
      <c r="E38" s="1"/>
      <c r="F38" s="1"/>
      <c r="G38" s="1"/>
      <c r="H38" s="1"/>
    </row>
    <row r="39" spans="1:8" ht="15.75" x14ac:dyDescent="0.25">
      <c r="A39" s="54" t="s">
        <v>27</v>
      </c>
      <c r="B39" s="55"/>
      <c r="C39" s="55"/>
      <c r="D39" s="14">
        <f>+D38+D23</f>
        <v>6</v>
      </c>
      <c r="E39" s="1"/>
      <c r="F39" s="1"/>
      <c r="G39" s="1"/>
      <c r="H39" s="1"/>
    </row>
    <row r="40" spans="1:8" ht="16.5" thickBot="1" x14ac:dyDescent="0.3">
      <c r="A40" s="56" t="s">
        <v>63</v>
      </c>
      <c r="B40" s="57"/>
      <c r="C40" s="57"/>
      <c r="D40" s="15">
        <f>+SUM(G29:G30,G11:G14)/D39</f>
        <v>67.166666666666671</v>
      </c>
      <c r="E40" s="1"/>
      <c r="F40" s="1"/>
      <c r="G40" s="1"/>
      <c r="H40" s="1"/>
    </row>
    <row r="41" spans="1:8" ht="15.75" x14ac:dyDescent="0.25">
      <c r="A41" s="23"/>
      <c r="B41" s="23"/>
      <c r="C41" s="23"/>
      <c r="D41" s="24"/>
      <c r="E41" s="1"/>
      <c r="F41" s="1"/>
      <c r="G41" s="1"/>
      <c r="H41" s="1"/>
    </row>
    <row r="42" spans="1:8" ht="16.5" thickBot="1" x14ac:dyDescent="0.3">
      <c r="A42" s="44"/>
      <c r="B42" s="44"/>
      <c r="C42" s="1"/>
      <c r="D42" s="1"/>
      <c r="E42" s="60"/>
      <c r="F42" s="60"/>
      <c r="G42" s="44"/>
      <c r="H42" s="45"/>
    </row>
    <row r="43" spans="1:8" ht="16.5" thickBot="1" x14ac:dyDescent="0.3">
      <c r="A43" s="89" t="s">
        <v>31</v>
      </c>
      <c r="B43" s="90"/>
      <c r="C43" s="90"/>
      <c r="D43" s="90"/>
      <c r="E43" s="90"/>
      <c r="F43" s="90"/>
      <c r="G43" s="90"/>
      <c r="H43" s="91"/>
    </row>
    <row r="44" spans="1:8" ht="47.25" x14ac:dyDescent="0.25">
      <c r="A44" s="41" t="s">
        <v>7</v>
      </c>
      <c r="B44" s="42" t="s">
        <v>8</v>
      </c>
      <c r="C44" s="39" t="s">
        <v>9</v>
      </c>
      <c r="D44" s="39" t="s">
        <v>13</v>
      </c>
      <c r="E44" s="92" t="s">
        <v>12</v>
      </c>
      <c r="F44" s="92"/>
      <c r="G44" s="42" t="s">
        <v>10</v>
      </c>
      <c r="H44" s="43" t="s">
        <v>11</v>
      </c>
    </row>
    <row r="45" spans="1:8" ht="15.75" x14ac:dyDescent="0.25">
      <c r="A45" s="30" t="s">
        <v>15</v>
      </c>
      <c r="B45" s="30">
        <v>169</v>
      </c>
      <c r="C45" s="4" t="s">
        <v>14</v>
      </c>
      <c r="D45" s="4">
        <v>7</v>
      </c>
      <c r="E45" s="59" t="s">
        <v>74</v>
      </c>
      <c r="F45" s="59" t="s">
        <v>48</v>
      </c>
      <c r="G45" s="30">
        <v>61</v>
      </c>
      <c r="H45" s="31">
        <v>43644</v>
      </c>
    </row>
    <row r="46" spans="1:8" ht="16.5" thickBot="1" x14ac:dyDescent="0.3">
      <c r="A46" s="1"/>
      <c r="B46" s="1"/>
      <c r="C46" s="1"/>
      <c r="D46" s="1"/>
      <c r="E46" s="60"/>
      <c r="F46" s="60"/>
      <c r="G46" s="1"/>
      <c r="H46" s="6"/>
    </row>
    <row r="47" spans="1:8" ht="15.75" x14ac:dyDescent="0.25">
      <c r="A47" s="66" t="s">
        <v>20</v>
      </c>
      <c r="B47" s="67"/>
      <c r="C47" s="67"/>
      <c r="D47" s="11">
        <f>SUM(D45:D45)</f>
        <v>7</v>
      </c>
      <c r="E47" s="60"/>
      <c r="F47" s="60"/>
      <c r="G47" s="1"/>
      <c r="H47" s="6"/>
    </row>
    <row r="48" spans="1:8" ht="15.75" x14ac:dyDescent="0.25">
      <c r="A48" s="58" t="s">
        <v>21</v>
      </c>
      <c r="B48" s="59"/>
      <c r="C48" s="59"/>
      <c r="D48" s="13">
        <v>0</v>
      </c>
      <c r="E48" s="60"/>
      <c r="F48" s="60"/>
      <c r="G48" s="1"/>
      <c r="H48" s="6"/>
    </row>
    <row r="49" spans="1:8" ht="15.75" x14ac:dyDescent="0.25">
      <c r="A49" s="54" t="s">
        <v>28</v>
      </c>
      <c r="B49" s="55"/>
      <c r="C49" s="55"/>
      <c r="D49" s="14">
        <f>D47+D48</f>
        <v>7</v>
      </c>
      <c r="E49" s="60"/>
      <c r="F49" s="60"/>
      <c r="G49" s="1"/>
      <c r="H49" s="6"/>
    </row>
    <row r="50" spans="1:8" ht="15.75" x14ac:dyDescent="0.25">
      <c r="A50" s="58" t="s">
        <v>23</v>
      </c>
      <c r="B50" s="59"/>
      <c r="C50" s="59"/>
      <c r="D50" s="13">
        <f>+D47+D35</f>
        <v>22</v>
      </c>
      <c r="E50" s="60"/>
      <c r="F50" s="60"/>
      <c r="G50" s="1"/>
      <c r="H50" s="6"/>
    </row>
    <row r="51" spans="1:8" ht="15.75" x14ac:dyDescent="0.25">
      <c r="A51" s="58" t="s">
        <v>24</v>
      </c>
      <c r="B51" s="59"/>
      <c r="C51" s="59"/>
      <c r="D51" s="13">
        <f>+D48+D36</f>
        <v>1</v>
      </c>
      <c r="E51" s="1"/>
      <c r="F51" s="1"/>
      <c r="G51" s="1"/>
      <c r="H51" s="1"/>
    </row>
    <row r="52" spans="1:8" ht="15.75" x14ac:dyDescent="0.25">
      <c r="A52" s="54" t="s">
        <v>25</v>
      </c>
      <c r="B52" s="55"/>
      <c r="C52" s="55"/>
      <c r="D52" s="14">
        <f>SUM(D50:D51)</f>
        <v>23</v>
      </c>
      <c r="E52" s="1"/>
      <c r="F52" s="1"/>
      <c r="G52" s="1"/>
      <c r="H52" s="1"/>
    </row>
    <row r="53" spans="1:8" ht="15.75" x14ac:dyDescent="0.25">
      <c r="A53" s="58" t="s">
        <v>30</v>
      </c>
      <c r="B53" s="59"/>
      <c r="C53" s="59"/>
      <c r="D53" s="13">
        <f>COUNT(D45:D45)</f>
        <v>1</v>
      </c>
      <c r="E53" s="1"/>
      <c r="F53" s="1"/>
      <c r="G53" s="1"/>
      <c r="H53" s="1"/>
    </row>
    <row r="54" spans="1:8" ht="15.75" x14ac:dyDescent="0.25">
      <c r="A54" s="54" t="s">
        <v>27</v>
      </c>
      <c r="B54" s="55"/>
      <c r="C54" s="55"/>
      <c r="D54" s="14">
        <f>+D53+D39</f>
        <v>7</v>
      </c>
      <c r="E54" s="1"/>
      <c r="F54" s="1"/>
      <c r="G54" s="1"/>
      <c r="H54" s="1"/>
    </row>
    <row r="55" spans="1:8" ht="16.5" thickBot="1" x14ac:dyDescent="0.3">
      <c r="A55" s="56" t="s">
        <v>164</v>
      </c>
      <c r="B55" s="57"/>
      <c r="C55" s="57"/>
      <c r="D55" s="15">
        <f>+SUM(G45:G45,G29:G30,G11:G14)/D54</f>
        <v>66.285714285714292</v>
      </c>
      <c r="E55" s="1"/>
      <c r="F55" s="1"/>
      <c r="G55" s="1"/>
      <c r="H55" s="1"/>
    </row>
    <row r="56" spans="1:8" ht="16.5" thickBot="1" x14ac:dyDescent="0.3">
      <c r="A56" s="1"/>
      <c r="B56" s="1"/>
      <c r="C56" s="1"/>
      <c r="D56" s="1"/>
      <c r="E56" s="1"/>
      <c r="F56" s="1"/>
      <c r="G56" s="1"/>
      <c r="H56" s="1"/>
    </row>
    <row r="57" spans="1:8" ht="15.75" x14ac:dyDescent="0.25">
      <c r="A57" s="61" t="s">
        <v>33</v>
      </c>
      <c r="B57" s="62"/>
      <c r="C57" s="62"/>
      <c r="D57" s="62"/>
      <c r="E57" s="62"/>
      <c r="F57" s="62"/>
      <c r="G57" s="62"/>
      <c r="H57" s="63"/>
    </row>
    <row r="58" spans="1:8" ht="47.25" x14ac:dyDescent="0.25">
      <c r="A58" s="7" t="s">
        <v>7</v>
      </c>
      <c r="B58" s="2" t="s">
        <v>8</v>
      </c>
      <c r="C58" s="3" t="s">
        <v>9</v>
      </c>
      <c r="D58" s="3" t="s">
        <v>13</v>
      </c>
      <c r="E58" s="55" t="s">
        <v>12</v>
      </c>
      <c r="F58" s="55"/>
      <c r="G58" s="2" t="s">
        <v>10</v>
      </c>
      <c r="H58" s="8" t="s">
        <v>11</v>
      </c>
    </row>
    <row r="59" spans="1:8" ht="15.75" x14ac:dyDescent="0.25">
      <c r="A59" s="12">
        <v>169</v>
      </c>
      <c r="B59" s="4">
        <v>170</v>
      </c>
      <c r="C59" s="4" t="s">
        <v>14</v>
      </c>
      <c r="D59" s="4">
        <v>7</v>
      </c>
      <c r="E59" s="64" t="s">
        <v>75</v>
      </c>
      <c r="F59" s="65" t="s">
        <v>32</v>
      </c>
      <c r="G59" s="4">
        <v>64</v>
      </c>
      <c r="H59" s="9">
        <v>43964</v>
      </c>
    </row>
    <row r="60" spans="1:8" ht="15.75" x14ac:dyDescent="0.25">
      <c r="A60" s="12">
        <v>169</v>
      </c>
      <c r="B60" s="4">
        <v>72</v>
      </c>
      <c r="C60" s="4" t="s">
        <v>14</v>
      </c>
      <c r="D60" s="4">
        <v>5</v>
      </c>
      <c r="E60" s="64" t="s">
        <v>76</v>
      </c>
      <c r="F60" s="65" t="s">
        <v>34</v>
      </c>
      <c r="G60" s="4">
        <v>72</v>
      </c>
      <c r="H60" s="9">
        <v>43965</v>
      </c>
    </row>
    <row r="61" spans="1:8" ht="16.5" thickBot="1" x14ac:dyDescent="0.3">
      <c r="A61" s="1"/>
      <c r="B61" s="1"/>
      <c r="C61" s="1"/>
      <c r="D61" s="1"/>
      <c r="E61" s="1"/>
      <c r="F61" s="1"/>
      <c r="G61" s="1"/>
      <c r="H61" s="1"/>
    </row>
    <row r="62" spans="1:8" ht="15.75" x14ac:dyDescent="0.25">
      <c r="A62" s="66" t="s">
        <v>20</v>
      </c>
      <c r="B62" s="67"/>
      <c r="C62" s="67"/>
      <c r="D62" s="11">
        <f>+SUM(D59:D60)</f>
        <v>12</v>
      </c>
      <c r="E62" s="1"/>
      <c r="F62" s="1"/>
      <c r="G62" s="1"/>
      <c r="H62" s="1"/>
    </row>
    <row r="63" spans="1:8" ht="15.75" x14ac:dyDescent="0.25">
      <c r="A63" s="58" t="s">
        <v>21</v>
      </c>
      <c r="B63" s="59"/>
      <c r="C63" s="59"/>
      <c r="D63" s="13">
        <v>0</v>
      </c>
      <c r="E63" s="1"/>
      <c r="F63" s="1"/>
      <c r="G63" s="1"/>
      <c r="H63" s="1"/>
    </row>
    <row r="64" spans="1:8" ht="15.75" x14ac:dyDescent="0.25">
      <c r="A64" s="54" t="s">
        <v>22</v>
      </c>
      <c r="B64" s="55"/>
      <c r="C64" s="55"/>
      <c r="D64" s="14">
        <f>SUM(D59:D60)</f>
        <v>12</v>
      </c>
      <c r="E64" s="1"/>
      <c r="F64" s="1"/>
      <c r="G64" s="1"/>
      <c r="H64" s="1"/>
    </row>
    <row r="65" spans="1:8" ht="15.75" x14ac:dyDescent="0.25">
      <c r="A65" s="58" t="s">
        <v>23</v>
      </c>
      <c r="B65" s="59"/>
      <c r="C65" s="59"/>
      <c r="D65" s="13">
        <f>+D62+D50</f>
        <v>34</v>
      </c>
      <c r="E65" s="1"/>
      <c r="F65" s="1"/>
      <c r="G65" s="1"/>
      <c r="H65" s="1"/>
    </row>
    <row r="66" spans="1:8" ht="15.75" x14ac:dyDescent="0.25">
      <c r="A66" s="58" t="s">
        <v>24</v>
      </c>
      <c r="B66" s="59"/>
      <c r="C66" s="59"/>
      <c r="D66" s="13">
        <f>+D51+D63</f>
        <v>1</v>
      </c>
      <c r="E66" s="1"/>
      <c r="F66" s="1"/>
      <c r="G66" s="1"/>
      <c r="H66" s="1"/>
    </row>
    <row r="67" spans="1:8" ht="15.75" x14ac:dyDescent="0.25">
      <c r="A67" s="54" t="s">
        <v>25</v>
      </c>
      <c r="B67" s="55"/>
      <c r="C67" s="55"/>
      <c r="D67" s="14">
        <f>+D64+D52</f>
        <v>35</v>
      </c>
      <c r="E67" s="1"/>
      <c r="F67" s="1"/>
      <c r="G67" s="1"/>
      <c r="H67" s="1"/>
    </row>
    <row r="68" spans="1:8" ht="15.75" x14ac:dyDescent="0.25">
      <c r="A68" s="58" t="s">
        <v>26</v>
      </c>
      <c r="B68" s="59"/>
      <c r="C68" s="59"/>
      <c r="D68" s="13">
        <f>COUNT(D59:D60)</f>
        <v>2</v>
      </c>
      <c r="E68" s="1"/>
      <c r="F68" s="1"/>
      <c r="G68" s="1"/>
      <c r="H68" s="1"/>
    </row>
    <row r="69" spans="1:8" ht="15.75" x14ac:dyDescent="0.25">
      <c r="A69" s="54" t="s">
        <v>27</v>
      </c>
      <c r="B69" s="55"/>
      <c r="C69" s="55"/>
      <c r="D69" s="14">
        <f>+D68+D54</f>
        <v>9</v>
      </c>
      <c r="E69" s="1"/>
      <c r="F69" s="1"/>
      <c r="G69" s="1"/>
      <c r="H69" s="1"/>
    </row>
    <row r="70" spans="1:8" ht="16.5" thickBot="1" x14ac:dyDescent="0.3">
      <c r="A70" s="56" t="s">
        <v>64</v>
      </c>
      <c r="B70" s="57"/>
      <c r="C70" s="57"/>
      <c r="D70" s="15">
        <f>+SUM(G59:G60,G45:G45,G29:G30,G11:G14)/D69</f>
        <v>66.666666666666671</v>
      </c>
      <c r="E70" s="1"/>
      <c r="F70" s="1"/>
      <c r="G70" s="1"/>
      <c r="H70" s="1"/>
    </row>
    <row r="71" spans="1:8" ht="16.5" thickBot="1" x14ac:dyDescent="0.3">
      <c r="A71" s="23"/>
      <c r="B71" s="23"/>
      <c r="C71" s="23"/>
      <c r="D71" s="24"/>
      <c r="E71" s="1"/>
      <c r="F71" s="1"/>
      <c r="G71" s="1"/>
      <c r="H71" s="1"/>
    </row>
    <row r="72" spans="1:8" ht="15.75" x14ac:dyDescent="0.25">
      <c r="A72" s="61" t="s">
        <v>35</v>
      </c>
      <c r="B72" s="62"/>
      <c r="C72" s="62"/>
      <c r="D72" s="62"/>
      <c r="E72" s="62"/>
      <c r="F72" s="62"/>
      <c r="G72" s="62"/>
      <c r="H72" s="63"/>
    </row>
    <row r="73" spans="1:8" ht="47.25" x14ac:dyDescent="0.25">
      <c r="A73" s="7" t="s">
        <v>7</v>
      </c>
      <c r="B73" s="2" t="s">
        <v>8</v>
      </c>
      <c r="C73" s="3" t="s">
        <v>9</v>
      </c>
      <c r="D73" s="3" t="s">
        <v>13</v>
      </c>
      <c r="E73" s="55" t="s">
        <v>12</v>
      </c>
      <c r="F73" s="55"/>
      <c r="G73" s="2" t="s">
        <v>10</v>
      </c>
      <c r="H73" s="8" t="s">
        <v>11</v>
      </c>
    </row>
    <row r="74" spans="1:8" ht="15.75" x14ac:dyDescent="0.25">
      <c r="A74" s="12">
        <v>170</v>
      </c>
      <c r="B74" s="4">
        <v>290</v>
      </c>
      <c r="C74" s="4" t="s">
        <v>14</v>
      </c>
      <c r="D74" s="4">
        <v>10</v>
      </c>
      <c r="E74" s="64" t="s">
        <v>77</v>
      </c>
      <c r="F74" s="65" t="s">
        <v>49</v>
      </c>
      <c r="G74" s="4">
        <v>61</v>
      </c>
      <c r="H74" s="9">
        <v>44011</v>
      </c>
    </row>
    <row r="75" spans="1:8" ht="16.5" thickBot="1" x14ac:dyDescent="0.3">
      <c r="A75" s="1"/>
      <c r="B75" s="1"/>
      <c r="C75" s="1"/>
      <c r="D75" s="1"/>
      <c r="E75" s="60"/>
      <c r="F75" s="60"/>
      <c r="G75" s="1"/>
      <c r="H75" s="6"/>
    </row>
    <row r="76" spans="1:8" ht="15.75" x14ac:dyDescent="0.25">
      <c r="A76" s="66" t="s">
        <v>20</v>
      </c>
      <c r="B76" s="67"/>
      <c r="C76" s="67"/>
      <c r="D76" s="11">
        <f>SUM(D74)</f>
        <v>10</v>
      </c>
      <c r="E76" s="1"/>
      <c r="F76" s="1"/>
      <c r="G76" s="1"/>
      <c r="H76" s="1"/>
    </row>
    <row r="77" spans="1:8" ht="15.75" x14ac:dyDescent="0.25">
      <c r="A77" s="58" t="s">
        <v>21</v>
      </c>
      <c r="B77" s="59"/>
      <c r="C77" s="59"/>
      <c r="D77" s="13">
        <v>0</v>
      </c>
      <c r="E77" s="1"/>
      <c r="F77" s="1"/>
      <c r="G77" s="1"/>
      <c r="H77" s="1"/>
    </row>
    <row r="78" spans="1:8" ht="15.75" x14ac:dyDescent="0.25">
      <c r="A78" s="54" t="s">
        <v>88</v>
      </c>
      <c r="B78" s="55"/>
      <c r="C78" s="55"/>
      <c r="D78" s="14">
        <f>SUM(D76:D77)</f>
        <v>10</v>
      </c>
      <c r="E78" s="1"/>
      <c r="F78" s="1"/>
      <c r="G78" s="1"/>
      <c r="H78" s="1"/>
    </row>
    <row r="79" spans="1:8" ht="15.75" x14ac:dyDescent="0.25">
      <c r="A79" s="58" t="s">
        <v>23</v>
      </c>
      <c r="B79" s="59"/>
      <c r="C79" s="59"/>
      <c r="D79" s="13">
        <f>D76+D65</f>
        <v>44</v>
      </c>
      <c r="E79" s="1"/>
      <c r="F79" s="1"/>
      <c r="G79" s="1"/>
      <c r="H79" s="1"/>
    </row>
    <row r="80" spans="1:8" ht="15.75" x14ac:dyDescent="0.25">
      <c r="A80" s="58" t="s">
        <v>24</v>
      </c>
      <c r="B80" s="59"/>
      <c r="C80" s="59"/>
      <c r="D80" s="13">
        <f>D66+D77</f>
        <v>1</v>
      </c>
      <c r="E80" s="1"/>
      <c r="F80" s="1"/>
      <c r="G80" s="1"/>
      <c r="H80" s="1"/>
    </row>
    <row r="81" spans="1:8" ht="15.75" x14ac:dyDescent="0.25">
      <c r="A81" s="54" t="s">
        <v>25</v>
      </c>
      <c r="B81" s="55"/>
      <c r="C81" s="55"/>
      <c r="D81" s="14">
        <f>+D78+D67</f>
        <v>45</v>
      </c>
      <c r="E81" s="1"/>
      <c r="F81" s="1"/>
      <c r="G81" s="1"/>
      <c r="H81" s="1"/>
    </row>
    <row r="82" spans="1:8" ht="15.75" x14ac:dyDescent="0.25">
      <c r="A82" s="58" t="s">
        <v>89</v>
      </c>
      <c r="B82" s="59"/>
      <c r="C82" s="59"/>
      <c r="D82" s="13">
        <f>COUNT(D74:D74)</f>
        <v>1</v>
      </c>
      <c r="E82" s="1"/>
      <c r="F82" s="1"/>
      <c r="G82" s="1"/>
      <c r="H82" s="1"/>
    </row>
    <row r="83" spans="1:8" ht="15.75" x14ac:dyDescent="0.25">
      <c r="A83" s="54" t="s">
        <v>27</v>
      </c>
      <c r="B83" s="55"/>
      <c r="C83" s="55"/>
      <c r="D83" s="14">
        <f>D82+D69</f>
        <v>10</v>
      </c>
      <c r="E83" s="1"/>
      <c r="F83" s="1"/>
      <c r="G83" s="1"/>
      <c r="H83" s="1"/>
    </row>
    <row r="84" spans="1:8" ht="16.5" thickBot="1" x14ac:dyDescent="0.3">
      <c r="A84" s="56" t="s">
        <v>163</v>
      </c>
      <c r="B84" s="57"/>
      <c r="C84" s="57"/>
      <c r="D84" s="15">
        <f>+SUM(G74:G74,G59:G60,G45:G45,G29:G30,G11:G14)/D83</f>
        <v>66.099999999999994</v>
      </c>
      <c r="E84" s="1"/>
      <c r="F84" s="1"/>
      <c r="G84" s="1"/>
      <c r="H84" s="1"/>
    </row>
    <row r="85" spans="1:8" ht="16.5" thickBot="1" x14ac:dyDescent="0.3">
      <c r="A85" s="1"/>
      <c r="B85" s="1"/>
      <c r="C85" s="1"/>
      <c r="D85" s="1"/>
      <c r="E85" s="1"/>
      <c r="F85" s="1"/>
      <c r="G85" s="1"/>
      <c r="H85" s="1"/>
    </row>
    <row r="86" spans="1:8" ht="15.75" x14ac:dyDescent="0.25">
      <c r="A86" s="61" t="s">
        <v>36</v>
      </c>
      <c r="B86" s="62"/>
      <c r="C86" s="62"/>
      <c r="D86" s="62"/>
      <c r="E86" s="62"/>
      <c r="F86" s="62"/>
      <c r="G86" s="62"/>
      <c r="H86" s="63"/>
    </row>
    <row r="87" spans="1:8" ht="47.25" x14ac:dyDescent="0.25">
      <c r="A87" s="7" t="s">
        <v>7</v>
      </c>
      <c r="B87" s="2" t="s">
        <v>8</v>
      </c>
      <c r="C87" s="3" t="s">
        <v>9</v>
      </c>
      <c r="D87" s="3" t="s">
        <v>13</v>
      </c>
      <c r="E87" s="55" t="s">
        <v>12</v>
      </c>
      <c r="F87" s="55"/>
      <c r="G87" s="2" t="s">
        <v>10</v>
      </c>
      <c r="H87" s="8" t="s">
        <v>11</v>
      </c>
    </row>
    <row r="88" spans="1:8" ht="16.5" thickBot="1" x14ac:dyDescent="0.3">
      <c r="A88" s="37">
        <v>290</v>
      </c>
      <c r="B88" s="38">
        <v>292</v>
      </c>
      <c r="C88" s="5" t="s">
        <v>14</v>
      </c>
      <c r="D88" s="5">
        <v>5</v>
      </c>
      <c r="E88" s="64" t="s">
        <v>78</v>
      </c>
      <c r="F88" s="65"/>
      <c r="G88" s="38">
        <v>85</v>
      </c>
      <c r="H88" s="29">
        <v>44011</v>
      </c>
    </row>
    <row r="89" spans="1:8" ht="16.5" thickBot="1" x14ac:dyDescent="0.3">
      <c r="A89" s="28">
        <v>290</v>
      </c>
      <c r="B89" s="18">
        <v>949</v>
      </c>
      <c r="C89" s="10" t="s">
        <v>14</v>
      </c>
      <c r="D89" s="10">
        <v>5</v>
      </c>
      <c r="E89" s="71" t="s">
        <v>59</v>
      </c>
      <c r="F89" s="57"/>
      <c r="G89" s="18">
        <v>64</v>
      </c>
      <c r="H89" s="29">
        <v>44011</v>
      </c>
    </row>
    <row r="90" spans="1:8" ht="16.5" thickBot="1" x14ac:dyDescent="0.3">
      <c r="A90" s="1"/>
      <c r="B90" s="1"/>
      <c r="C90" s="1"/>
      <c r="D90" s="1"/>
      <c r="E90" s="60"/>
      <c r="F90" s="60"/>
      <c r="G90" s="1"/>
      <c r="H90" s="6"/>
    </row>
    <row r="91" spans="1:8" ht="15.75" x14ac:dyDescent="0.25">
      <c r="A91" s="66" t="s">
        <v>20</v>
      </c>
      <c r="B91" s="67"/>
      <c r="C91" s="67"/>
      <c r="D91" s="11">
        <f>SUM(D88:D89)</f>
        <v>10</v>
      </c>
      <c r="E91" s="60"/>
      <c r="F91" s="60"/>
      <c r="G91" s="1"/>
      <c r="H91" s="6"/>
    </row>
    <row r="92" spans="1:8" ht="15.75" x14ac:dyDescent="0.25">
      <c r="A92" s="58" t="s">
        <v>21</v>
      </c>
      <c r="B92" s="59"/>
      <c r="C92" s="59"/>
      <c r="D92" s="13">
        <v>0</v>
      </c>
      <c r="E92" s="60"/>
      <c r="F92" s="60"/>
      <c r="G92" s="1"/>
      <c r="H92" s="6"/>
    </row>
    <row r="93" spans="1:8" ht="15.75" x14ac:dyDescent="0.25">
      <c r="A93" s="54" t="s">
        <v>22</v>
      </c>
      <c r="B93" s="55"/>
      <c r="C93" s="55"/>
      <c r="D93" s="14">
        <f>+D92+D91</f>
        <v>10</v>
      </c>
      <c r="E93" s="60"/>
      <c r="F93" s="60"/>
      <c r="G93" s="1"/>
      <c r="H93" s="6"/>
    </row>
    <row r="94" spans="1:8" ht="15.75" x14ac:dyDescent="0.25">
      <c r="A94" s="58" t="s">
        <v>23</v>
      </c>
      <c r="B94" s="59"/>
      <c r="C94" s="59"/>
      <c r="D94" s="13">
        <f>+D91+D79</f>
        <v>54</v>
      </c>
      <c r="E94" s="60"/>
      <c r="F94" s="60"/>
      <c r="G94" s="1"/>
      <c r="H94" s="6"/>
    </row>
    <row r="95" spans="1:8" ht="15.75" x14ac:dyDescent="0.25">
      <c r="A95" s="58" t="s">
        <v>24</v>
      </c>
      <c r="B95" s="59"/>
      <c r="C95" s="59"/>
      <c r="D95" s="13">
        <f>+D80+D92</f>
        <v>1</v>
      </c>
      <c r="E95" s="1"/>
      <c r="F95" s="1"/>
      <c r="G95" s="1"/>
      <c r="H95" s="1"/>
    </row>
    <row r="96" spans="1:8" ht="15.75" x14ac:dyDescent="0.25">
      <c r="A96" s="54" t="s">
        <v>25</v>
      </c>
      <c r="B96" s="55"/>
      <c r="C96" s="55"/>
      <c r="D96" s="14">
        <f>+D93+D81</f>
        <v>55</v>
      </c>
      <c r="E96" s="1"/>
      <c r="F96" s="1"/>
      <c r="G96" s="1"/>
      <c r="H96" s="1"/>
    </row>
    <row r="97" spans="1:8" ht="15.75" x14ac:dyDescent="0.25">
      <c r="A97" s="58" t="s">
        <v>87</v>
      </c>
      <c r="B97" s="59"/>
      <c r="C97" s="59"/>
      <c r="D97" s="13">
        <f>COUNT(D88:D89)</f>
        <v>2</v>
      </c>
      <c r="E97" s="1"/>
      <c r="F97" s="1"/>
      <c r="G97" s="1"/>
      <c r="H97" s="1"/>
    </row>
    <row r="98" spans="1:8" ht="15.75" x14ac:dyDescent="0.25">
      <c r="A98" s="54" t="s">
        <v>27</v>
      </c>
      <c r="B98" s="55"/>
      <c r="C98" s="55"/>
      <c r="D98" s="14">
        <f>+D97+D83</f>
        <v>12</v>
      </c>
      <c r="E98" s="1"/>
      <c r="F98" s="1"/>
      <c r="G98" s="1"/>
      <c r="H98" s="1"/>
    </row>
    <row r="99" spans="1:8" ht="15.75" x14ac:dyDescent="0.25">
      <c r="A99" s="55" t="s">
        <v>65</v>
      </c>
      <c r="B99" s="55"/>
      <c r="C99" s="55"/>
      <c r="D99" s="40">
        <f>+SUM(G74:G74,G59:G60,G45:G45,G29:G30,G11:G14,G88:G89)/D98</f>
        <v>67.5</v>
      </c>
      <c r="E99" s="1"/>
      <c r="F99" s="1"/>
      <c r="G99" s="1"/>
      <c r="H99" s="1"/>
    </row>
    <row r="100" spans="1:8" ht="16.5" thickBot="1" x14ac:dyDescent="0.3">
      <c r="A100" s="1"/>
      <c r="B100" s="1"/>
      <c r="C100" s="1"/>
      <c r="D100" s="1"/>
      <c r="E100" s="60"/>
      <c r="F100" s="60"/>
      <c r="G100" s="1"/>
      <c r="H100" s="6"/>
    </row>
    <row r="101" spans="1:8" ht="16.5" thickBot="1" x14ac:dyDescent="0.3">
      <c r="A101" s="89" t="s">
        <v>79</v>
      </c>
      <c r="B101" s="90"/>
      <c r="C101" s="90"/>
      <c r="D101" s="90"/>
      <c r="E101" s="90"/>
      <c r="F101" s="90"/>
      <c r="G101" s="90"/>
      <c r="H101" s="91"/>
    </row>
    <row r="102" spans="1:8" ht="47.25" x14ac:dyDescent="0.25">
      <c r="A102" s="41" t="s">
        <v>7</v>
      </c>
      <c r="B102" s="42" t="s">
        <v>8</v>
      </c>
      <c r="C102" s="39" t="s">
        <v>9</v>
      </c>
      <c r="D102" s="39" t="s">
        <v>13</v>
      </c>
      <c r="E102" s="92" t="s">
        <v>12</v>
      </c>
      <c r="F102" s="92"/>
      <c r="G102" s="42" t="s">
        <v>10</v>
      </c>
      <c r="H102" s="43" t="s">
        <v>11</v>
      </c>
    </row>
    <row r="103" spans="1:8" ht="15.75" x14ac:dyDescent="0.25">
      <c r="A103" s="12" t="s">
        <v>51</v>
      </c>
      <c r="B103" s="4">
        <v>146</v>
      </c>
      <c r="C103" s="4" t="s">
        <v>14</v>
      </c>
      <c r="D103" s="4">
        <v>6</v>
      </c>
      <c r="E103" s="64" t="s">
        <v>80</v>
      </c>
      <c r="F103" s="65" t="s">
        <v>50</v>
      </c>
      <c r="G103" s="4">
        <v>75</v>
      </c>
      <c r="H103" s="9">
        <v>44196</v>
      </c>
    </row>
    <row r="104" spans="1:8" ht="16.5" thickBot="1" x14ac:dyDescent="0.3">
      <c r="A104" s="1"/>
      <c r="B104" s="1"/>
      <c r="C104" s="1"/>
      <c r="D104" s="1"/>
      <c r="E104" s="60"/>
      <c r="F104" s="60"/>
      <c r="G104" s="1"/>
      <c r="H104" s="6"/>
    </row>
    <row r="105" spans="1:8" ht="15.75" x14ac:dyDescent="0.25">
      <c r="A105" s="66" t="s">
        <v>20</v>
      </c>
      <c r="B105" s="67"/>
      <c r="C105" s="67"/>
      <c r="D105" s="11">
        <f>D103</f>
        <v>6</v>
      </c>
      <c r="E105" s="1"/>
      <c r="F105" s="1"/>
      <c r="G105" s="1"/>
      <c r="H105" s="1"/>
    </row>
    <row r="106" spans="1:8" ht="15.75" x14ac:dyDescent="0.25">
      <c r="A106" s="58" t="s">
        <v>21</v>
      </c>
      <c r="B106" s="59"/>
      <c r="C106" s="59"/>
      <c r="D106" s="13">
        <v>0</v>
      </c>
      <c r="E106" s="1"/>
      <c r="F106" s="1"/>
      <c r="G106" s="1"/>
      <c r="H106" s="1"/>
    </row>
    <row r="107" spans="1:8" ht="15.75" x14ac:dyDescent="0.25">
      <c r="A107" s="54" t="s">
        <v>88</v>
      </c>
      <c r="B107" s="55"/>
      <c r="C107" s="55"/>
      <c r="D107" s="14">
        <f>SUM(D103:D103)</f>
        <v>6</v>
      </c>
      <c r="E107" s="1"/>
      <c r="F107" s="1"/>
      <c r="G107" s="1"/>
      <c r="H107" s="1"/>
    </row>
    <row r="108" spans="1:8" ht="15.75" x14ac:dyDescent="0.25">
      <c r="A108" s="58" t="s">
        <v>23</v>
      </c>
      <c r="B108" s="59"/>
      <c r="C108" s="59"/>
      <c r="D108" s="13">
        <f>+D105+D94</f>
        <v>60</v>
      </c>
      <c r="E108" s="1"/>
      <c r="F108" s="1"/>
      <c r="G108" s="1"/>
      <c r="H108" s="1"/>
    </row>
    <row r="109" spans="1:8" ht="15.75" x14ac:dyDescent="0.25">
      <c r="A109" s="58" t="s">
        <v>24</v>
      </c>
      <c r="B109" s="59"/>
      <c r="C109" s="59"/>
      <c r="D109" s="13">
        <f>+D106+D95</f>
        <v>1</v>
      </c>
      <c r="E109" s="1"/>
      <c r="F109" s="1"/>
      <c r="G109" s="1"/>
      <c r="H109" s="1"/>
    </row>
    <row r="110" spans="1:8" ht="15.75" x14ac:dyDescent="0.25">
      <c r="A110" s="54" t="s">
        <v>25</v>
      </c>
      <c r="B110" s="55"/>
      <c r="C110" s="55"/>
      <c r="D110" s="14">
        <f>+D107+D96</f>
        <v>61</v>
      </c>
      <c r="E110" s="1"/>
      <c r="F110" s="1"/>
      <c r="G110" s="1"/>
      <c r="H110" s="1"/>
    </row>
    <row r="111" spans="1:8" ht="15.75" x14ac:dyDescent="0.25">
      <c r="A111" s="58" t="s">
        <v>89</v>
      </c>
      <c r="B111" s="59"/>
      <c r="C111" s="59"/>
      <c r="D111" s="13">
        <f>COUNT(D103:D103)</f>
        <v>1</v>
      </c>
      <c r="E111" s="1"/>
      <c r="F111" s="1"/>
      <c r="G111" s="1"/>
      <c r="H111" s="1"/>
    </row>
    <row r="112" spans="1:8" ht="15.75" x14ac:dyDescent="0.25">
      <c r="A112" s="54" t="s">
        <v>27</v>
      </c>
      <c r="B112" s="55"/>
      <c r="C112" s="55"/>
      <c r="D112" s="14">
        <f>+D111+D98</f>
        <v>13</v>
      </c>
      <c r="E112" s="1"/>
      <c r="F112" s="1"/>
      <c r="G112" s="1"/>
      <c r="H112" s="1"/>
    </row>
    <row r="113" spans="1:8" ht="16.5" thickBot="1" x14ac:dyDescent="0.3">
      <c r="A113" s="56" t="s">
        <v>165</v>
      </c>
      <c r="B113" s="57"/>
      <c r="C113" s="57"/>
      <c r="D113" s="15">
        <f>+SUM(G103:G103,G74:G74,G59:G60,G45:G45,G29:G30,G11:G14,G88:G89)/D112</f>
        <v>68.07692307692308</v>
      </c>
      <c r="E113" s="1"/>
      <c r="F113" s="1"/>
      <c r="G113" s="1"/>
      <c r="H113" s="1"/>
    </row>
    <row r="114" spans="1:8" ht="16.5" thickBot="1" x14ac:dyDescent="0.3">
      <c r="A114" s="1"/>
      <c r="B114" s="1"/>
      <c r="C114" s="1"/>
      <c r="D114" s="1"/>
      <c r="E114" s="1"/>
      <c r="F114" s="1"/>
      <c r="G114" s="1"/>
      <c r="H114" s="1"/>
    </row>
    <row r="115" spans="1:8" ht="15.75" x14ac:dyDescent="0.25">
      <c r="A115" s="61" t="s">
        <v>37</v>
      </c>
      <c r="B115" s="62"/>
      <c r="C115" s="62"/>
      <c r="D115" s="62"/>
      <c r="E115" s="62"/>
      <c r="F115" s="62"/>
      <c r="G115" s="62"/>
      <c r="H115" s="63"/>
    </row>
    <row r="116" spans="1:8" ht="47.25" x14ac:dyDescent="0.25">
      <c r="A116" s="7" t="s">
        <v>7</v>
      </c>
      <c r="B116" s="2" t="s">
        <v>8</v>
      </c>
      <c r="C116" s="3" t="s">
        <v>9</v>
      </c>
      <c r="D116" s="3" t="s">
        <v>13</v>
      </c>
      <c r="E116" s="55" t="s">
        <v>12</v>
      </c>
      <c r="F116" s="55"/>
      <c r="G116" s="2" t="s">
        <v>10</v>
      </c>
      <c r="H116" s="8" t="s">
        <v>11</v>
      </c>
    </row>
    <row r="117" spans="1:8" ht="15.75" x14ac:dyDescent="0.25">
      <c r="A117" s="12">
        <v>170</v>
      </c>
      <c r="B117" s="4">
        <v>2394</v>
      </c>
      <c r="C117" s="4" t="s">
        <v>14</v>
      </c>
      <c r="D117" s="4">
        <v>0</v>
      </c>
      <c r="E117" s="64" t="s">
        <v>81</v>
      </c>
      <c r="F117" s="65"/>
      <c r="G117" s="4">
        <v>73</v>
      </c>
      <c r="H117" s="9">
        <v>44326</v>
      </c>
    </row>
    <row r="118" spans="1:8" ht="15.75" x14ac:dyDescent="0.25">
      <c r="A118" s="12" t="s">
        <v>84</v>
      </c>
      <c r="B118" s="4">
        <v>109</v>
      </c>
      <c r="C118" s="4" t="s">
        <v>14</v>
      </c>
      <c r="D118" s="4">
        <v>5</v>
      </c>
      <c r="E118" s="64" t="s">
        <v>82</v>
      </c>
      <c r="F118" s="65"/>
      <c r="G118" s="4">
        <v>69</v>
      </c>
      <c r="H118" s="9">
        <v>44328</v>
      </c>
    </row>
    <row r="119" spans="1:8" ht="15.75" x14ac:dyDescent="0.25">
      <c r="A119" s="12">
        <v>290</v>
      </c>
      <c r="B119" s="4">
        <v>291</v>
      </c>
      <c r="C119" s="4" t="s">
        <v>14</v>
      </c>
      <c r="D119" s="4">
        <v>5</v>
      </c>
      <c r="E119" s="59" t="s">
        <v>83</v>
      </c>
      <c r="F119" s="59"/>
      <c r="G119" s="4">
        <v>68</v>
      </c>
      <c r="H119" s="9">
        <v>44340</v>
      </c>
    </row>
    <row r="120" spans="1:8" ht="16.5" thickBot="1" x14ac:dyDescent="0.3">
      <c r="A120" s="1"/>
      <c r="B120" s="1"/>
      <c r="C120" s="1"/>
      <c r="D120" s="1"/>
      <c r="E120" s="60"/>
      <c r="F120" s="60"/>
      <c r="G120" s="1"/>
      <c r="H120" s="6"/>
    </row>
    <row r="121" spans="1:8" ht="15.75" x14ac:dyDescent="0.25">
      <c r="A121" s="66" t="s">
        <v>20</v>
      </c>
      <c r="B121" s="67"/>
      <c r="C121" s="67"/>
      <c r="D121" s="11">
        <f>+SUM(D117:D119)</f>
        <v>10</v>
      </c>
      <c r="E121" s="1"/>
      <c r="F121" s="1"/>
      <c r="G121" s="1"/>
      <c r="H121" s="1"/>
    </row>
    <row r="122" spans="1:8" ht="15.75" x14ac:dyDescent="0.25">
      <c r="A122" s="58" t="s">
        <v>21</v>
      </c>
      <c r="B122" s="59"/>
      <c r="C122" s="59"/>
      <c r="D122" s="13">
        <v>0</v>
      </c>
      <c r="E122" s="1"/>
      <c r="F122" s="1"/>
      <c r="G122" s="1"/>
      <c r="H122" s="1"/>
    </row>
    <row r="123" spans="1:8" ht="15.75" x14ac:dyDescent="0.25">
      <c r="A123" s="54" t="s">
        <v>22</v>
      </c>
      <c r="B123" s="55"/>
      <c r="C123" s="55"/>
      <c r="D123" s="14">
        <f>SUM(D117:D119)</f>
        <v>10</v>
      </c>
      <c r="E123" s="1"/>
      <c r="F123" s="1"/>
      <c r="G123" s="1"/>
      <c r="H123" s="1"/>
    </row>
    <row r="124" spans="1:8" ht="15.75" x14ac:dyDescent="0.25">
      <c r="A124" s="58" t="s">
        <v>23</v>
      </c>
      <c r="B124" s="59"/>
      <c r="C124" s="59"/>
      <c r="D124" s="13">
        <f>+D121+D108</f>
        <v>70</v>
      </c>
      <c r="E124" s="1"/>
      <c r="F124" s="1"/>
      <c r="G124" s="1"/>
      <c r="H124" s="1"/>
    </row>
    <row r="125" spans="1:8" ht="15.75" x14ac:dyDescent="0.25">
      <c r="A125" s="58" t="s">
        <v>24</v>
      </c>
      <c r="B125" s="59"/>
      <c r="C125" s="59"/>
      <c r="D125" s="13">
        <f>D109+D122</f>
        <v>1</v>
      </c>
      <c r="E125" s="1"/>
      <c r="F125" s="1"/>
      <c r="G125" s="1"/>
      <c r="H125" s="1"/>
    </row>
    <row r="126" spans="1:8" ht="15.75" x14ac:dyDescent="0.25">
      <c r="A126" s="54" t="s">
        <v>25</v>
      </c>
      <c r="B126" s="55"/>
      <c r="C126" s="55"/>
      <c r="D126" s="14">
        <f>+D123+D110</f>
        <v>71</v>
      </c>
      <c r="E126" s="1"/>
      <c r="F126" s="1"/>
      <c r="G126" s="1"/>
      <c r="H126" s="1"/>
    </row>
    <row r="127" spans="1:8" ht="15.75" x14ac:dyDescent="0.25">
      <c r="A127" s="58" t="s">
        <v>26</v>
      </c>
      <c r="B127" s="59"/>
      <c r="C127" s="59"/>
      <c r="D127" s="13">
        <f>COUNT(D117:D119)</f>
        <v>3</v>
      </c>
      <c r="E127" s="1"/>
      <c r="F127" s="1"/>
      <c r="G127" s="1"/>
      <c r="H127" s="1"/>
    </row>
    <row r="128" spans="1:8" ht="15.75" x14ac:dyDescent="0.25">
      <c r="A128" s="54" t="s">
        <v>27</v>
      </c>
      <c r="B128" s="55"/>
      <c r="C128" s="55"/>
      <c r="D128" s="14">
        <f>D112+D127</f>
        <v>16</v>
      </c>
      <c r="E128" s="1"/>
      <c r="F128" s="1"/>
      <c r="G128" s="1"/>
      <c r="H128" s="1"/>
    </row>
    <row r="129" spans="1:8" ht="16.5" thickBot="1" x14ac:dyDescent="0.3">
      <c r="A129" s="56" t="s">
        <v>66</v>
      </c>
      <c r="B129" s="57"/>
      <c r="C129" s="57"/>
      <c r="D129" s="15">
        <f>+SUM(G117:G119,G103:G103,G74:G74,G59:G60,G45:G45,G29:G30,G11:G14,G88:G89)/D128</f>
        <v>68.4375</v>
      </c>
      <c r="E129" s="1"/>
      <c r="F129" s="1"/>
      <c r="G129" s="1"/>
      <c r="H129" s="1"/>
    </row>
    <row r="130" spans="1:8" ht="16.5" thickBot="1" x14ac:dyDescent="0.3">
      <c r="A130" s="1"/>
      <c r="B130" s="1"/>
      <c r="C130" s="1"/>
      <c r="D130" s="1"/>
      <c r="E130" s="1"/>
      <c r="F130" s="1"/>
      <c r="G130" s="1"/>
      <c r="H130" s="1"/>
    </row>
    <row r="131" spans="1:8" ht="15.75" x14ac:dyDescent="0.25">
      <c r="A131" s="61" t="s">
        <v>38</v>
      </c>
      <c r="B131" s="61"/>
      <c r="C131" s="61"/>
      <c r="D131" s="61"/>
      <c r="E131" s="61"/>
      <c r="F131" s="61"/>
      <c r="G131" s="61"/>
      <c r="H131" s="61"/>
    </row>
    <row r="132" spans="1:8" ht="47.25" x14ac:dyDescent="0.25">
      <c r="A132" s="7" t="s">
        <v>7</v>
      </c>
      <c r="B132" s="2" t="s">
        <v>8</v>
      </c>
      <c r="C132" s="3" t="s">
        <v>9</v>
      </c>
      <c r="D132" s="3" t="s">
        <v>13</v>
      </c>
      <c r="E132" s="55" t="s">
        <v>12</v>
      </c>
      <c r="F132" s="55"/>
      <c r="G132" s="2" t="s">
        <v>10</v>
      </c>
      <c r="H132" s="8" t="s">
        <v>11</v>
      </c>
    </row>
    <row r="133" spans="1:8" ht="15.75" x14ac:dyDescent="0.25">
      <c r="A133" s="37" t="s">
        <v>86</v>
      </c>
      <c r="B133" s="38">
        <v>147</v>
      </c>
      <c r="C133" s="5" t="s">
        <v>14</v>
      </c>
      <c r="D133" s="5">
        <v>6</v>
      </c>
      <c r="E133" s="88" t="s">
        <v>60</v>
      </c>
      <c r="F133" s="88"/>
      <c r="G133" s="38">
        <v>87</v>
      </c>
      <c r="H133" s="46">
        <v>44503</v>
      </c>
    </row>
    <row r="134" spans="1:8" ht="15.75" x14ac:dyDescent="0.25">
      <c r="A134" s="37" t="s">
        <v>52</v>
      </c>
      <c r="B134" s="38">
        <v>673</v>
      </c>
      <c r="C134" s="5" t="s">
        <v>19</v>
      </c>
      <c r="D134" s="5">
        <v>6</v>
      </c>
      <c r="E134" s="64" t="s">
        <v>85</v>
      </c>
      <c r="F134" s="65"/>
      <c r="G134" s="38">
        <v>63</v>
      </c>
      <c r="H134" s="46">
        <v>44508</v>
      </c>
    </row>
    <row r="135" spans="1:8" ht="16.5" thickBot="1" x14ac:dyDescent="0.3">
      <c r="A135" s="28">
        <v>949</v>
      </c>
      <c r="B135" s="18">
        <v>950</v>
      </c>
      <c r="C135" s="10" t="s">
        <v>14</v>
      </c>
      <c r="D135" s="10">
        <v>5</v>
      </c>
      <c r="E135" s="71" t="s">
        <v>53</v>
      </c>
      <c r="F135" s="71"/>
      <c r="G135" s="18">
        <v>64</v>
      </c>
      <c r="H135" s="29">
        <v>44508</v>
      </c>
    </row>
    <row r="136" spans="1:8" ht="16.5" thickBot="1" x14ac:dyDescent="0.3">
      <c r="A136" s="1"/>
      <c r="B136" s="1"/>
      <c r="C136" s="1"/>
      <c r="D136" s="1"/>
      <c r="E136" s="60"/>
      <c r="F136" s="60"/>
      <c r="G136" s="1"/>
      <c r="H136" s="6"/>
    </row>
    <row r="137" spans="1:8" ht="15.75" x14ac:dyDescent="0.25">
      <c r="A137" s="66" t="s">
        <v>20</v>
      </c>
      <c r="B137" s="67"/>
      <c r="C137" s="67"/>
      <c r="D137" s="11">
        <f>SUM(D133+D135)</f>
        <v>11</v>
      </c>
      <c r="E137" s="60"/>
      <c r="F137" s="60"/>
      <c r="G137" s="1"/>
      <c r="H137" s="6"/>
    </row>
    <row r="138" spans="1:8" ht="15.75" x14ac:dyDescent="0.25">
      <c r="A138" s="58" t="s">
        <v>21</v>
      </c>
      <c r="B138" s="59"/>
      <c r="C138" s="59"/>
      <c r="D138" s="13">
        <f>D134</f>
        <v>6</v>
      </c>
      <c r="E138" s="60"/>
      <c r="F138" s="60"/>
      <c r="G138" s="1"/>
      <c r="H138" s="6"/>
    </row>
    <row r="139" spans="1:8" ht="15.75" x14ac:dyDescent="0.25">
      <c r="A139" s="54" t="s">
        <v>22</v>
      </c>
      <c r="B139" s="55"/>
      <c r="C139" s="55"/>
      <c r="D139" s="14">
        <f>+D138+D137</f>
        <v>17</v>
      </c>
      <c r="E139" s="60"/>
      <c r="F139" s="60"/>
      <c r="G139" s="1"/>
      <c r="H139" s="6"/>
    </row>
    <row r="140" spans="1:8" ht="15.75" x14ac:dyDescent="0.25">
      <c r="A140" s="58" t="s">
        <v>23</v>
      </c>
      <c r="B140" s="59"/>
      <c r="C140" s="59"/>
      <c r="D140" s="13">
        <f>+D137+D124</f>
        <v>81</v>
      </c>
      <c r="E140" s="60"/>
      <c r="F140" s="60"/>
      <c r="G140" s="1"/>
      <c r="H140" s="6"/>
    </row>
    <row r="141" spans="1:8" ht="15.75" x14ac:dyDescent="0.25">
      <c r="A141" s="58" t="s">
        <v>24</v>
      </c>
      <c r="B141" s="59"/>
      <c r="C141" s="59"/>
      <c r="D141" s="13">
        <f>+D125+D138</f>
        <v>7</v>
      </c>
      <c r="E141" s="1"/>
      <c r="F141" s="1"/>
      <c r="G141" s="1"/>
      <c r="H141" s="1"/>
    </row>
    <row r="142" spans="1:8" ht="15.75" x14ac:dyDescent="0.25">
      <c r="A142" s="54" t="s">
        <v>25</v>
      </c>
      <c r="B142" s="55"/>
      <c r="C142" s="55"/>
      <c r="D142" s="14">
        <f>+D139+D126</f>
        <v>88</v>
      </c>
      <c r="E142" s="1"/>
      <c r="F142" s="1"/>
      <c r="G142" s="1"/>
      <c r="H142" s="1"/>
    </row>
    <row r="143" spans="1:8" ht="15.75" x14ac:dyDescent="0.25">
      <c r="A143" s="58" t="s">
        <v>87</v>
      </c>
      <c r="B143" s="59"/>
      <c r="C143" s="59"/>
      <c r="D143" s="13">
        <v>3</v>
      </c>
      <c r="E143" s="1"/>
      <c r="F143" s="1"/>
      <c r="G143" s="1"/>
      <c r="H143" s="1"/>
    </row>
    <row r="144" spans="1:8" ht="15.75" x14ac:dyDescent="0.25">
      <c r="A144" s="54" t="s">
        <v>27</v>
      </c>
      <c r="B144" s="55"/>
      <c r="C144" s="55"/>
      <c r="D144" s="14">
        <f>+D143+D128</f>
        <v>19</v>
      </c>
      <c r="E144" s="1"/>
      <c r="F144" s="1"/>
      <c r="G144" s="1"/>
      <c r="H144" s="1"/>
    </row>
    <row r="145" spans="1:8" ht="16.5" thickBot="1" x14ac:dyDescent="0.3">
      <c r="A145" s="56" t="s">
        <v>67</v>
      </c>
      <c r="B145" s="57"/>
      <c r="C145" s="57"/>
      <c r="D145" s="15">
        <f>+SUM(G133:G135,G117:G119,G103:G103,G74:G74,G59:G60,G45:G45,G29:G30,G11:G14,G88:G89)/D144</f>
        <v>68.89473684210526</v>
      </c>
      <c r="E145" s="1"/>
      <c r="F145" s="1"/>
      <c r="G145" s="1"/>
      <c r="H145" s="1"/>
    </row>
    <row r="146" spans="1:8" ht="16.5" thickBot="1" x14ac:dyDescent="0.3">
      <c r="A146" s="1"/>
      <c r="B146" s="1"/>
      <c r="C146" s="1"/>
      <c r="D146" s="1"/>
      <c r="E146" s="1"/>
      <c r="F146" s="1"/>
      <c r="G146" s="1"/>
      <c r="H146" s="1"/>
    </row>
    <row r="147" spans="1:8" ht="15.75" x14ac:dyDescent="0.25">
      <c r="A147" s="61" t="s">
        <v>54</v>
      </c>
      <c r="B147" s="62"/>
      <c r="C147" s="62"/>
      <c r="D147" s="62"/>
      <c r="E147" s="62"/>
      <c r="F147" s="62"/>
      <c r="G147" s="62"/>
      <c r="H147" s="63"/>
    </row>
    <row r="148" spans="1:8" ht="47.25" x14ac:dyDescent="0.25">
      <c r="A148" s="7" t="s">
        <v>7</v>
      </c>
      <c r="B148" s="2" t="s">
        <v>8</v>
      </c>
      <c r="C148" s="3" t="s">
        <v>9</v>
      </c>
      <c r="D148" s="3" t="s">
        <v>13</v>
      </c>
      <c r="E148" s="55" t="s">
        <v>12</v>
      </c>
      <c r="F148" s="55"/>
      <c r="G148" s="2" t="s">
        <v>10</v>
      </c>
      <c r="H148" s="8" t="s">
        <v>11</v>
      </c>
    </row>
    <row r="149" spans="1:8" ht="15.75" x14ac:dyDescent="0.25">
      <c r="A149" s="12" t="s">
        <v>95</v>
      </c>
      <c r="B149" s="4">
        <v>671</v>
      </c>
      <c r="C149" s="4" t="s">
        <v>14</v>
      </c>
      <c r="D149" s="4">
        <v>6</v>
      </c>
      <c r="E149" s="59" t="s">
        <v>90</v>
      </c>
      <c r="F149" s="59"/>
      <c r="G149" s="4">
        <v>81</v>
      </c>
      <c r="H149" s="9">
        <v>44691</v>
      </c>
    </row>
    <row r="150" spans="1:8" ht="15.75" x14ac:dyDescent="0.25">
      <c r="A150" s="16">
        <v>147</v>
      </c>
      <c r="B150" s="5">
        <v>678</v>
      </c>
      <c r="C150" s="5" t="s">
        <v>14</v>
      </c>
      <c r="D150" s="5">
        <v>5</v>
      </c>
      <c r="E150" s="64" t="s">
        <v>96</v>
      </c>
      <c r="F150" s="65"/>
      <c r="G150" s="5">
        <v>64</v>
      </c>
      <c r="H150" s="17">
        <v>44691</v>
      </c>
    </row>
    <row r="151" spans="1:8" ht="15.75" x14ac:dyDescent="0.25">
      <c r="A151" s="16" t="s">
        <v>15</v>
      </c>
      <c r="B151" s="5">
        <v>216</v>
      </c>
      <c r="C151" s="5" t="s">
        <v>14</v>
      </c>
      <c r="D151" s="5">
        <v>3</v>
      </c>
      <c r="E151" s="64" t="s">
        <v>91</v>
      </c>
      <c r="F151" s="65"/>
      <c r="G151" s="5">
        <v>76</v>
      </c>
      <c r="H151" s="17">
        <v>44693</v>
      </c>
    </row>
    <row r="152" spans="1:8" ht="15.75" x14ac:dyDescent="0.25">
      <c r="A152" s="16" t="s">
        <v>97</v>
      </c>
      <c r="B152" s="5">
        <v>94</v>
      </c>
      <c r="C152" s="5" t="s">
        <v>14</v>
      </c>
      <c r="D152" s="5">
        <v>3</v>
      </c>
      <c r="E152" s="64" t="s">
        <v>92</v>
      </c>
      <c r="F152" s="65"/>
      <c r="G152" s="5">
        <v>71</v>
      </c>
      <c r="H152" s="17">
        <v>44693</v>
      </c>
    </row>
    <row r="153" spans="1:8" ht="15.75" x14ac:dyDescent="0.25">
      <c r="A153" s="16" t="s">
        <v>97</v>
      </c>
      <c r="B153" s="5">
        <v>680</v>
      </c>
      <c r="C153" s="5" t="s">
        <v>14</v>
      </c>
      <c r="D153" s="5">
        <v>3</v>
      </c>
      <c r="E153" s="64" t="s">
        <v>93</v>
      </c>
      <c r="F153" s="65"/>
      <c r="G153" s="5">
        <v>74</v>
      </c>
      <c r="H153" s="17">
        <v>44694</v>
      </c>
    </row>
    <row r="154" spans="1:8" ht="15.75" x14ac:dyDescent="0.25">
      <c r="A154" s="12" t="s">
        <v>97</v>
      </c>
      <c r="B154" s="4">
        <v>694</v>
      </c>
      <c r="C154" s="4" t="s">
        <v>14</v>
      </c>
      <c r="D154" s="4">
        <v>3</v>
      </c>
      <c r="E154" s="59" t="s">
        <v>94</v>
      </c>
      <c r="F154" s="59"/>
      <c r="G154" s="4">
        <v>66</v>
      </c>
      <c r="H154" s="9">
        <v>44694</v>
      </c>
    </row>
    <row r="155" spans="1:8" ht="16.5" thickBot="1" x14ac:dyDescent="0.3">
      <c r="A155" s="1"/>
      <c r="B155" s="1"/>
      <c r="C155" s="1"/>
      <c r="D155" s="1"/>
      <c r="E155" s="60"/>
      <c r="F155" s="60"/>
      <c r="G155" s="1"/>
      <c r="H155" s="6"/>
    </row>
    <row r="156" spans="1:8" ht="15.75" x14ac:dyDescent="0.25">
      <c r="A156" s="66" t="s">
        <v>20</v>
      </c>
      <c r="B156" s="67"/>
      <c r="C156" s="67"/>
      <c r="D156" s="11">
        <f>SUM(D149:D154)</f>
        <v>23</v>
      </c>
      <c r="E156" s="1"/>
      <c r="F156" s="1"/>
      <c r="G156" s="1"/>
      <c r="H156" s="1"/>
    </row>
    <row r="157" spans="1:8" ht="15.75" x14ac:dyDescent="0.25">
      <c r="A157" s="58" t="s">
        <v>21</v>
      </c>
      <c r="B157" s="59"/>
      <c r="C157" s="59"/>
      <c r="D157" s="13">
        <v>0</v>
      </c>
      <c r="E157" s="1"/>
      <c r="F157" s="25"/>
      <c r="G157" s="1"/>
      <c r="H157" s="1"/>
    </row>
    <row r="158" spans="1:8" ht="15.75" x14ac:dyDescent="0.25">
      <c r="A158" s="54" t="s">
        <v>22</v>
      </c>
      <c r="B158" s="55"/>
      <c r="C158" s="55"/>
      <c r="D158" s="14">
        <f>SUM(D149:D154)</f>
        <v>23</v>
      </c>
      <c r="E158" s="1"/>
      <c r="F158" s="1"/>
      <c r="G158" s="1"/>
      <c r="H158" s="1"/>
    </row>
    <row r="159" spans="1:8" ht="15.75" x14ac:dyDescent="0.25">
      <c r="A159" s="58" t="s">
        <v>23</v>
      </c>
      <c r="B159" s="59"/>
      <c r="C159" s="59"/>
      <c r="D159" s="13">
        <f>+D156+D140</f>
        <v>104</v>
      </c>
      <c r="E159" s="1"/>
      <c r="F159" s="1"/>
      <c r="G159" s="1"/>
      <c r="H159" s="1"/>
    </row>
    <row r="160" spans="1:8" ht="15.75" x14ac:dyDescent="0.25">
      <c r="A160" s="58" t="s">
        <v>24</v>
      </c>
      <c r="B160" s="59"/>
      <c r="C160" s="59"/>
      <c r="D160" s="13">
        <f>+D157+D141</f>
        <v>7</v>
      </c>
      <c r="E160" s="1"/>
      <c r="F160" s="1"/>
      <c r="G160" s="1"/>
      <c r="H160" s="1"/>
    </row>
    <row r="161" spans="1:8" ht="15.75" x14ac:dyDescent="0.25">
      <c r="A161" s="54" t="s">
        <v>25</v>
      </c>
      <c r="B161" s="55"/>
      <c r="C161" s="55"/>
      <c r="D161" s="14">
        <f>+D158+D142</f>
        <v>111</v>
      </c>
      <c r="E161" s="1"/>
      <c r="F161" s="1"/>
      <c r="G161" s="1"/>
      <c r="H161" s="1"/>
    </row>
    <row r="162" spans="1:8" ht="15.75" x14ac:dyDescent="0.25">
      <c r="A162" s="58" t="s">
        <v>26</v>
      </c>
      <c r="B162" s="59"/>
      <c r="C162" s="59"/>
      <c r="D162" s="13">
        <f>COUNT(D149:D154)</f>
        <v>6</v>
      </c>
      <c r="E162" s="1"/>
      <c r="F162" s="1"/>
      <c r="G162" s="1"/>
      <c r="H162" s="1"/>
    </row>
    <row r="163" spans="1:8" ht="16.5" customHeight="1" x14ac:dyDescent="0.25">
      <c r="A163" s="54" t="s">
        <v>27</v>
      </c>
      <c r="B163" s="55"/>
      <c r="C163" s="55"/>
      <c r="D163" s="14">
        <f>+D162+D144</f>
        <v>25</v>
      </c>
      <c r="E163" s="1"/>
      <c r="F163" s="1"/>
      <c r="G163" s="1"/>
      <c r="H163" s="1"/>
    </row>
    <row r="164" spans="1:8" ht="16.5" customHeight="1" thickBot="1" x14ac:dyDescent="0.3">
      <c r="A164" s="56" t="s">
        <v>68</v>
      </c>
      <c r="B164" s="57"/>
      <c r="C164" s="57"/>
      <c r="D164" s="15">
        <f>+SUM(G149:G154,G133:G135,G117:G119,G103:G103,G74:G74,G59:G60,G45:G45,G29:G30,G11:G14,G88:G89)/D163</f>
        <v>69.64</v>
      </c>
      <c r="E164" s="1"/>
      <c r="F164" s="1"/>
      <c r="G164" s="1"/>
      <c r="H164" s="1"/>
    </row>
    <row r="165" spans="1:8" ht="15.75" thickBot="1" x14ac:dyDescent="0.3"/>
    <row r="166" spans="1:8" ht="15.75" x14ac:dyDescent="0.25">
      <c r="A166" s="61" t="s">
        <v>98</v>
      </c>
      <c r="B166" s="62"/>
      <c r="C166" s="62"/>
      <c r="D166" s="62"/>
      <c r="E166" s="62"/>
      <c r="F166" s="62"/>
      <c r="G166" s="62"/>
      <c r="H166" s="63"/>
    </row>
    <row r="167" spans="1:8" ht="47.25" x14ac:dyDescent="0.25">
      <c r="A167" s="7" t="s">
        <v>7</v>
      </c>
      <c r="B167" s="2" t="s">
        <v>8</v>
      </c>
      <c r="C167" s="3" t="s">
        <v>9</v>
      </c>
      <c r="D167" s="3" t="s">
        <v>13</v>
      </c>
      <c r="E167" s="55" t="s">
        <v>12</v>
      </c>
      <c r="F167" s="55"/>
      <c r="G167" s="2" t="s">
        <v>10</v>
      </c>
      <c r="H167" s="8" t="s">
        <v>11</v>
      </c>
    </row>
    <row r="168" spans="1:8" ht="15.75" x14ac:dyDescent="0.25">
      <c r="A168" s="12" t="s">
        <v>52</v>
      </c>
      <c r="B168" s="4">
        <v>674</v>
      </c>
      <c r="C168" s="4" t="s">
        <v>14</v>
      </c>
      <c r="D168" s="4">
        <v>5</v>
      </c>
      <c r="E168" s="59" t="s">
        <v>99</v>
      </c>
      <c r="F168" s="59"/>
      <c r="G168" s="4">
        <v>70</v>
      </c>
      <c r="H168" s="9">
        <v>44742</v>
      </c>
    </row>
    <row r="169" spans="1:8" ht="15.75" x14ac:dyDescent="0.25">
      <c r="A169" s="12" t="s">
        <v>95</v>
      </c>
      <c r="B169" s="4">
        <v>672</v>
      </c>
      <c r="C169" s="4" t="s">
        <v>14</v>
      </c>
      <c r="D169" s="4">
        <v>5</v>
      </c>
      <c r="E169" s="59" t="s">
        <v>32</v>
      </c>
      <c r="F169" s="59"/>
      <c r="G169" s="4">
        <v>68</v>
      </c>
      <c r="H169" s="9">
        <v>44742</v>
      </c>
    </row>
    <row r="170" spans="1:8" ht="16.5" thickBot="1" x14ac:dyDescent="0.3">
      <c r="A170" s="1"/>
      <c r="B170" s="1"/>
      <c r="C170" s="1"/>
      <c r="D170" s="1"/>
      <c r="E170" s="1"/>
      <c r="F170" s="1"/>
      <c r="G170" s="1"/>
      <c r="H170" s="1"/>
    </row>
    <row r="171" spans="1:8" ht="15.75" x14ac:dyDescent="0.25">
      <c r="A171" s="66" t="s">
        <v>20</v>
      </c>
      <c r="B171" s="67"/>
      <c r="C171" s="67"/>
      <c r="D171" s="11">
        <f>D168+D169</f>
        <v>10</v>
      </c>
      <c r="E171" s="1"/>
      <c r="F171" s="1"/>
      <c r="G171" s="1"/>
      <c r="H171" s="1"/>
    </row>
    <row r="172" spans="1:8" ht="15.75" x14ac:dyDescent="0.25">
      <c r="A172" s="58" t="s">
        <v>21</v>
      </c>
      <c r="B172" s="59"/>
      <c r="C172" s="59"/>
      <c r="D172" s="13">
        <v>0</v>
      </c>
      <c r="E172" s="1"/>
      <c r="F172" s="25"/>
      <c r="G172" s="1"/>
      <c r="H172" s="1"/>
    </row>
    <row r="173" spans="1:8" ht="15.75" x14ac:dyDescent="0.25">
      <c r="A173" s="54" t="s">
        <v>88</v>
      </c>
      <c r="B173" s="55"/>
      <c r="C173" s="55"/>
      <c r="D173" s="14">
        <f>SUM(D168:D169)</f>
        <v>10</v>
      </c>
      <c r="E173" s="1"/>
      <c r="F173" s="1"/>
      <c r="G173" s="1"/>
      <c r="H173" s="1"/>
    </row>
    <row r="174" spans="1:8" ht="15.75" x14ac:dyDescent="0.25">
      <c r="A174" s="58" t="s">
        <v>23</v>
      </c>
      <c r="B174" s="59"/>
      <c r="C174" s="59"/>
      <c r="D174" s="13">
        <f>+D171+D159</f>
        <v>114</v>
      </c>
      <c r="E174" s="1"/>
      <c r="F174" s="1"/>
      <c r="G174" s="1"/>
      <c r="H174" s="1"/>
    </row>
    <row r="175" spans="1:8" ht="15.75" x14ac:dyDescent="0.25">
      <c r="A175" s="58" t="s">
        <v>24</v>
      </c>
      <c r="B175" s="59"/>
      <c r="C175" s="59"/>
      <c r="D175" s="13">
        <f>+D172+D160</f>
        <v>7</v>
      </c>
      <c r="E175" s="1"/>
      <c r="F175" s="1"/>
      <c r="G175" s="1"/>
      <c r="H175" s="1"/>
    </row>
    <row r="176" spans="1:8" ht="15.75" x14ac:dyDescent="0.25">
      <c r="A176" s="54" t="s">
        <v>25</v>
      </c>
      <c r="B176" s="55"/>
      <c r="C176" s="55"/>
      <c r="D176" s="14">
        <f>+D173+D161</f>
        <v>121</v>
      </c>
      <c r="E176" s="1"/>
      <c r="F176" s="1"/>
      <c r="G176" s="1"/>
      <c r="H176" s="1"/>
    </row>
    <row r="177" spans="1:18" ht="15.75" x14ac:dyDescent="0.25">
      <c r="A177" s="58" t="s">
        <v>26</v>
      </c>
      <c r="B177" s="59"/>
      <c r="C177" s="59"/>
      <c r="D177" s="13">
        <f>COUNT(D168:D169)</f>
        <v>2</v>
      </c>
      <c r="E177" s="1"/>
      <c r="F177" s="1"/>
      <c r="G177" s="1"/>
      <c r="H177" s="1"/>
    </row>
    <row r="178" spans="1:18" ht="15.75" x14ac:dyDescent="0.25">
      <c r="A178" s="54" t="s">
        <v>27</v>
      </c>
      <c r="B178" s="55"/>
      <c r="C178" s="55"/>
      <c r="D178" s="14">
        <f>+D177+D163</f>
        <v>27</v>
      </c>
      <c r="E178" s="1"/>
      <c r="F178" s="1"/>
      <c r="G178" s="1"/>
      <c r="H178" s="1"/>
    </row>
    <row r="179" spans="1:18" ht="16.5" thickBot="1" x14ac:dyDescent="0.3">
      <c r="A179" s="56" t="s">
        <v>166</v>
      </c>
      <c r="B179" s="57"/>
      <c r="C179" s="57"/>
      <c r="D179" s="15">
        <f>+SUM(G168:G169,G149:G154,G133:G135,G117:G119,G103:G103,G74:G74,G59:G60,G45:G45,G29:G30,G11:G14,G88:G89)/D178</f>
        <v>69.592592592592595</v>
      </c>
      <c r="E179" s="1"/>
      <c r="F179" s="1"/>
      <c r="G179" s="1"/>
      <c r="H179" s="1"/>
    </row>
    <row r="180" spans="1:18" s="47" customFormat="1" ht="15.75" thickBot="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 s="48"/>
    </row>
    <row r="181" spans="1:18" ht="15.75" x14ac:dyDescent="0.25">
      <c r="A181" s="61" t="s">
        <v>55</v>
      </c>
      <c r="B181" s="62"/>
      <c r="C181" s="62"/>
      <c r="D181" s="62"/>
      <c r="E181" s="62"/>
      <c r="F181" s="62"/>
      <c r="G181" s="62"/>
      <c r="H181" s="63"/>
    </row>
    <row r="182" spans="1:18" ht="47.25" x14ac:dyDescent="0.25">
      <c r="A182" s="7" t="s">
        <v>7</v>
      </c>
      <c r="B182" s="2" t="s">
        <v>8</v>
      </c>
      <c r="C182" s="3" t="s">
        <v>9</v>
      </c>
      <c r="D182" s="3" t="s">
        <v>13</v>
      </c>
      <c r="E182" s="55" t="s">
        <v>12</v>
      </c>
      <c r="F182" s="55"/>
      <c r="G182" s="2" t="s">
        <v>10</v>
      </c>
      <c r="H182" s="8" t="s">
        <v>11</v>
      </c>
    </row>
    <row r="183" spans="1:18" ht="15.75" x14ac:dyDescent="0.25">
      <c r="A183" s="37">
        <v>694</v>
      </c>
      <c r="B183" s="38">
        <v>779</v>
      </c>
      <c r="C183" s="5" t="s">
        <v>14</v>
      </c>
      <c r="D183" s="5">
        <v>3</v>
      </c>
      <c r="E183" s="88" t="s">
        <v>100</v>
      </c>
      <c r="F183" s="88"/>
      <c r="G183" s="38">
        <v>70</v>
      </c>
      <c r="H183" s="46">
        <v>44872</v>
      </c>
    </row>
    <row r="184" spans="1:18" ht="15.75" x14ac:dyDescent="0.25">
      <c r="A184" s="37" t="s">
        <v>103</v>
      </c>
      <c r="B184" s="38">
        <v>87</v>
      </c>
      <c r="C184" s="5" t="s">
        <v>14</v>
      </c>
      <c r="D184" s="5">
        <v>3</v>
      </c>
      <c r="E184" s="64" t="s">
        <v>101</v>
      </c>
      <c r="F184" s="65"/>
      <c r="G184" s="38">
        <v>79</v>
      </c>
      <c r="H184" s="46">
        <v>44875</v>
      </c>
    </row>
    <row r="185" spans="1:18" ht="16.5" thickBot="1" x14ac:dyDescent="0.3">
      <c r="A185" s="28">
        <v>680</v>
      </c>
      <c r="B185" s="18">
        <v>764</v>
      </c>
      <c r="C185" s="10" t="s">
        <v>14</v>
      </c>
      <c r="D185" s="10">
        <v>3</v>
      </c>
      <c r="E185" s="71" t="s">
        <v>102</v>
      </c>
      <c r="F185" s="71"/>
      <c r="G185" s="18">
        <v>78</v>
      </c>
      <c r="H185" s="29">
        <v>44876</v>
      </c>
    </row>
    <row r="186" spans="1:18" ht="16.5" thickBot="1" x14ac:dyDescent="0.3">
      <c r="A186" s="1"/>
      <c r="B186" s="1"/>
      <c r="C186" s="1"/>
      <c r="D186" s="1"/>
      <c r="E186" s="60"/>
      <c r="F186" s="60"/>
      <c r="G186" s="1"/>
      <c r="H186" s="6"/>
    </row>
    <row r="187" spans="1:18" ht="15.75" x14ac:dyDescent="0.25">
      <c r="A187" s="66" t="s">
        <v>20</v>
      </c>
      <c r="B187" s="67"/>
      <c r="C187" s="67"/>
      <c r="D187" s="11">
        <f>+D185+D183+D184</f>
        <v>9</v>
      </c>
      <c r="E187" s="60"/>
      <c r="F187" s="60"/>
      <c r="G187" s="1"/>
      <c r="H187" s="6"/>
    </row>
    <row r="188" spans="1:18" ht="15.75" x14ac:dyDescent="0.25">
      <c r="A188" s="58" t="s">
        <v>21</v>
      </c>
      <c r="B188" s="59"/>
      <c r="C188" s="59"/>
      <c r="D188" s="13">
        <f>0</f>
        <v>0</v>
      </c>
      <c r="E188" s="60"/>
      <c r="F188" s="60"/>
      <c r="G188" s="1"/>
      <c r="H188" s="6"/>
    </row>
    <row r="189" spans="1:18" ht="15.75" x14ac:dyDescent="0.25">
      <c r="A189" s="54" t="s">
        <v>22</v>
      </c>
      <c r="B189" s="55"/>
      <c r="C189" s="55"/>
      <c r="D189" s="14">
        <f>+D188+D187</f>
        <v>9</v>
      </c>
      <c r="E189" s="60"/>
      <c r="F189" s="60"/>
      <c r="G189" s="1"/>
      <c r="H189" s="6"/>
    </row>
    <row r="190" spans="1:18" ht="15.75" x14ac:dyDescent="0.25">
      <c r="A190" s="58" t="s">
        <v>23</v>
      </c>
      <c r="B190" s="59"/>
      <c r="C190" s="59"/>
      <c r="D190" s="13">
        <f>+D187+D174</f>
        <v>123</v>
      </c>
      <c r="E190" s="60"/>
      <c r="F190" s="60"/>
      <c r="G190" s="1"/>
      <c r="H190" s="6"/>
    </row>
    <row r="191" spans="1:18" ht="15.75" x14ac:dyDescent="0.25">
      <c r="A191" s="58" t="s">
        <v>24</v>
      </c>
      <c r="B191" s="59"/>
      <c r="C191" s="59"/>
      <c r="D191" s="13">
        <f>+D175+D188</f>
        <v>7</v>
      </c>
      <c r="E191" s="1"/>
      <c r="F191" s="1"/>
      <c r="G191" s="1"/>
      <c r="H191" s="1"/>
    </row>
    <row r="192" spans="1:18" ht="15.75" x14ac:dyDescent="0.25">
      <c r="A192" s="54" t="s">
        <v>25</v>
      </c>
      <c r="B192" s="55"/>
      <c r="C192" s="55"/>
      <c r="D192" s="14">
        <f>+D189+D176</f>
        <v>130</v>
      </c>
      <c r="E192" s="1"/>
      <c r="F192" s="1"/>
      <c r="G192" s="1"/>
      <c r="H192" s="1"/>
    </row>
    <row r="193" spans="1:8" ht="15.75" x14ac:dyDescent="0.25">
      <c r="A193" s="58" t="s">
        <v>30</v>
      </c>
      <c r="B193" s="59"/>
      <c r="C193" s="59"/>
      <c r="D193" s="13">
        <f>COUNT(D183:D185)</f>
        <v>3</v>
      </c>
      <c r="E193" s="1"/>
      <c r="F193" s="1"/>
      <c r="G193" s="1"/>
      <c r="H193" s="1"/>
    </row>
    <row r="194" spans="1:8" ht="15.75" x14ac:dyDescent="0.25">
      <c r="A194" s="54" t="s">
        <v>27</v>
      </c>
      <c r="B194" s="55"/>
      <c r="C194" s="55"/>
      <c r="D194" s="14">
        <f>+D193+D178</f>
        <v>30</v>
      </c>
      <c r="E194" s="1"/>
      <c r="F194" s="1"/>
      <c r="G194" s="1"/>
      <c r="H194" s="1"/>
    </row>
    <row r="195" spans="1:8" ht="16.5" thickBot="1" x14ac:dyDescent="0.3">
      <c r="A195" s="56" t="s">
        <v>114</v>
      </c>
      <c r="B195" s="57"/>
      <c r="C195" s="57"/>
      <c r="D195" s="15">
        <f>+SUM(G11:G14,G29:G30,G183:G185,G168:G169,G149:G154,G117:G119,G103:G103,G88:G89,G74:G74,G59:G60,G45:G45,G133:G135)/D194</f>
        <v>70.2</v>
      </c>
      <c r="E195" s="1"/>
      <c r="F195" s="1"/>
      <c r="G195" s="1"/>
      <c r="H195" s="1"/>
    </row>
    <row r="196" spans="1:8" ht="15.75" thickBot="1" x14ac:dyDescent="0.3"/>
    <row r="197" spans="1:8" ht="15.75" x14ac:dyDescent="0.25">
      <c r="A197" s="61" t="s">
        <v>104</v>
      </c>
      <c r="B197" s="62"/>
      <c r="C197" s="62"/>
      <c r="D197" s="62"/>
      <c r="E197" s="62"/>
      <c r="F197" s="62"/>
      <c r="G197" s="62"/>
      <c r="H197" s="63"/>
    </row>
    <row r="198" spans="1:8" ht="47.25" x14ac:dyDescent="0.25">
      <c r="A198" s="7" t="s">
        <v>7</v>
      </c>
      <c r="B198" s="2" t="s">
        <v>8</v>
      </c>
      <c r="C198" s="3" t="s">
        <v>9</v>
      </c>
      <c r="D198" s="3" t="s">
        <v>13</v>
      </c>
      <c r="E198" s="86" t="s">
        <v>12</v>
      </c>
      <c r="F198" s="87"/>
      <c r="G198" s="2" t="s">
        <v>10</v>
      </c>
      <c r="H198" s="8" t="s">
        <v>11</v>
      </c>
    </row>
    <row r="199" spans="1:8" ht="15.75" x14ac:dyDescent="0.25">
      <c r="A199" s="12" t="s">
        <v>106</v>
      </c>
      <c r="B199" s="30">
        <v>670</v>
      </c>
      <c r="C199" s="4" t="s">
        <v>14</v>
      </c>
      <c r="D199" s="4">
        <v>5</v>
      </c>
      <c r="E199" s="64" t="s">
        <v>105</v>
      </c>
      <c r="F199" s="65"/>
      <c r="G199" s="30">
        <v>61</v>
      </c>
      <c r="H199" s="36">
        <v>44925</v>
      </c>
    </row>
    <row r="200" spans="1:8" ht="16.5" thickBot="1" x14ac:dyDescent="0.3">
      <c r="A200" s="1"/>
      <c r="B200" s="1"/>
      <c r="C200" s="1"/>
      <c r="D200" s="1"/>
      <c r="E200" s="1"/>
      <c r="F200" s="1"/>
      <c r="G200" s="1"/>
      <c r="H200" s="1"/>
    </row>
    <row r="201" spans="1:8" ht="15.75" x14ac:dyDescent="0.25">
      <c r="A201" s="66" t="s">
        <v>20</v>
      </c>
      <c r="B201" s="67"/>
      <c r="C201" s="67"/>
      <c r="D201" s="11">
        <f>SUM(D199)</f>
        <v>5</v>
      </c>
      <c r="E201" s="1"/>
      <c r="F201" s="1"/>
      <c r="G201" s="1"/>
      <c r="H201" s="1"/>
    </row>
    <row r="202" spans="1:8" ht="19.899999999999999" customHeight="1" x14ac:dyDescent="0.25">
      <c r="A202" s="58" t="s">
        <v>21</v>
      </c>
      <c r="B202" s="59"/>
      <c r="C202" s="59"/>
      <c r="D202" s="13">
        <v>0</v>
      </c>
      <c r="E202" s="1"/>
      <c r="F202" s="25"/>
      <c r="G202" s="1"/>
      <c r="H202" s="1"/>
    </row>
    <row r="203" spans="1:8" ht="15.75" x14ac:dyDescent="0.25">
      <c r="A203" s="54" t="s">
        <v>88</v>
      </c>
      <c r="B203" s="55"/>
      <c r="C203" s="55"/>
      <c r="D203" s="14">
        <f>SUM(D199:D199)</f>
        <v>5</v>
      </c>
      <c r="E203" s="1"/>
      <c r="F203" s="1"/>
      <c r="G203" s="1"/>
      <c r="H203" s="1"/>
    </row>
    <row r="204" spans="1:8" ht="15.75" x14ac:dyDescent="0.25">
      <c r="A204" s="58" t="s">
        <v>23</v>
      </c>
      <c r="B204" s="59"/>
      <c r="C204" s="59"/>
      <c r="D204" s="13">
        <f>+D201+D190</f>
        <v>128</v>
      </c>
      <c r="E204" s="1"/>
      <c r="F204" s="1"/>
      <c r="G204" s="1"/>
      <c r="H204" s="1"/>
    </row>
    <row r="205" spans="1:8" ht="15.75" x14ac:dyDescent="0.25">
      <c r="A205" s="58" t="s">
        <v>24</v>
      </c>
      <c r="B205" s="59"/>
      <c r="C205" s="59"/>
      <c r="D205" s="13">
        <f>+D202+D191</f>
        <v>7</v>
      </c>
      <c r="E205" s="1"/>
      <c r="F205" s="1"/>
      <c r="G205" s="1"/>
      <c r="H205" s="1"/>
    </row>
    <row r="206" spans="1:8" ht="15.75" x14ac:dyDescent="0.25">
      <c r="A206" s="54" t="s">
        <v>25</v>
      </c>
      <c r="B206" s="55"/>
      <c r="C206" s="55"/>
      <c r="D206" s="14">
        <f>+D203+D192</f>
        <v>135</v>
      </c>
      <c r="E206" s="1"/>
      <c r="F206" s="1"/>
      <c r="G206" s="1"/>
      <c r="H206" s="1"/>
    </row>
    <row r="207" spans="1:8" ht="15.75" x14ac:dyDescent="0.25">
      <c r="A207" s="58" t="s">
        <v>26</v>
      </c>
      <c r="B207" s="59"/>
      <c r="C207" s="59"/>
      <c r="D207" s="13">
        <f>COUNT(D199:D199)</f>
        <v>1</v>
      </c>
      <c r="E207" s="1"/>
      <c r="F207" s="1"/>
      <c r="G207" s="1"/>
      <c r="H207" s="1"/>
    </row>
    <row r="208" spans="1:8" ht="15.75" x14ac:dyDescent="0.25">
      <c r="A208" s="54" t="s">
        <v>27</v>
      </c>
      <c r="B208" s="55"/>
      <c r="C208" s="55"/>
      <c r="D208" s="14">
        <f>+D207+D194</f>
        <v>31</v>
      </c>
      <c r="E208" s="1"/>
      <c r="F208" s="1"/>
      <c r="G208" s="1"/>
      <c r="H208" s="1"/>
    </row>
    <row r="209" spans="1:8" ht="16.5" thickBot="1" x14ac:dyDescent="0.3">
      <c r="A209" s="56" t="s">
        <v>167</v>
      </c>
      <c r="B209" s="57"/>
      <c r="C209" s="57"/>
      <c r="D209" s="15">
        <f>+SUM(G199:G199,G168:G169,G149:G154,G133:G135,G117:G119,G103:G103,G74:G74,G59:G60,G45:G45,G29:G30,G11:G14,G88:G89,G183:G185)/D208</f>
        <v>69.903225806451616</v>
      </c>
      <c r="E209" s="1"/>
      <c r="F209" s="1"/>
      <c r="G209" s="1"/>
      <c r="H209" s="1"/>
    </row>
    <row r="211" spans="1:8" ht="15.75" thickBot="1" x14ac:dyDescent="0.3"/>
    <row r="212" spans="1:8" ht="15.75" x14ac:dyDescent="0.25">
      <c r="A212" s="61" t="s">
        <v>115</v>
      </c>
      <c r="B212" s="62"/>
      <c r="C212" s="62"/>
      <c r="D212" s="62"/>
      <c r="E212" s="62"/>
      <c r="F212" s="62"/>
      <c r="G212" s="62"/>
      <c r="H212" s="63"/>
    </row>
    <row r="213" spans="1:8" ht="47.25" x14ac:dyDescent="0.25">
      <c r="A213" s="7" t="s">
        <v>7</v>
      </c>
      <c r="B213" s="2" t="s">
        <v>8</v>
      </c>
      <c r="C213" s="3" t="s">
        <v>9</v>
      </c>
      <c r="D213" s="3" t="s">
        <v>13</v>
      </c>
      <c r="E213" s="55" t="s">
        <v>12</v>
      </c>
      <c r="F213" s="55"/>
      <c r="G213" s="2" t="s">
        <v>10</v>
      </c>
      <c r="H213" s="8" t="s">
        <v>11</v>
      </c>
    </row>
    <row r="214" spans="1:8" ht="15.75" x14ac:dyDescent="0.25">
      <c r="A214" s="49" t="s">
        <v>112</v>
      </c>
      <c r="B214" s="30">
        <v>925</v>
      </c>
      <c r="C214" s="4" t="s">
        <v>14</v>
      </c>
      <c r="D214" s="4">
        <v>3</v>
      </c>
      <c r="E214" s="59" t="s">
        <v>107</v>
      </c>
      <c r="F214" s="59"/>
      <c r="G214" s="30">
        <v>68</v>
      </c>
      <c r="H214" s="36">
        <v>45054</v>
      </c>
    </row>
    <row r="215" spans="1:8" ht="15.75" x14ac:dyDescent="0.25">
      <c r="A215" s="37" t="s">
        <v>113</v>
      </c>
      <c r="B215" s="38">
        <v>952</v>
      </c>
      <c r="C215" s="4" t="s">
        <v>14</v>
      </c>
      <c r="D215" s="5">
        <v>6</v>
      </c>
      <c r="E215" s="64" t="s">
        <v>108</v>
      </c>
      <c r="F215" s="65"/>
      <c r="G215" s="38">
        <v>62</v>
      </c>
      <c r="H215" s="46">
        <v>45055</v>
      </c>
    </row>
    <row r="216" spans="1:8" ht="15.75" x14ac:dyDescent="0.25">
      <c r="A216" s="37">
        <v>678</v>
      </c>
      <c r="B216" s="38">
        <v>687</v>
      </c>
      <c r="C216" s="4" t="s">
        <v>14</v>
      </c>
      <c r="D216" s="5">
        <v>3</v>
      </c>
      <c r="E216" s="64" t="s">
        <v>109</v>
      </c>
      <c r="F216" s="65"/>
      <c r="G216" s="38">
        <v>65</v>
      </c>
      <c r="H216" s="46">
        <v>45057</v>
      </c>
    </row>
    <row r="217" spans="1:8" ht="15.75" x14ac:dyDescent="0.25">
      <c r="A217" s="37">
        <v>779</v>
      </c>
      <c r="B217" s="38">
        <v>912</v>
      </c>
      <c r="C217" s="4" t="s">
        <v>14</v>
      </c>
      <c r="D217" s="5">
        <v>3</v>
      </c>
      <c r="E217" s="64" t="s">
        <v>110</v>
      </c>
      <c r="F217" s="65"/>
      <c r="G217" s="38">
        <v>82</v>
      </c>
      <c r="H217" s="46">
        <v>45058</v>
      </c>
    </row>
    <row r="218" spans="1:8" ht="16.5" thickBot="1" x14ac:dyDescent="0.3">
      <c r="A218" s="28">
        <v>670</v>
      </c>
      <c r="B218" s="18">
        <v>676</v>
      </c>
      <c r="C218" s="4" t="s">
        <v>14</v>
      </c>
      <c r="D218" s="10">
        <v>5</v>
      </c>
      <c r="E218" s="71" t="s">
        <v>111</v>
      </c>
      <c r="F218" s="71"/>
      <c r="G218" s="18">
        <v>67</v>
      </c>
      <c r="H218" s="29">
        <v>45065</v>
      </c>
    </row>
    <row r="219" spans="1:8" ht="16.5" thickBot="1" x14ac:dyDescent="0.3">
      <c r="A219" s="1"/>
      <c r="B219" s="1"/>
      <c r="C219" s="1"/>
      <c r="D219" s="1"/>
      <c r="E219" s="60"/>
      <c r="F219" s="60"/>
      <c r="G219" s="1"/>
      <c r="H219" s="6"/>
    </row>
    <row r="220" spans="1:8" ht="15.75" x14ac:dyDescent="0.25">
      <c r="A220" s="66" t="s">
        <v>20</v>
      </c>
      <c r="B220" s="67"/>
      <c r="C220" s="67"/>
      <c r="D220" s="11">
        <f>+D218+D214+D215+D216+D217</f>
        <v>20</v>
      </c>
      <c r="E220" s="60"/>
      <c r="F220" s="60"/>
      <c r="G220" s="1"/>
      <c r="H220" s="6"/>
    </row>
    <row r="221" spans="1:8" ht="15.75" x14ac:dyDescent="0.25">
      <c r="A221" s="58" t="s">
        <v>21</v>
      </c>
      <c r="B221" s="59"/>
      <c r="C221" s="59"/>
      <c r="D221" s="13">
        <f>0</f>
        <v>0</v>
      </c>
      <c r="E221" s="60"/>
      <c r="F221" s="60"/>
      <c r="G221" s="1"/>
      <c r="H221" s="6"/>
    </row>
    <row r="222" spans="1:8" ht="15.75" x14ac:dyDescent="0.25">
      <c r="A222" s="54" t="s">
        <v>22</v>
      </c>
      <c r="B222" s="55"/>
      <c r="C222" s="55"/>
      <c r="D222" s="14">
        <f>SUM(D214:D218)</f>
        <v>20</v>
      </c>
      <c r="E222" s="60"/>
      <c r="F222" s="60"/>
      <c r="G222" s="1"/>
      <c r="H222" s="6"/>
    </row>
    <row r="223" spans="1:8" ht="15.75" x14ac:dyDescent="0.25">
      <c r="A223" s="58" t="s">
        <v>23</v>
      </c>
      <c r="B223" s="59"/>
      <c r="C223" s="59"/>
      <c r="D223" s="13">
        <f>+D220+D204</f>
        <v>148</v>
      </c>
      <c r="E223" s="60"/>
      <c r="F223" s="60"/>
      <c r="G223" s="1"/>
      <c r="H223" s="6"/>
    </row>
    <row r="224" spans="1:8" ht="15.75" x14ac:dyDescent="0.25">
      <c r="A224" s="58" t="s">
        <v>24</v>
      </c>
      <c r="B224" s="59"/>
      <c r="C224" s="59"/>
      <c r="D224" s="13">
        <f>D205+D221</f>
        <v>7</v>
      </c>
      <c r="E224" s="1"/>
      <c r="F224" s="1"/>
      <c r="G224" s="1"/>
      <c r="H224" s="1"/>
    </row>
    <row r="225" spans="1:20" ht="15.75" x14ac:dyDescent="0.25">
      <c r="A225" s="54" t="s">
        <v>25</v>
      </c>
      <c r="B225" s="55"/>
      <c r="C225" s="55"/>
      <c r="D225" s="14">
        <f>+D222+D206</f>
        <v>155</v>
      </c>
      <c r="E225" s="1"/>
      <c r="F225" s="1"/>
      <c r="G225" s="1"/>
      <c r="H225" s="1"/>
    </row>
    <row r="226" spans="1:20" ht="15.75" x14ac:dyDescent="0.25">
      <c r="A226" s="58" t="s">
        <v>30</v>
      </c>
      <c r="B226" s="59"/>
      <c r="C226" s="59"/>
      <c r="D226" s="13">
        <f>COUNT(D214:D218)</f>
        <v>5</v>
      </c>
      <c r="E226" s="1"/>
      <c r="F226" s="1"/>
      <c r="G226" s="1"/>
      <c r="H226" s="1"/>
    </row>
    <row r="227" spans="1:20" ht="15.75" x14ac:dyDescent="0.25">
      <c r="A227" s="54" t="s">
        <v>27</v>
      </c>
      <c r="B227" s="55"/>
      <c r="C227" s="55"/>
      <c r="D227" s="50">
        <f>+D226+D208</f>
        <v>36</v>
      </c>
      <c r="E227" s="1"/>
      <c r="F227" s="1"/>
      <c r="G227" s="1"/>
      <c r="H227" s="1"/>
    </row>
    <row r="228" spans="1:20" ht="16.5" thickBot="1" x14ac:dyDescent="0.3">
      <c r="A228" s="56" t="s">
        <v>116</v>
      </c>
      <c r="B228" s="57"/>
      <c r="C228" s="57"/>
      <c r="D228" s="15">
        <f>+SUM(G29:G30,G45:G45,G214:G218,G199:G199,G183:G185,G149:G154,G133:G135,G117:G119,G103:G103,G88:G89,G74:G74,G59:G60,G168:G169,G11:G14,)/D227</f>
        <v>69.75</v>
      </c>
      <c r="E228" s="1"/>
      <c r="F228" s="1"/>
      <c r="G228" s="1"/>
      <c r="H228" s="1"/>
    </row>
    <row r="229" spans="1:20" ht="15.75" thickBot="1" x14ac:dyDescent="0.3"/>
    <row r="230" spans="1:20" ht="15.75" x14ac:dyDescent="0.25">
      <c r="A230" s="61" t="s">
        <v>118</v>
      </c>
      <c r="B230" s="62"/>
      <c r="C230" s="62"/>
      <c r="D230" s="62"/>
      <c r="E230" s="62"/>
      <c r="F230" s="62"/>
      <c r="G230" s="62"/>
      <c r="H230" s="63"/>
    </row>
    <row r="231" spans="1:20" ht="47.25" x14ac:dyDescent="0.25">
      <c r="A231" s="7" t="s">
        <v>7</v>
      </c>
      <c r="B231" s="2" t="s">
        <v>8</v>
      </c>
      <c r="C231" s="3" t="s">
        <v>9</v>
      </c>
      <c r="D231" s="3" t="s">
        <v>13</v>
      </c>
      <c r="E231" s="55" t="s">
        <v>12</v>
      </c>
      <c r="F231" s="55"/>
      <c r="G231" s="2" t="s">
        <v>10</v>
      </c>
      <c r="H231" s="8" t="s">
        <v>11</v>
      </c>
    </row>
    <row r="232" spans="1:20" ht="15.75" x14ac:dyDescent="0.25">
      <c r="A232" s="49">
        <v>87</v>
      </c>
      <c r="B232" s="30">
        <v>685</v>
      </c>
      <c r="C232" s="4" t="s">
        <v>14</v>
      </c>
      <c r="D232" s="4">
        <v>5</v>
      </c>
      <c r="E232" s="59" t="s">
        <v>117</v>
      </c>
      <c r="F232" s="59"/>
      <c r="G232" s="30">
        <v>61</v>
      </c>
      <c r="H232" s="36">
        <v>45106</v>
      </c>
    </row>
    <row r="233" spans="1:20" s="47" customFormat="1" ht="16.5" thickBot="1" x14ac:dyDescent="0.3">
      <c r="A233" s="1"/>
      <c r="B233" s="1"/>
      <c r="C233" s="1"/>
      <c r="D233" s="1"/>
      <c r="E233" s="60"/>
      <c r="F233" s="60"/>
      <c r="G233" s="1"/>
      <c r="H233" s="6"/>
      <c r="I233"/>
      <c r="J233"/>
      <c r="K233"/>
      <c r="L233"/>
      <c r="M233"/>
      <c r="N233"/>
      <c r="O233"/>
      <c r="P233"/>
      <c r="Q233"/>
      <c r="R233"/>
      <c r="S233"/>
      <c r="T233"/>
    </row>
    <row r="234" spans="1:20" ht="15.75" x14ac:dyDescent="0.25">
      <c r="A234" s="66" t="s">
        <v>20</v>
      </c>
      <c r="B234" s="67"/>
      <c r="C234" s="67"/>
      <c r="D234" s="11">
        <f>+D232</f>
        <v>5</v>
      </c>
      <c r="E234" s="60"/>
      <c r="F234" s="60"/>
      <c r="G234" s="1"/>
      <c r="H234" s="6"/>
    </row>
    <row r="235" spans="1:20" ht="15.75" x14ac:dyDescent="0.25">
      <c r="A235" s="58" t="s">
        <v>21</v>
      </c>
      <c r="B235" s="59"/>
      <c r="C235" s="59"/>
      <c r="D235" s="13">
        <v>0</v>
      </c>
      <c r="E235" s="60"/>
      <c r="F235" s="60"/>
      <c r="G235" s="1"/>
      <c r="H235" s="6"/>
    </row>
    <row r="236" spans="1:20" ht="15.75" x14ac:dyDescent="0.25">
      <c r="A236" s="54" t="s">
        <v>139</v>
      </c>
      <c r="B236" s="55"/>
      <c r="C236" s="55"/>
      <c r="D236" s="14">
        <f>+D235+D234</f>
        <v>5</v>
      </c>
      <c r="E236" s="60"/>
      <c r="F236" s="60"/>
      <c r="G236" s="1"/>
      <c r="H236" s="6"/>
    </row>
    <row r="237" spans="1:20" ht="15.75" x14ac:dyDescent="0.25">
      <c r="A237" s="58" t="s">
        <v>23</v>
      </c>
      <c r="B237" s="59"/>
      <c r="C237" s="59"/>
      <c r="D237" s="13">
        <f>+D234+D223</f>
        <v>153</v>
      </c>
      <c r="E237" s="60"/>
      <c r="F237" s="60"/>
      <c r="G237" s="1"/>
      <c r="H237" s="6"/>
    </row>
    <row r="238" spans="1:20" ht="15.75" x14ac:dyDescent="0.25">
      <c r="A238" s="58" t="s">
        <v>24</v>
      </c>
      <c r="B238" s="59"/>
      <c r="C238" s="59"/>
      <c r="D238" s="13">
        <f>D224+D235</f>
        <v>7</v>
      </c>
      <c r="E238" s="1"/>
      <c r="F238" s="1"/>
      <c r="G238" s="1"/>
      <c r="H238" s="1"/>
    </row>
    <row r="239" spans="1:20" ht="15.75" x14ac:dyDescent="0.25">
      <c r="A239" s="54" t="s">
        <v>25</v>
      </c>
      <c r="B239" s="55"/>
      <c r="C239" s="55"/>
      <c r="D239" s="14">
        <f>+D236+D225</f>
        <v>160</v>
      </c>
      <c r="E239" s="1"/>
      <c r="F239" s="1"/>
      <c r="G239" s="1"/>
      <c r="H239" s="1"/>
    </row>
    <row r="240" spans="1:20" ht="15.75" x14ac:dyDescent="0.25">
      <c r="A240" s="58" t="s">
        <v>26</v>
      </c>
      <c r="B240" s="59"/>
      <c r="C240" s="59"/>
      <c r="D240" s="13">
        <f>COUNT(D232)</f>
        <v>1</v>
      </c>
      <c r="E240" s="1"/>
      <c r="F240" s="1"/>
      <c r="G240" s="1"/>
      <c r="H240" s="1"/>
    </row>
    <row r="241" spans="1:8" ht="15.75" x14ac:dyDescent="0.25">
      <c r="A241" s="54" t="s">
        <v>27</v>
      </c>
      <c r="B241" s="55"/>
      <c r="C241" s="55"/>
      <c r="D241" s="50">
        <f>+D240+D227</f>
        <v>37</v>
      </c>
      <c r="E241" s="1"/>
      <c r="F241" s="1"/>
      <c r="G241" s="1"/>
      <c r="H241" s="1"/>
    </row>
    <row r="242" spans="1:8" ht="16.5" thickBot="1" x14ac:dyDescent="0.3">
      <c r="A242" s="56" t="s">
        <v>168</v>
      </c>
      <c r="B242" s="57"/>
      <c r="C242" s="57"/>
      <c r="D242" s="15">
        <f>+SUM(G45:G45,G59:G60,G232:G232,G214:G218,G199:G199,G168:G169,G149:G154,G133:G135,G117:G119,G103:G103,G88:G89,G74:G74,G183:G185,G29:G30,G11:G14)/D241</f>
        <v>69.513513513513516</v>
      </c>
      <c r="E242" s="1"/>
      <c r="F242" s="1"/>
      <c r="G242" s="1"/>
      <c r="H242" s="1"/>
    </row>
    <row r="243" spans="1:8" ht="15.75" thickBot="1" x14ac:dyDescent="0.3"/>
    <row r="244" spans="1:8" ht="15.75" x14ac:dyDescent="0.25">
      <c r="A244" s="61" t="s">
        <v>61</v>
      </c>
      <c r="B244" s="62"/>
      <c r="C244" s="62"/>
      <c r="D244" s="62"/>
      <c r="E244" s="62"/>
      <c r="F244" s="62"/>
      <c r="G244" s="62"/>
      <c r="H244" s="63"/>
    </row>
    <row r="245" spans="1:8" ht="47.25" x14ac:dyDescent="0.25">
      <c r="A245" s="7" t="s">
        <v>7</v>
      </c>
      <c r="B245" s="2" t="s">
        <v>8</v>
      </c>
      <c r="C245" s="3" t="s">
        <v>9</v>
      </c>
      <c r="D245" s="3" t="s">
        <v>13</v>
      </c>
      <c r="E245" s="55" t="s">
        <v>12</v>
      </c>
      <c r="F245" s="55"/>
      <c r="G245" s="2" t="s">
        <v>10</v>
      </c>
      <c r="H245" s="8" t="s">
        <v>11</v>
      </c>
    </row>
    <row r="246" spans="1:8" ht="15.75" x14ac:dyDescent="0.25">
      <c r="A246" s="49">
        <v>687</v>
      </c>
      <c r="B246" s="30">
        <v>698</v>
      </c>
      <c r="C246" s="4" t="s">
        <v>14</v>
      </c>
      <c r="D246" s="4">
        <v>3</v>
      </c>
      <c r="E246" s="59" t="s">
        <v>119</v>
      </c>
      <c r="F246" s="59"/>
      <c r="G246" s="30">
        <v>61</v>
      </c>
      <c r="H246" s="36">
        <v>45236</v>
      </c>
    </row>
    <row r="247" spans="1:8" ht="15.75" x14ac:dyDescent="0.25">
      <c r="A247" s="49">
        <v>925</v>
      </c>
      <c r="B247" s="30">
        <v>928</v>
      </c>
      <c r="C247" s="4" t="s">
        <v>14</v>
      </c>
      <c r="D247" s="4">
        <v>3</v>
      </c>
      <c r="E247" s="64" t="s">
        <v>120</v>
      </c>
      <c r="F247" s="65"/>
      <c r="G247" s="30">
        <v>67</v>
      </c>
      <c r="H247" s="36">
        <v>45236</v>
      </c>
    </row>
    <row r="248" spans="1:8" ht="15.75" x14ac:dyDescent="0.25">
      <c r="A248" s="49" t="s">
        <v>126</v>
      </c>
      <c r="B248" s="30">
        <v>778</v>
      </c>
      <c r="C248" s="4" t="s">
        <v>14</v>
      </c>
      <c r="D248" s="4">
        <v>3</v>
      </c>
      <c r="E248" s="64" t="s">
        <v>121</v>
      </c>
      <c r="F248" s="65"/>
      <c r="G248" s="30">
        <v>63</v>
      </c>
      <c r="H248" s="36" t="s">
        <v>125</v>
      </c>
    </row>
    <row r="249" spans="1:8" ht="15.75" x14ac:dyDescent="0.25">
      <c r="A249" s="49">
        <v>952</v>
      </c>
      <c r="B249" s="30">
        <v>954</v>
      </c>
      <c r="C249" s="4" t="s">
        <v>14</v>
      </c>
      <c r="D249" s="4">
        <v>6</v>
      </c>
      <c r="E249" s="64" t="s">
        <v>122</v>
      </c>
      <c r="F249" s="65"/>
      <c r="G249" s="30">
        <v>67</v>
      </c>
      <c r="H249" s="36">
        <v>45238</v>
      </c>
    </row>
    <row r="250" spans="1:8" ht="15.75" x14ac:dyDescent="0.25">
      <c r="A250" s="49">
        <v>950</v>
      </c>
      <c r="B250" s="30">
        <v>793</v>
      </c>
      <c r="C250" s="4" t="s">
        <v>14</v>
      </c>
      <c r="D250" s="4">
        <v>3</v>
      </c>
      <c r="E250" s="64" t="s">
        <v>127</v>
      </c>
      <c r="F250" s="65"/>
      <c r="G250" s="30">
        <v>82</v>
      </c>
      <c r="H250" s="36">
        <v>45239</v>
      </c>
    </row>
    <row r="251" spans="1:8" ht="15.75" x14ac:dyDescent="0.25">
      <c r="A251" s="49">
        <v>685</v>
      </c>
      <c r="B251" s="30">
        <v>795</v>
      </c>
      <c r="C251" s="4" t="s">
        <v>14</v>
      </c>
      <c r="D251" s="4">
        <v>5</v>
      </c>
      <c r="E251" s="69" t="s">
        <v>123</v>
      </c>
      <c r="F251" s="70"/>
      <c r="G251" s="30">
        <v>70</v>
      </c>
      <c r="H251" s="36">
        <v>45252</v>
      </c>
    </row>
    <row r="252" spans="1:8" ht="15.75" x14ac:dyDescent="0.25">
      <c r="A252" s="49" t="s">
        <v>128</v>
      </c>
      <c r="B252" s="30">
        <v>796</v>
      </c>
      <c r="C252" s="4" t="s">
        <v>14</v>
      </c>
      <c r="D252" s="4">
        <v>3</v>
      </c>
      <c r="E252" s="59" t="s">
        <v>124</v>
      </c>
      <c r="F252" s="59"/>
      <c r="G252" s="30">
        <v>66</v>
      </c>
      <c r="H252" s="36">
        <v>45307</v>
      </c>
    </row>
    <row r="253" spans="1:8" ht="16.5" thickBot="1" x14ac:dyDescent="0.3">
      <c r="A253" s="1"/>
      <c r="B253" s="1"/>
      <c r="C253" s="1"/>
      <c r="D253" s="1"/>
      <c r="E253" s="60"/>
      <c r="F253" s="60"/>
      <c r="G253" s="1"/>
      <c r="H253" s="6"/>
    </row>
    <row r="254" spans="1:8" ht="15.75" x14ac:dyDescent="0.25">
      <c r="A254" s="66" t="s">
        <v>20</v>
      </c>
      <c r="B254" s="67"/>
      <c r="C254" s="67"/>
      <c r="D254" s="11">
        <f>SUM(D246:D252)</f>
        <v>26</v>
      </c>
      <c r="E254" s="60"/>
      <c r="F254" s="60"/>
      <c r="G254" s="1"/>
      <c r="H254" s="6"/>
    </row>
    <row r="255" spans="1:8" ht="15.75" x14ac:dyDescent="0.25">
      <c r="A255" s="58" t="s">
        <v>21</v>
      </c>
      <c r="B255" s="59"/>
      <c r="C255" s="59"/>
      <c r="D255" s="13">
        <v>0</v>
      </c>
      <c r="E255" s="60"/>
      <c r="F255" s="60"/>
      <c r="G255" s="1"/>
      <c r="H255" s="6"/>
    </row>
    <row r="256" spans="1:8" ht="15.75" x14ac:dyDescent="0.25">
      <c r="A256" s="54" t="s">
        <v>22</v>
      </c>
      <c r="B256" s="55"/>
      <c r="C256" s="55"/>
      <c r="D256" s="14">
        <f>+D255+D254</f>
        <v>26</v>
      </c>
      <c r="E256" s="60"/>
      <c r="F256" s="60"/>
      <c r="G256" s="1"/>
      <c r="H256" s="6"/>
    </row>
    <row r="257" spans="1:8" ht="15.75" x14ac:dyDescent="0.25">
      <c r="A257" s="58" t="s">
        <v>23</v>
      </c>
      <c r="B257" s="59"/>
      <c r="C257" s="59"/>
      <c r="D257" s="13">
        <f>+D254+D237</f>
        <v>179</v>
      </c>
      <c r="E257" s="60"/>
      <c r="F257" s="60"/>
      <c r="G257" s="1"/>
      <c r="H257" s="6"/>
    </row>
    <row r="258" spans="1:8" ht="15.75" x14ac:dyDescent="0.25">
      <c r="A258" s="58" t="s">
        <v>24</v>
      </c>
      <c r="B258" s="59"/>
      <c r="C258" s="59"/>
      <c r="D258" s="13">
        <f>D238+D255</f>
        <v>7</v>
      </c>
      <c r="E258" s="1"/>
      <c r="F258" s="1"/>
      <c r="G258" s="1"/>
      <c r="H258" s="1"/>
    </row>
    <row r="259" spans="1:8" ht="15.75" x14ac:dyDescent="0.25">
      <c r="A259" s="54" t="s">
        <v>25</v>
      </c>
      <c r="B259" s="55"/>
      <c r="C259" s="55"/>
      <c r="D259" s="14">
        <f>+D256+D239</f>
        <v>186</v>
      </c>
      <c r="E259" s="1"/>
      <c r="F259" s="1"/>
      <c r="G259" s="1"/>
      <c r="H259" s="1"/>
    </row>
    <row r="260" spans="1:8" ht="15.75" x14ac:dyDescent="0.25">
      <c r="A260" s="58" t="s">
        <v>26</v>
      </c>
      <c r="B260" s="59"/>
      <c r="C260" s="59"/>
      <c r="D260" s="13">
        <f>COUNT(D246:D252)</f>
        <v>7</v>
      </c>
      <c r="E260" s="1"/>
      <c r="F260" s="1"/>
      <c r="G260" s="1"/>
      <c r="H260" s="1"/>
    </row>
    <row r="261" spans="1:8" ht="15.75" x14ac:dyDescent="0.25">
      <c r="A261" s="54" t="s">
        <v>27</v>
      </c>
      <c r="B261" s="55"/>
      <c r="C261" s="55"/>
      <c r="D261" s="50">
        <f>+D260+D241</f>
        <v>44</v>
      </c>
      <c r="E261" s="1"/>
      <c r="F261" s="1"/>
      <c r="G261" s="1"/>
      <c r="H261" s="1"/>
    </row>
    <row r="262" spans="1:8" ht="16.5" thickBot="1" x14ac:dyDescent="0.3">
      <c r="A262" s="56" t="s">
        <v>69</v>
      </c>
      <c r="B262" s="57"/>
      <c r="C262" s="57"/>
      <c r="D262" s="15">
        <f>+SUM(G45:G45,G59:G60,G74:G74,G246:G252,G232:G232,G214:G218,G183:G185,G168:G169,G149:G154,G133:G135,G117:G119,G103:G103,G88:G89,G199:G199,G29:G30,G11:G14)/D261</f>
        <v>69.272727272727266</v>
      </c>
      <c r="E262" s="1"/>
      <c r="F262" s="1"/>
      <c r="G262" s="1"/>
      <c r="H262" s="1"/>
    </row>
    <row r="263" spans="1:8" ht="15.75" thickBot="1" x14ac:dyDescent="0.3"/>
    <row r="264" spans="1:8" ht="15.75" x14ac:dyDescent="0.25">
      <c r="A264" s="61" t="s">
        <v>129</v>
      </c>
      <c r="B264" s="62"/>
      <c r="C264" s="62"/>
      <c r="D264" s="62"/>
      <c r="E264" s="62"/>
      <c r="F264" s="62"/>
      <c r="G264" s="62"/>
      <c r="H264" s="63"/>
    </row>
    <row r="265" spans="1:8" ht="47.25" x14ac:dyDescent="0.25">
      <c r="A265" s="7" t="s">
        <v>7</v>
      </c>
      <c r="B265" s="2" t="s">
        <v>8</v>
      </c>
      <c r="C265" s="3" t="s">
        <v>9</v>
      </c>
      <c r="D265" s="3" t="s">
        <v>13</v>
      </c>
      <c r="E265" s="55" t="s">
        <v>12</v>
      </c>
      <c r="F265" s="55"/>
      <c r="G265" s="2" t="s">
        <v>10</v>
      </c>
      <c r="H265" s="8" t="s">
        <v>11</v>
      </c>
    </row>
    <row r="266" spans="1:8" ht="15.75" x14ac:dyDescent="0.25">
      <c r="A266" s="49" t="s">
        <v>136</v>
      </c>
      <c r="B266" s="30">
        <v>931</v>
      </c>
      <c r="C266" s="4" t="s">
        <v>14</v>
      </c>
      <c r="D266" s="4">
        <v>6</v>
      </c>
      <c r="E266" s="64" t="s">
        <v>130</v>
      </c>
      <c r="F266" s="65"/>
      <c r="G266" s="30">
        <v>70</v>
      </c>
      <c r="H266" s="36">
        <v>45418</v>
      </c>
    </row>
    <row r="267" spans="1:8" ht="15.75" x14ac:dyDescent="0.25">
      <c r="A267" s="49">
        <v>29</v>
      </c>
      <c r="B267" s="30">
        <v>77</v>
      </c>
      <c r="C267" s="4" t="s">
        <v>19</v>
      </c>
      <c r="D267" s="4">
        <v>3</v>
      </c>
      <c r="E267" s="64" t="s">
        <v>131</v>
      </c>
      <c r="F267" s="65"/>
      <c r="G267" s="30">
        <v>61</v>
      </c>
      <c r="H267" s="36">
        <v>45419</v>
      </c>
    </row>
    <row r="268" spans="1:8" ht="15.75" x14ac:dyDescent="0.25">
      <c r="A268" s="49">
        <v>87</v>
      </c>
      <c r="B268" s="30">
        <v>794</v>
      </c>
      <c r="C268" s="4" t="s">
        <v>14</v>
      </c>
      <c r="D268" s="4">
        <v>4</v>
      </c>
      <c r="E268" s="64" t="s">
        <v>132</v>
      </c>
      <c r="F268" s="65"/>
      <c r="G268" s="30">
        <v>74</v>
      </c>
      <c r="H268" s="36">
        <v>45419</v>
      </c>
    </row>
    <row r="269" spans="1:8" ht="15.75" x14ac:dyDescent="0.25">
      <c r="A269" s="49" t="s">
        <v>137</v>
      </c>
      <c r="B269" s="30">
        <v>68</v>
      </c>
      <c r="C269" s="4" t="s">
        <v>14</v>
      </c>
      <c r="D269" s="4">
        <v>3</v>
      </c>
      <c r="E269" s="64" t="s">
        <v>133</v>
      </c>
      <c r="F269" s="65"/>
      <c r="G269" s="30">
        <v>72</v>
      </c>
      <c r="H269" s="36">
        <v>45420</v>
      </c>
    </row>
    <row r="270" spans="1:8" ht="15.75" x14ac:dyDescent="0.25">
      <c r="A270" s="49">
        <v>954</v>
      </c>
      <c r="B270" s="30">
        <v>907</v>
      </c>
      <c r="C270" s="4" t="s">
        <v>14</v>
      </c>
      <c r="D270" s="4">
        <v>3</v>
      </c>
      <c r="E270" s="64" t="s">
        <v>134</v>
      </c>
      <c r="F270" s="65"/>
      <c r="G270" s="30">
        <v>77</v>
      </c>
      <c r="H270" s="36">
        <v>45421</v>
      </c>
    </row>
    <row r="271" spans="1:8" ht="15.75" x14ac:dyDescent="0.25">
      <c r="A271" s="49" t="s">
        <v>138</v>
      </c>
      <c r="B271" s="30">
        <v>2585</v>
      </c>
      <c r="C271" s="4" t="s">
        <v>14</v>
      </c>
      <c r="D271" s="4">
        <v>0</v>
      </c>
      <c r="E271" s="59" t="s">
        <v>135</v>
      </c>
      <c r="F271" s="59"/>
      <c r="G271" s="30">
        <v>76</v>
      </c>
      <c r="H271" s="36">
        <v>45422</v>
      </c>
    </row>
    <row r="272" spans="1:8" ht="15.75" x14ac:dyDescent="0.25">
      <c r="A272" s="52" t="s">
        <v>145</v>
      </c>
      <c r="B272" s="51">
        <v>217</v>
      </c>
      <c r="C272" s="51" t="s">
        <v>19</v>
      </c>
      <c r="D272" s="51">
        <v>4</v>
      </c>
      <c r="E272" s="68" t="s">
        <v>144</v>
      </c>
      <c r="F272" s="68"/>
      <c r="G272" s="51">
        <v>68</v>
      </c>
      <c r="H272" s="53">
        <v>45478</v>
      </c>
    </row>
    <row r="273" spans="1:8" ht="16.5" thickBot="1" x14ac:dyDescent="0.3">
      <c r="A273" s="44"/>
      <c r="B273" s="44"/>
      <c r="C273" s="1"/>
      <c r="D273" s="1"/>
      <c r="E273" s="1"/>
      <c r="F273" s="1"/>
      <c r="G273" s="44"/>
      <c r="H273" s="45"/>
    </row>
    <row r="274" spans="1:8" ht="15.75" x14ac:dyDescent="0.25">
      <c r="A274" s="66" t="s">
        <v>20</v>
      </c>
      <c r="B274" s="67"/>
      <c r="C274" s="67"/>
      <c r="D274" s="11">
        <f>D266+D268+D269+D270+D271</f>
        <v>16</v>
      </c>
      <c r="E274" s="60"/>
      <c r="F274" s="60"/>
      <c r="G274" s="1"/>
      <c r="H274" s="6"/>
    </row>
    <row r="275" spans="1:8" ht="15.75" x14ac:dyDescent="0.25">
      <c r="A275" s="58" t="s">
        <v>21</v>
      </c>
      <c r="B275" s="59"/>
      <c r="C275" s="59"/>
      <c r="D275" s="13">
        <f>D267+D272</f>
        <v>7</v>
      </c>
      <c r="E275" s="60"/>
      <c r="F275" s="60"/>
      <c r="G275" s="1"/>
      <c r="H275" s="6"/>
    </row>
    <row r="276" spans="1:8" ht="15.75" x14ac:dyDescent="0.25">
      <c r="A276" s="54" t="s">
        <v>22</v>
      </c>
      <c r="B276" s="55"/>
      <c r="C276" s="55"/>
      <c r="D276" s="14">
        <f>+D275+D274</f>
        <v>23</v>
      </c>
      <c r="E276" s="60"/>
      <c r="F276" s="60"/>
      <c r="G276" s="1"/>
      <c r="H276" s="6"/>
    </row>
    <row r="277" spans="1:8" ht="15.75" x14ac:dyDescent="0.25">
      <c r="A277" s="58" t="s">
        <v>23</v>
      </c>
      <c r="B277" s="59"/>
      <c r="C277" s="59"/>
      <c r="D277" s="13">
        <f>+D274+D257</f>
        <v>195</v>
      </c>
      <c r="E277" s="60"/>
      <c r="F277" s="60"/>
      <c r="G277" s="1"/>
      <c r="H277" s="6"/>
    </row>
    <row r="278" spans="1:8" ht="15.75" x14ac:dyDescent="0.25">
      <c r="A278" s="58" t="s">
        <v>24</v>
      </c>
      <c r="B278" s="59"/>
      <c r="C278" s="59"/>
      <c r="D278" s="13">
        <f>D258+D275</f>
        <v>14</v>
      </c>
      <c r="E278" s="1"/>
      <c r="F278" s="1"/>
      <c r="G278" s="1"/>
      <c r="H278" s="1"/>
    </row>
    <row r="279" spans="1:8" ht="15.75" x14ac:dyDescent="0.25">
      <c r="A279" s="54" t="s">
        <v>25</v>
      </c>
      <c r="B279" s="55"/>
      <c r="C279" s="55"/>
      <c r="D279" s="14">
        <f>+D276+D259</f>
        <v>209</v>
      </c>
      <c r="E279" s="1"/>
      <c r="F279" s="1"/>
      <c r="G279" s="1"/>
      <c r="H279" s="1"/>
    </row>
    <row r="280" spans="1:8" ht="15.75" x14ac:dyDescent="0.25">
      <c r="A280" s="58" t="s">
        <v>26</v>
      </c>
      <c r="B280" s="59"/>
      <c r="C280" s="59"/>
      <c r="D280" s="13">
        <f>COUNT(D266:D272)</f>
        <v>7</v>
      </c>
      <c r="E280" s="1"/>
      <c r="F280" s="1"/>
      <c r="G280" s="1"/>
      <c r="H280" s="1"/>
    </row>
    <row r="281" spans="1:8" ht="15.75" x14ac:dyDescent="0.25">
      <c r="A281" s="54" t="s">
        <v>27</v>
      </c>
      <c r="B281" s="55"/>
      <c r="C281" s="55"/>
      <c r="D281" s="50">
        <f>+D280+D261</f>
        <v>51</v>
      </c>
      <c r="E281" s="1"/>
      <c r="F281" s="1"/>
      <c r="G281" s="1"/>
      <c r="H281" s="1"/>
    </row>
    <row r="282" spans="1:8" ht="16.5" thickBot="1" x14ac:dyDescent="0.3">
      <c r="A282" s="56" t="s">
        <v>70</v>
      </c>
      <c r="B282" s="57"/>
      <c r="C282" s="57"/>
      <c r="D282" s="15">
        <f>+SUM(G59:G60,G74:G74,G88:G89,G266:G272,G246:G252,G232:G232,G199:G199,G183:G185,G168:G169,G149:G154,G133:G135,G117:G119,G103:G103,G214:G218,G45:G45,G29:G30,G11:G14)/D281</f>
        <v>69.529411764705884</v>
      </c>
      <c r="E282" s="1"/>
      <c r="F282" s="1"/>
      <c r="G282" s="1"/>
      <c r="H282" s="1"/>
    </row>
    <row r="283" spans="1:8" ht="15.75" thickBot="1" x14ac:dyDescent="0.3"/>
    <row r="284" spans="1:8" ht="15.75" x14ac:dyDescent="0.25">
      <c r="A284" s="61" t="s">
        <v>140</v>
      </c>
      <c r="B284" s="62"/>
      <c r="C284" s="62"/>
      <c r="D284" s="62"/>
      <c r="E284" s="62"/>
      <c r="F284" s="62"/>
      <c r="G284" s="62"/>
      <c r="H284" s="63"/>
    </row>
    <row r="285" spans="1:8" ht="47.25" x14ac:dyDescent="0.25">
      <c r="A285" s="7" t="s">
        <v>7</v>
      </c>
      <c r="B285" s="2" t="s">
        <v>8</v>
      </c>
      <c r="C285" s="3" t="s">
        <v>9</v>
      </c>
      <c r="D285" s="3" t="s">
        <v>13</v>
      </c>
      <c r="E285" s="55" t="s">
        <v>12</v>
      </c>
      <c r="F285" s="55"/>
      <c r="G285" s="2" t="s">
        <v>10</v>
      </c>
      <c r="H285" s="8" t="s">
        <v>11</v>
      </c>
    </row>
    <row r="286" spans="1:8" ht="15.75" x14ac:dyDescent="0.25">
      <c r="A286" s="49" t="s">
        <v>143</v>
      </c>
      <c r="B286" s="30">
        <v>2671</v>
      </c>
      <c r="C286" s="4" t="s">
        <v>14</v>
      </c>
      <c r="D286" s="4">
        <v>4</v>
      </c>
      <c r="E286" s="64" t="s">
        <v>141</v>
      </c>
      <c r="F286" s="65"/>
      <c r="G286" s="30">
        <v>82</v>
      </c>
      <c r="H286" s="36">
        <v>45471</v>
      </c>
    </row>
    <row r="287" spans="1:8" ht="15.75" x14ac:dyDescent="0.25">
      <c r="A287" s="49">
        <v>949</v>
      </c>
      <c r="B287" s="30">
        <v>690</v>
      </c>
      <c r="C287" s="4" t="s">
        <v>14</v>
      </c>
      <c r="D287" s="4">
        <v>5</v>
      </c>
      <c r="E287" s="59" t="s">
        <v>142</v>
      </c>
      <c r="F287" s="59"/>
      <c r="G287" s="30">
        <v>86</v>
      </c>
      <c r="H287" s="36">
        <v>45471</v>
      </c>
    </row>
    <row r="288" spans="1:8" ht="16.5" thickBot="1" x14ac:dyDescent="0.3">
      <c r="A288" s="1"/>
      <c r="B288" s="1"/>
      <c r="C288" s="1"/>
      <c r="D288" s="1"/>
      <c r="E288" s="60"/>
      <c r="F288" s="60"/>
      <c r="G288" s="1"/>
      <c r="H288" s="6"/>
    </row>
    <row r="289" spans="1:8" ht="15.75" x14ac:dyDescent="0.25">
      <c r="A289" s="66" t="s">
        <v>20</v>
      </c>
      <c r="B289" s="67"/>
      <c r="C289" s="67"/>
      <c r="D289" s="11">
        <f>+D286+D287</f>
        <v>9</v>
      </c>
      <c r="E289" s="60"/>
      <c r="F289" s="60"/>
      <c r="G289" s="1"/>
      <c r="H289" s="6"/>
    </row>
    <row r="290" spans="1:8" ht="15.75" x14ac:dyDescent="0.25">
      <c r="A290" s="58" t="s">
        <v>21</v>
      </c>
      <c r="B290" s="59"/>
      <c r="C290" s="59"/>
      <c r="D290" s="13">
        <v>0</v>
      </c>
      <c r="E290" s="60"/>
      <c r="F290" s="60"/>
      <c r="G290" s="1"/>
      <c r="H290" s="6"/>
    </row>
    <row r="291" spans="1:8" ht="15.75" x14ac:dyDescent="0.25">
      <c r="A291" s="54" t="s">
        <v>88</v>
      </c>
      <c r="B291" s="55"/>
      <c r="C291" s="55"/>
      <c r="D291" s="14">
        <f>+D290+D289</f>
        <v>9</v>
      </c>
      <c r="E291" s="60"/>
      <c r="F291" s="60"/>
      <c r="G291" s="1"/>
      <c r="H291" s="6"/>
    </row>
    <row r="292" spans="1:8" ht="15.75" x14ac:dyDescent="0.25">
      <c r="A292" s="58" t="s">
        <v>23</v>
      </c>
      <c r="B292" s="59"/>
      <c r="C292" s="59"/>
      <c r="D292" s="13">
        <f>+D289+D277</f>
        <v>204</v>
      </c>
      <c r="E292" s="60"/>
      <c r="F292" s="60"/>
      <c r="G292" s="1"/>
      <c r="H292" s="6"/>
    </row>
    <row r="293" spans="1:8" ht="15.75" x14ac:dyDescent="0.25">
      <c r="A293" s="58" t="s">
        <v>24</v>
      </c>
      <c r="B293" s="59"/>
      <c r="C293" s="59"/>
      <c r="D293" s="13">
        <f>D278+D290</f>
        <v>14</v>
      </c>
      <c r="E293" s="1"/>
      <c r="F293" s="1"/>
      <c r="G293" s="1"/>
      <c r="H293" s="1"/>
    </row>
    <row r="294" spans="1:8" ht="15.75" x14ac:dyDescent="0.25">
      <c r="A294" s="54" t="s">
        <v>25</v>
      </c>
      <c r="B294" s="55"/>
      <c r="C294" s="55"/>
      <c r="D294" s="14">
        <f>+D291+D279</f>
        <v>218</v>
      </c>
      <c r="E294" s="1"/>
      <c r="F294" s="1"/>
      <c r="G294" s="1"/>
      <c r="H294" s="1"/>
    </row>
    <row r="295" spans="1:8" ht="15.75" x14ac:dyDescent="0.25">
      <c r="A295" s="58" t="s">
        <v>26</v>
      </c>
      <c r="B295" s="59"/>
      <c r="C295" s="59"/>
      <c r="D295" s="13">
        <f>COUNT(D286:D287)</f>
        <v>2</v>
      </c>
      <c r="E295" s="1"/>
      <c r="F295" s="1"/>
      <c r="G295" s="1"/>
      <c r="H295" s="1"/>
    </row>
    <row r="296" spans="1:8" ht="15.75" x14ac:dyDescent="0.25">
      <c r="A296" s="54" t="s">
        <v>27</v>
      </c>
      <c r="B296" s="55"/>
      <c r="C296" s="55"/>
      <c r="D296" s="50">
        <f>+D295+D281</f>
        <v>53</v>
      </c>
      <c r="E296" s="1"/>
      <c r="F296" s="1"/>
      <c r="G296" s="1"/>
      <c r="H296" s="1"/>
    </row>
    <row r="297" spans="1:8" ht="16.5" thickBot="1" x14ac:dyDescent="0.3">
      <c r="A297" s="56" t="s">
        <v>169</v>
      </c>
      <c r="B297" s="57"/>
      <c r="C297" s="57"/>
      <c r="D297" s="15">
        <f>+SUM(G88:G89,G103,G286:G287,G266:G272,G246:G252,G214:G218,G199,G183:G185,G168:G169,G149:G154,G133:G135,G117:G119,G232,G74,G59:G60,G45,G29:G30,G11:G14)/D296</f>
        <v>70.075471698113205</v>
      </c>
      <c r="E297" s="1"/>
      <c r="F297" s="1"/>
      <c r="G297" s="1"/>
      <c r="H297" s="1"/>
    </row>
    <row r="298" spans="1:8" ht="16.5" thickBot="1" x14ac:dyDescent="0.3">
      <c r="A298" s="23"/>
      <c r="B298" s="23"/>
      <c r="C298" s="23"/>
      <c r="D298" s="24"/>
      <c r="E298" s="1"/>
      <c r="F298" s="1"/>
      <c r="G298" s="1"/>
      <c r="H298" s="1"/>
    </row>
    <row r="299" spans="1:8" ht="15.75" x14ac:dyDescent="0.25">
      <c r="A299" s="61" t="s">
        <v>146</v>
      </c>
      <c r="B299" s="62"/>
      <c r="C299" s="62"/>
      <c r="D299" s="62"/>
      <c r="E299" s="62"/>
      <c r="F299" s="62"/>
      <c r="G299" s="62"/>
      <c r="H299" s="63"/>
    </row>
    <row r="300" spans="1:8" ht="47.25" x14ac:dyDescent="0.25">
      <c r="A300" s="7" t="s">
        <v>7</v>
      </c>
      <c r="B300" s="2" t="s">
        <v>8</v>
      </c>
      <c r="C300" s="3" t="s">
        <v>9</v>
      </c>
      <c r="D300" s="3" t="s">
        <v>13</v>
      </c>
      <c r="E300" s="55" t="s">
        <v>12</v>
      </c>
      <c r="F300" s="55"/>
      <c r="G300" s="2" t="s">
        <v>10</v>
      </c>
      <c r="H300" s="8" t="s">
        <v>11</v>
      </c>
    </row>
    <row r="301" spans="1:8" ht="15.75" x14ac:dyDescent="0.25">
      <c r="A301" s="49"/>
      <c r="B301" s="30">
        <v>943</v>
      </c>
      <c r="C301" s="4" t="s">
        <v>14</v>
      </c>
      <c r="D301" s="4">
        <v>5</v>
      </c>
      <c r="E301" s="59" t="s">
        <v>147</v>
      </c>
      <c r="F301" s="59"/>
      <c r="G301" s="30">
        <v>74</v>
      </c>
      <c r="H301" s="36">
        <v>45601</v>
      </c>
    </row>
    <row r="302" spans="1:8" ht="15.75" x14ac:dyDescent="0.25">
      <c r="A302" s="49"/>
      <c r="B302" s="30">
        <v>916</v>
      </c>
      <c r="C302" s="4" t="s">
        <v>14</v>
      </c>
      <c r="D302" s="4">
        <v>3</v>
      </c>
      <c r="E302" s="64" t="s">
        <v>148</v>
      </c>
      <c r="F302" s="65"/>
      <c r="G302" s="30">
        <v>63</v>
      </c>
      <c r="H302" s="36">
        <v>45602</v>
      </c>
    </row>
    <row r="303" spans="1:8" ht="15.75" x14ac:dyDescent="0.25">
      <c r="A303" s="49"/>
      <c r="B303" s="30">
        <v>910</v>
      </c>
      <c r="C303" s="4" t="s">
        <v>14</v>
      </c>
      <c r="D303" s="4">
        <v>6</v>
      </c>
      <c r="E303" s="64" t="s">
        <v>149</v>
      </c>
      <c r="F303" s="65"/>
      <c r="G303" s="30">
        <v>72</v>
      </c>
      <c r="H303" s="36">
        <v>45602</v>
      </c>
    </row>
    <row r="304" spans="1:8" ht="15.75" x14ac:dyDescent="0.25">
      <c r="A304" s="49"/>
      <c r="B304" s="30">
        <v>2570</v>
      </c>
      <c r="C304" s="4" t="s">
        <v>19</v>
      </c>
      <c r="D304" s="4">
        <v>4</v>
      </c>
      <c r="E304" s="64" t="s">
        <v>150</v>
      </c>
      <c r="F304" s="65"/>
      <c r="G304" s="30">
        <v>63</v>
      </c>
      <c r="H304" s="36">
        <v>45603</v>
      </c>
    </row>
    <row r="305" spans="1:8" ht="15.75" x14ac:dyDescent="0.25">
      <c r="A305" s="49"/>
      <c r="B305" s="30">
        <v>684</v>
      </c>
      <c r="C305" s="4" t="s">
        <v>14</v>
      </c>
      <c r="D305" s="4">
        <v>5</v>
      </c>
      <c r="E305" s="64" t="s">
        <v>151</v>
      </c>
      <c r="F305" s="65"/>
      <c r="G305" s="30">
        <v>61</v>
      </c>
      <c r="H305" s="36">
        <v>45603</v>
      </c>
    </row>
    <row r="306" spans="1:8" ht="16.5" thickBot="1" x14ac:dyDescent="0.3">
      <c r="A306" s="1"/>
      <c r="B306" s="1"/>
      <c r="C306" s="1"/>
      <c r="D306" s="1"/>
      <c r="E306" s="60"/>
      <c r="F306" s="60"/>
      <c r="G306" s="1"/>
      <c r="H306" s="6"/>
    </row>
    <row r="307" spans="1:8" ht="15.75" x14ac:dyDescent="0.25">
      <c r="A307" s="66" t="s">
        <v>20</v>
      </c>
      <c r="B307" s="67"/>
      <c r="C307" s="67"/>
      <c r="D307" s="11">
        <f>SUM(D301+D302+D303+D305)</f>
        <v>19</v>
      </c>
      <c r="E307" s="60"/>
      <c r="F307" s="60"/>
      <c r="G307" s="1"/>
      <c r="H307" s="6"/>
    </row>
    <row r="308" spans="1:8" ht="15.75" x14ac:dyDescent="0.25">
      <c r="A308" s="58" t="s">
        <v>21</v>
      </c>
      <c r="B308" s="59"/>
      <c r="C308" s="59"/>
      <c r="D308" s="13">
        <f>D304</f>
        <v>4</v>
      </c>
      <c r="E308" s="60"/>
      <c r="F308" s="60"/>
      <c r="G308" s="1"/>
      <c r="H308" s="6"/>
    </row>
    <row r="309" spans="1:8" ht="15.75" x14ac:dyDescent="0.25">
      <c r="A309" s="54" t="s">
        <v>22</v>
      </c>
      <c r="B309" s="55"/>
      <c r="C309" s="55"/>
      <c r="D309" s="14">
        <f>+D308+D307</f>
        <v>23</v>
      </c>
      <c r="E309" s="60"/>
      <c r="F309" s="60"/>
      <c r="G309" s="1"/>
      <c r="H309" s="6"/>
    </row>
    <row r="310" spans="1:8" ht="15.75" x14ac:dyDescent="0.25">
      <c r="A310" s="58" t="s">
        <v>23</v>
      </c>
      <c r="B310" s="59"/>
      <c r="C310" s="59"/>
      <c r="D310" s="13">
        <f>+D307+D292</f>
        <v>223</v>
      </c>
      <c r="E310" s="60"/>
      <c r="F310" s="60"/>
      <c r="G310" s="1"/>
      <c r="H310" s="6"/>
    </row>
    <row r="311" spans="1:8" ht="15.75" x14ac:dyDescent="0.25">
      <c r="A311" s="58" t="s">
        <v>24</v>
      </c>
      <c r="B311" s="59"/>
      <c r="C311" s="59"/>
      <c r="D311" s="13">
        <f>D293+D308</f>
        <v>18</v>
      </c>
      <c r="E311" s="1"/>
      <c r="F311" s="1"/>
      <c r="G311" s="1"/>
      <c r="H311" s="1"/>
    </row>
    <row r="312" spans="1:8" ht="15.75" x14ac:dyDescent="0.25">
      <c r="A312" s="54" t="s">
        <v>25</v>
      </c>
      <c r="B312" s="55"/>
      <c r="C312" s="55"/>
      <c r="D312" s="14">
        <f>+D309+D294</f>
        <v>241</v>
      </c>
      <c r="E312" s="1"/>
      <c r="F312" s="1"/>
      <c r="G312" s="1"/>
      <c r="H312" s="1"/>
    </row>
    <row r="313" spans="1:8" ht="15.75" x14ac:dyDescent="0.25">
      <c r="A313" s="58" t="s">
        <v>26</v>
      </c>
      <c r="B313" s="59"/>
      <c r="C313" s="59"/>
      <c r="D313" s="13">
        <f>COUNT(D301:D305)</f>
        <v>5</v>
      </c>
      <c r="E313" s="1"/>
      <c r="F313" s="1"/>
      <c r="G313" s="1"/>
      <c r="H313" s="1"/>
    </row>
    <row r="314" spans="1:8" ht="15.75" x14ac:dyDescent="0.25">
      <c r="A314" s="54" t="s">
        <v>27</v>
      </c>
      <c r="B314" s="55"/>
      <c r="C314" s="55"/>
      <c r="D314" s="50">
        <f>+D313+D296</f>
        <v>58</v>
      </c>
      <c r="E314" s="1"/>
      <c r="F314" s="1"/>
      <c r="G314" s="1"/>
      <c r="H314" s="1"/>
    </row>
    <row r="315" spans="1:8" ht="16.5" thickBot="1" x14ac:dyDescent="0.3">
      <c r="A315" s="56" t="s">
        <v>153</v>
      </c>
      <c r="B315" s="57"/>
      <c r="C315" s="57"/>
      <c r="D315" s="15">
        <f>+SUM(G88:G89,G103,G117:G119,G301:G305,G286:G287,G266:G272,G232,G214:G218,G199,G183:G185,G168:G169,G149:G154,G133:G135,G246:G252,G74,G59:G60,G45,G29:G30,G11:G14)/D314</f>
        <v>69.775862068965523</v>
      </c>
      <c r="E315" s="1"/>
      <c r="F315" s="1"/>
      <c r="G315" s="1"/>
      <c r="H315" s="1"/>
    </row>
    <row r="316" spans="1:8" ht="16.5" thickBot="1" x14ac:dyDescent="0.3">
      <c r="A316" s="23"/>
      <c r="B316" s="23"/>
      <c r="C316" s="23"/>
      <c r="D316" s="24"/>
      <c r="E316" s="1"/>
      <c r="F316" s="1"/>
      <c r="G316" s="1"/>
      <c r="H316" s="1"/>
    </row>
    <row r="317" spans="1:8" ht="15.75" x14ac:dyDescent="0.25">
      <c r="A317" s="61" t="s">
        <v>152</v>
      </c>
      <c r="B317" s="62"/>
      <c r="C317" s="62"/>
      <c r="D317" s="62"/>
      <c r="E317" s="62"/>
      <c r="F317" s="62"/>
      <c r="G317" s="62"/>
      <c r="H317" s="63"/>
    </row>
    <row r="318" spans="1:8" ht="47.25" x14ac:dyDescent="0.25">
      <c r="A318" s="7" t="s">
        <v>7</v>
      </c>
      <c r="B318" s="2" t="s">
        <v>8</v>
      </c>
      <c r="C318" s="3" t="s">
        <v>9</v>
      </c>
      <c r="D318" s="3" t="s">
        <v>13</v>
      </c>
      <c r="E318" s="55" t="s">
        <v>12</v>
      </c>
      <c r="F318" s="55"/>
      <c r="G318" s="2" t="s">
        <v>10</v>
      </c>
      <c r="H318" s="8" t="s">
        <v>11</v>
      </c>
    </row>
    <row r="319" spans="1:8" ht="15.75" x14ac:dyDescent="0.25">
      <c r="A319" s="49" t="s">
        <v>156</v>
      </c>
      <c r="B319" s="30">
        <v>909</v>
      </c>
      <c r="C319" s="4" t="s">
        <v>14</v>
      </c>
      <c r="D319" s="4">
        <v>4</v>
      </c>
      <c r="E319" s="64" t="s">
        <v>154</v>
      </c>
      <c r="F319" s="65"/>
      <c r="G319" s="30">
        <v>83</v>
      </c>
      <c r="H319" s="36">
        <v>45657</v>
      </c>
    </row>
    <row r="320" spans="1:8" ht="15.75" x14ac:dyDescent="0.25">
      <c r="A320" s="49">
        <v>795</v>
      </c>
      <c r="B320" s="30">
        <v>941</v>
      </c>
      <c r="C320" s="4" t="s">
        <v>19</v>
      </c>
      <c r="D320" s="4">
        <v>5</v>
      </c>
      <c r="E320" s="59" t="s">
        <v>155</v>
      </c>
      <c r="F320" s="59"/>
      <c r="G320" s="30">
        <v>77</v>
      </c>
      <c r="H320" s="36">
        <v>45657</v>
      </c>
    </row>
    <row r="321" spans="1:8" ht="16.5" thickBot="1" x14ac:dyDescent="0.3">
      <c r="A321" s="1"/>
      <c r="B321" s="1"/>
      <c r="C321" s="1"/>
      <c r="D321" s="1"/>
      <c r="E321" s="60"/>
      <c r="F321" s="60"/>
      <c r="G321" s="1"/>
      <c r="H321" s="6"/>
    </row>
    <row r="322" spans="1:8" ht="15.75" x14ac:dyDescent="0.25">
      <c r="A322" s="66" t="s">
        <v>20</v>
      </c>
      <c r="B322" s="67"/>
      <c r="C322" s="67"/>
      <c r="D322" s="11">
        <f>+D319</f>
        <v>4</v>
      </c>
      <c r="E322" s="60"/>
      <c r="F322" s="60"/>
      <c r="G322" s="1"/>
      <c r="H322" s="6"/>
    </row>
    <row r="323" spans="1:8" ht="15.75" x14ac:dyDescent="0.25">
      <c r="A323" s="58" t="s">
        <v>21</v>
      </c>
      <c r="B323" s="59"/>
      <c r="C323" s="59"/>
      <c r="D323" s="13">
        <f>D320</f>
        <v>5</v>
      </c>
      <c r="E323" s="60"/>
      <c r="F323" s="60"/>
      <c r="G323" s="1"/>
      <c r="H323" s="6"/>
    </row>
    <row r="324" spans="1:8" ht="15.75" x14ac:dyDescent="0.25">
      <c r="A324" s="54" t="s">
        <v>88</v>
      </c>
      <c r="B324" s="55"/>
      <c r="C324" s="55"/>
      <c r="D324" s="14">
        <f>+D323+D322</f>
        <v>9</v>
      </c>
      <c r="E324" s="60"/>
      <c r="F324" s="60"/>
      <c r="G324" s="1"/>
      <c r="H324" s="6"/>
    </row>
    <row r="325" spans="1:8" ht="15.75" x14ac:dyDescent="0.25">
      <c r="A325" s="58" t="s">
        <v>23</v>
      </c>
      <c r="B325" s="59"/>
      <c r="C325" s="59"/>
      <c r="D325" s="13">
        <f>+D322+D310</f>
        <v>227</v>
      </c>
      <c r="E325" s="60"/>
      <c r="F325" s="60"/>
      <c r="G325" s="1"/>
      <c r="H325" s="6"/>
    </row>
    <row r="326" spans="1:8" ht="15.75" x14ac:dyDescent="0.25">
      <c r="A326" s="58" t="s">
        <v>24</v>
      </c>
      <c r="B326" s="59"/>
      <c r="C326" s="59"/>
      <c r="D326" s="13">
        <f>D311+D323</f>
        <v>23</v>
      </c>
      <c r="E326" s="1"/>
      <c r="F326" s="1"/>
      <c r="G326" s="1"/>
      <c r="H326" s="1"/>
    </row>
    <row r="327" spans="1:8" ht="15.75" x14ac:dyDescent="0.25">
      <c r="A327" s="54" t="s">
        <v>25</v>
      </c>
      <c r="B327" s="55"/>
      <c r="C327" s="55"/>
      <c r="D327" s="14">
        <f>+D324+D312</f>
        <v>250</v>
      </c>
      <c r="E327" s="1"/>
      <c r="F327" s="1"/>
      <c r="G327" s="1"/>
      <c r="H327" s="1"/>
    </row>
    <row r="328" spans="1:8" ht="15.75" x14ac:dyDescent="0.25">
      <c r="A328" s="58" t="s">
        <v>26</v>
      </c>
      <c r="B328" s="59"/>
      <c r="C328" s="59"/>
      <c r="D328" s="13">
        <f>COUNT(D319:D320)</f>
        <v>2</v>
      </c>
      <c r="E328" s="1"/>
      <c r="F328" s="1"/>
      <c r="G328" s="1"/>
      <c r="H328" s="1"/>
    </row>
    <row r="329" spans="1:8" ht="15.75" x14ac:dyDescent="0.25">
      <c r="A329" s="54" t="s">
        <v>27</v>
      </c>
      <c r="B329" s="55"/>
      <c r="C329" s="55"/>
      <c r="D329" s="50">
        <f>+D328+D314</f>
        <v>60</v>
      </c>
      <c r="E329" s="1"/>
      <c r="F329" s="1"/>
      <c r="G329" s="1"/>
      <c r="H329" s="1"/>
    </row>
    <row r="330" spans="1:8" ht="16.5" thickBot="1" x14ac:dyDescent="0.3">
      <c r="A330" s="56" t="s">
        <v>170</v>
      </c>
      <c r="B330" s="57"/>
      <c r="C330" s="57"/>
      <c r="D330" s="15">
        <f>+SUM(G117:G119,G133:G135,G319:G320,G301:G305,G286:G287,G246:G252,G232,G214:G218,G199,G183:G185,G168:G169,G149:G154,G266:G272,G103,G88:G89,G74,G59:G60,G45,G29:G30,G11:G14)/D329</f>
        <v>70.11666666666666</v>
      </c>
      <c r="E330" s="1"/>
      <c r="F330" s="1"/>
      <c r="G330" s="1"/>
      <c r="H330" s="1"/>
    </row>
    <row r="331" spans="1:8" ht="16.5" thickBot="1" x14ac:dyDescent="0.3">
      <c r="A331" s="23"/>
      <c r="B331" s="23"/>
      <c r="C331" s="23"/>
      <c r="D331" s="24"/>
      <c r="E331" s="1"/>
      <c r="F331" s="1"/>
      <c r="G331" s="1"/>
      <c r="H331" s="1"/>
    </row>
    <row r="332" spans="1:8" ht="15.75" x14ac:dyDescent="0.25">
      <c r="A332" s="61" t="s">
        <v>157</v>
      </c>
      <c r="B332" s="62"/>
      <c r="C332" s="62"/>
      <c r="D332" s="62"/>
      <c r="E332" s="62"/>
      <c r="F332" s="62"/>
      <c r="G332" s="62"/>
      <c r="H332" s="63"/>
    </row>
    <row r="333" spans="1:8" ht="47.25" x14ac:dyDescent="0.25">
      <c r="A333" s="7" t="s">
        <v>7</v>
      </c>
      <c r="B333" s="2" t="s">
        <v>8</v>
      </c>
      <c r="C333" s="3" t="s">
        <v>9</v>
      </c>
      <c r="D333" s="3" t="s">
        <v>13</v>
      </c>
      <c r="E333" s="55" t="s">
        <v>12</v>
      </c>
      <c r="F333" s="55"/>
      <c r="G333" s="2" t="s">
        <v>10</v>
      </c>
      <c r="H333" s="8" t="s">
        <v>11</v>
      </c>
    </row>
    <row r="334" spans="1:8" ht="15.75" x14ac:dyDescent="0.25">
      <c r="A334" s="12" t="s">
        <v>159</v>
      </c>
      <c r="B334" s="4">
        <v>2740</v>
      </c>
      <c r="C334" s="4" t="s">
        <v>14</v>
      </c>
      <c r="D334" s="4">
        <v>0</v>
      </c>
      <c r="E334" s="64" t="s">
        <v>158</v>
      </c>
      <c r="F334" s="65"/>
      <c r="G334" s="4">
        <v>89</v>
      </c>
      <c r="H334" s="9">
        <v>45782</v>
      </c>
    </row>
    <row r="335" spans="1:8" ht="16.5" thickBot="1" x14ac:dyDescent="0.3">
      <c r="A335" s="1"/>
      <c r="B335" s="1"/>
      <c r="C335" s="1"/>
      <c r="D335" s="1"/>
      <c r="E335" s="60"/>
      <c r="F335" s="60"/>
      <c r="G335" s="1"/>
      <c r="H335" s="6"/>
    </row>
    <row r="336" spans="1:8" ht="15.75" x14ac:dyDescent="0.25">
      <c r="A336" s="66" t="s">
        <v>20</v>
      </c>
      <c r="B336" s="67"/>
      <c r="C336" s="67"/>
      <c r="D336" s="11">
        <f>+SUM(D334:D334)</f>
        <v>0</v>
      </c>
      <c r="E336" s="1"/>
      <c r="F336" s="1"/>
      <c r="G336" s="1"/>
      <c r="H336" s="1"/>
    </row>
    <row r="337" spans="1:8" ht="15.75" x14ac:dyDescent="0.25">
      <c r="A337" s="58" t="s">
        <v>21</v>
      </c>
      <c r="B337" s="59"/>
      <c r="C337" s="59"/>
      <c r="D337" s="13">
        <v>0</v>
      </c>
      <c r="E337" s="1"/>
      <c r="F337" s="1"/>
      <c r="G337" s="1"/>
      <c r="H337" s="1"/>
    </row>
    <row r="338" spans="1:8" ht="15.75" x14ac:dyDescent="0.25">
      <c r="A338" s="54" t="s">
        <v>22</v>
      </c>
      <c r="B338" s="55"/>
      <c r="C338" s="55"/>
      <c r="D338" s="14">
        <f>SUM(D334:D334)</f>
        <v>0</v>
      </c>
      <c r="E338" s="1"/>
      <c r="F338" s="1"/>
      <c r="G338" s="1"/>
      <c r="H338" s="1"/>
    </row>
    <row r="339" spans="1:8" ht="15.75" x14ac:dyDescent="0.25">
      <c r="A339" s="58" t="s">
        <v>23</v>
      </c>
      <c r="B339" s="59"/>
      <c r="C339" s="59"/>
      <c r="D339" s="13">
        <f>+D336+D325</f>
        <v>227</v>
      </c>
      <c r="E339" s="1"/>
      <c r="F339" s="1"/>
      <c r="G339" s="1"/>
      <c r="H339" s="1"/>
    </row>
    <row r="340" spans="1:8" ht="15.75" x14ac:dyDescent="0.25">
      <c r="A340" s="58" t="s">
        <v>24</v>
      </c>
      <c r="B340" s="59"/>
      <c r="C340" s="59"/>
      <c r="D340" s="13">
        <f>D326+D337</f>
        <v>23</v>
      </c>
      <c r="E340" s="1"/>
      <c r="F340" s="1"/>
      <c r="G340" s="1"/>
      <c r="H340" s="1"/>
    </row>
    <row r="341" spans="1:8" ht="15.75" x14ac:dyDescent="0.25">
      <c r="A341" s="54" t="s">
        <v>25</v>
      </c>
      <c r="B341" s="55"/>
      <c r="C341" s="55"/>
      <c r="D341" s="14">
        <f>+D338+D327</f>
        <v>250</v>
      </c>
      <c r="E341" s="1"/>
      <c r="F341" s="1"/>
      <c r="G341" s="1"/>
      <c r="H341" s="1"/>
    </row>
    <row r="342" spans="1:8" ht="15.75" x14ac:dyDescent="0.25">
      <c r="A342" s="58" t="s">
        <v>26</v>
      </c>
      <c r="B342" s="59"/>
      <c r="C342" s="59"/>
      <c r="D342" s="13">
        <f>COUNT(D334:D334)</f>
        <v>1</v>
      </c>
      <c r="E342" s="1"/>
      <c r="F342" s="1"/>
      <c r="G342" s="1"/>
      <c r="H342" s="1"/>
    </row>
    <row r="343" spans="1:8" ht="15.75" x14ac:dyDescent="0.25">
      <c r="A343" s="54" t="s">
        <v>27</v>
      </c>
      <c r="B343" s="55"/>
      <c r="C343" s="55"/>
      <c r="D343" s="14">
        <f>D329+D342</f>
        <v>61</v>
      </c>
      <c r="E343" s="1"/>
      <c r="F343" s="1"/>
      <c r="G343" s="1"/>
      <c r="H343" s="1"/>
    </row>
    <row r="344" spans="1:8" ht="16.5" thickBot="1" x14ac:dyDescent="0.3">
      <c r="A344" s="56" t="s">
        <v>160</v>
      </c>
      <c r="B344" s="57"/>
      <c r="C344" s="57"/>
      <c r="D344" s="15">
        <f>+SUM(G334:G334,G319:G320,G286:G287,G266:G272,G246:G252,G232,G301:G305,G214:G218,G199,G183:G185,G168:G169,G149:G154,G133:G135,G117:G119,G103,G88:G89,G74,G59:G60,G45,G29:G30,G11:G14)/D343</f>
        <v>70.426229508196727</v>
      </c>
      <c r="E344" s="1"/>
      <c r="F344" s="1"/>
      <c r="G344" s="1"/>
      <c r="H344" s="1"/>
    </row>
    <row r="345" spans="1:8" ht="16.5" thickBot="1" x14ac:dyDescent="0.3">
      <c r="A345" s="23"/>
      <c r="B345" s="23"/>
      <c r="C345" s="23"/>
      <c r="D345" s="24"/>
      <c r="E345" s="1"/>
      <c r="F345" s="1"/>
      <c r="G345" s="1"/>
      <c r="H345" s="1"/>
    </row>
    <row r="346" spans="1:8" ht="15.75" x14ac:dyDescent="0.25">
      <c r="A346" s="61" t="s">
        <v>161</v>
      </c>
      <c r="B346" s="62"/>
      <c r="C346" s="62"/>
      <c r="D346" s="62"/>
      <c r="E346" s="62"/>
      <c r="F346" s="62"/>
      <c r="G346" s="62"/>
      <c r="H346" s="63"/>
    </row>
    <row r="347" spans="1:8" ht="47.25" x14ac:dyDescent="0.25">
      <c r="A347" s="7" t="s">
        <v>7</v>
      </c>
      <c r="B347" s="2" t="s">
        <v>8</v>
      </c>
      <c r="C347" s="3" t="s">
        <v>9</v>
      </c>
      <c r="D347" s="3" t="s">
        <v>13</v>
      </c>
      <c r="E347" s="55" t="s">
        <v>12</v>
      </c>
      <c r="F347" s="55"/>
      <c r="G347" s="2" t="s">
        <v>10</v>
      </c>
      <c r="H347" s="8" t="s">
        <v>11</v>
      </c>
    </row>
    <row r="348" spans="1:8" ht="15.75" x14ac:dyDescent="0.25">
      <c r="A348" s="49">
        <v>909</v>
      </c>
      <c r="B348" s="30">
        <v>918</v>
      </c>
      <c r="C348" s="4" t="s">
        <v>14</v>
      </c>
      <c r="D348" s="4">
        <v>4</v>
      </c>
      <c r="E348" s="64" t="s">
        <v>162</v>
      </c>
      <c r="F348" s="65"/>
      <c r="G348" s="30">
        <v>69</v>
      </c>
      <c r="H348" s="36">
        <v>45835</v>
      </c>
    </row>
    <row r="349" spans="1:8" ht="16.5" thickBot="1" x14ac:dyDescent="0.3">
      <c r="A349" s="1"/>
      <c r="B349" s="1"/>
      <c r="C349" s="1"/>
      <c r="D349" s="1"/>
      <c r="E349" s="60"/>
      <c r="F349" s="60"/>
      <c r="G349" s="1"/>
      <c r="H349" s="6"/>
    </row>
    <row r="350" spans="1:8" ht="15.75" x14ac:dyDescent="0.25">
      <c r="A350" s="66" t="s">
        <v>20</v>
      </c>
      <c r="B350" s="67"/>
      <c r="C350" s="67"/>
      <c r="D350" s="11">
        <f>+D348</f>
        <v>4</v>
      </c>
      <c r="E350" s="60"/>
      <c r="F350" s="60"/>
      <c r="G350" s="1"/>
      <c r="H350" s="6"/>
    </row>
    <row r="351" spans="1:8" ht="15.75" x14ac:dyDescent="0.25">
      <c r="A351" s="58" t="s">
        <v>21</v>
      </c>
      <c r="B351" s="59"/>
      <c r="C351" s="59"/>
      <c r="D351" s="13">
        <v>0</v>
      </c>
      <c r="E351" s="60"/>
      <c r="F351" s="60"/>
      <c r="G351" s="1"/>
      <c r="H351" s="6"/>
    </row>
    <row r="352" spans="1:8" ht="15.75" x14ac:dyDescent="0.25">
      <c r="A352" s="54" t="s">
        <v>88</v>
      </c>
      <c r="B352" s="55"/>
      <c r="C352" s="55"/>
      <c r="D352" s="14">
        <f>+D351+D350</f>
        <v>4</v>
      </c>
      <c r="E352" s="60"/>
      <c r="F352" s="60"/>
      <c r="G352" s="1"/>
      <c r="H352" s="6"/>
    </row>
    <row r="353" spans="1:8" ht="15.75" x14ac:dyDescent="0.25">
      <c r="A353" s="58" t="s">
        <v>23</v>
      </c>
      <c r="B353" s="59"/>
      <c r="C353" s="59"/>
      <c r="D353" s="13">
        <f>+D350+D339</f>
        <v>231</v>
      </c>
      <c r="E353" s="60"/>
      <c r="F353" s="60"/>
      <c r="G353" s="1"/>
      <c r="H353" s="6"/>
    </row>
    <row r="354" spans="1:8" ht="15.75" x14ac:dyDescent="0.25">
      <c r="A354" s="58" t="s">
        <v>24</v>
      </c>
      <c r="B354" s="59"/>
      <c r="C354" s="59"/>
      <c r="D354" s="13">
        <f>D340+D351</f>
        <v>23</v>
      </c>
      <c r="E354" s="1"/>
      <c r="F354" s="1"/>
      <c r="G354" s="1"/>
      <c r="H354" s="1"/>
    </row>
    <row r="355" spans="1:8" ht="15.75" x14ac:dyDescent="0.25">
      <c r="A355" s="54" t="s">
        <v>25</v>
      </c>
      <c r="B355" s="55"/>
      <c r="C355" s="55"/>
      <c r="D355" s="14">
        <f>+D352+D341</f>
        <v>254</v>
      </c>
      <c r="E355" s="1"/>
      <c r="F355" s="1"/>
      <c r="G355" s="1"/>
      <c r="H355" s="1"/>
    </row>
    <row r="356" spans="1:8" ht="15.75" x14ac:dyDescent="0.25">
      <c r="A356" s="58" t="s">
        <v>26</v>
      </c>
      <c r="B356" s="59"/>
      <c r="C356" s="59"/>
      <c r="D356" s="13">
        <f>COUNT(D348:D348)</f>
        <v>1</v>
      </c>
      <c r="E356" s="1"/>
      <c r="F356" s="1"/>
      <c r="G356" s="1"/>
      <c r="H356" s="1"/>
    </row>
    <row r="357" spans="1:8" ht="15.75" x14ac:dyDescent="0.25">
      <c r="A357" s="54" t="s">
        <v>27</v>
      </c>
      <c r="B357" s="55"/>
      <c r="C357" s="55"/>
      <c r="D357" s="50">
        <f>+D356+D343</f>
        <v>62</v>
      </c>
      <c r="E357" s="1"/>
      <c r="F357" s="1"/>
      <c r="G357" s="1"/>
      <c r="H357" s="1"/>
    </row>
    <row r="358" spans="1:8" ht="16.5" thickBot="1" x14ac:dyDescent="0.3">
      <c r="A358" s="56" t="s">
        <v>171</v>
      </c>
      <c r="B358" s="57"/>
      <c r="C358" s="57"/>
      <c r="D358" s="15">
        <f>+SUM(G149:G154,G168:G169,G348:G348,G334,G319:G320,G286:G287,G266:G272,G246:G252,G232,G214:G218,G199,G183:G185,G301:G305,G133:G135,G117:G119,G103,G88:G89,G74,G59:G60,G45,G29:G30,G11:G14)/D357</f>
        <v>70.403225806451616</v>
      </c>
      <c r="E358" s="1"/>
      <c r="F358" s="1"/>
      <c r="G358" s="1"/>
      <c r="H358" s="1"/>
    </row>
    <row r="359" spans="1:8" ht="15.75" x14ac:dyDescent="0.25">
      <c r="A359" s="23"/>
      <c r="B359" s="23"/>
      <c r="C359" s="23"/>
      <c r="D359" s="24"/>
      <c r="E359" s="1"/>
      <c r="F359" s="1"/>
      <c r="G359" s="1"/>
      <c r="H359" s="1"/>
    </row>
    <row r="360" spans="1:8" ht="15.75" thickBot="1" x14ac:dyDescent="0.3"/>
    <row r="361" spans="1:8" ht="16.5" customHeight="1" thickBot="1" x14ac:dyDescent="0.3">
      <c r="C361" s="74" t="s">
        <v>39</v>
      </c>
      <c r="D361" s="75"/>
      <c r="E361" s="75"/>
      <c r="F361" s="76"/>
    </row>
    <row r="362" spans="1:8" ht="15.75" x14ac:dyDescent="0.25">
      <c r="C362" s="77" t="s">
        <v>40</v>
      </c>
      <c r="D362" s="78"/>
      <c r="E362" s="79"/>
      <c r="F362" s="19">
        <f>D353</f>
        <v>231</v>
      </c>
    </row>
    <row r="363" spans="1:8" ht="15.75" x14ac:dyDescent="0.25">
      <c r="C363" s="80" t="s">
        <v>41</v>
      </c>
      <c r="D363" s="81"/>
      <c r="E363" s="82"/>
      <c r="F363" s="20">
        <f>D354</f>
        <v>23</v>
      </c>
    </row>
    <row r="364" spans="1:8" ht="15.75" x14ac:dyDescent="0.25">
      <c r="C364" s="83" t="s">
        <v>42</v>
      </c>
      <c r="D364" s="84"/>
      <c r="E364" s="85"/>
      <c r="F364" s="21">
        <f>F362+F363</f>
        <v>254</v>
      </c>
    </row>
    <row r="365" spans="1:8" ht="15.75" x14ac:dyDescent="0.25">
      <c r="C365" s="80" t="s">
        <v>43</v>
      </c>
      <c r="D365" s="81"/>
      <c r="E365" s="82"/>
      <c r="F365" s="20">
        <v>56</v>
      </c>
    </row>
    <row r="366" spans="1:8" ht="15.75" x14ac:dyDescent="0.25">
      <c r="C366" s="80" t="s">
        <v>44</v>
      </c>
      <c r="D366" s="81"/>
      <c r="E366" s="82"/>
      <c r="F366" s="20">
        <v>6</v>
      </c>
    </row>
    <row r="367" spans="1:8" ht="15.75" x14ac:dyDescent="0.25">
      <c r="C367" s="80" t="s">
        <v>45</v>
      </c>
      <c r="D367" s="81"/>
      <c r="E367" s="82"/>
      <c r="F367" s="20">
        <f>F365+F366</f>
        <v>62</v>
      </c>
    </row>
    <row r="368" spans="1:8" ht="15.75" x14ac:dyDescent="0.25">
      <c r="C368" s="72"/>
      <c r="D368" s="72"/>
      <c r="E368" s="73"/>
      <c r="F368" s="22">
        <f>D358</f>
        <v>70.403225806451616</v>
      </c>
    </row>
    <row r="369" spans="3:6" ht="15.75" x14ac:dyDescent="0.25">
      <c r="C369" s="26"/>
      <c r="D369" s="26"/>
      <c r="E369" s="26"/>
      <c r="F369" s="27"/>
    </row>
    <row r="414" ht="16.149999999999999" customHeight="1" x14ac:dyDescent="0.25"/>
  </sheetData>
  <mergeCells count="389">
    <mergeCell ref="E214:F214"/>
    <mergeCell ref="E215:F215"/>
    <mergeCell ref="E216:F216"/>
    <mergeCell ref="E217:F217"/>
    <mergeCell ref="A242:C242"/>
    <mergeCell ref="E233:F233"/>
    <mergeCell ref="A234:C234"/>
    <mergeCell ref="E234:F234"/>
    <mergeCell ref="A235:C235"/>
    <mergeCell ref="E235:F235"/>
    <mergeCell ref="A236:C236"/>
    <mergeCell ref="E236:F236"/>
    <mergeCell ref="A237:C237"/>
    <mergeCell ref="E237:F237"/>
    <mergeCell ref="A228:C228"/>
    <mergeCell ref="A230:H230"/>
    <mergeCell ref="E231:F231"/>
    <mergeCell ref="E232:F232"/>
    <mergeCell ref="A238:C238"/>
    <mergeCell ref="A239:C239"/>
    <mergeCell ref="A240:C240"/>
    <mergeCell ref="A241:C241"/>
    <mergeCell ref="E221:F221"/>
    <mergeCell ref="A222:C222"/>
    <mergeCell ref="A191:C191"/>
    <mergeCell ref="A192:C192"/>
    <mergeCell ref="A193:C193"/>
    <mergeCell ref="A194:C194"/>
    <mergeCell ref="A195:C195"/>
    <mergeCell ref="A212:H212"/>
    <mergeCell ref="E213:F213"/>
    <mergeCell ref="E199:F199"/>
    <mergeCell ref="A201:C201"/>
    <mergeCell ref="A202:C202"/>
    <mergeCell ref="A203:C203"/>
    <mergeCell ref="A204:C204"/>
    <mergeCell ref="A205:C205"/>
    <mergeCell ref="A207:C207"/>
    <mergeCell ref="A208:C208"/>
    <mergeCell ref="A209:C209"/>
    <mergeCell ref="A176:C176"/>
    <mergeCell ref="A177:C177"/>
    <mergeCell ref="A178:C178"/>
    <mergeCell ref="E116:F116"/>
    <mergeCell ref="E102:F102"/>
    <mergeCell ref="E103:F103"/>
    <mergeCell ref="E119:F119"/>
    <mergeCell ref="A190:C190"/>
    <mergeCell ref="E190:F190"/>
    <mergeCell ref="E150:F150"/>
    <mergeCell ref="E151:F151"/>
    <mergeCell ref="E153:F153"/>
    <mergeCell ref="E184:F184"/>
    <mergeCell ref="E186:F186"/>
    <mergeCell ref="A187:C187"/>
    <mergeCell ref="E187:F187"/>
    <mergeCell ref="A188:C188"/>
    <mergeCell ref="E188:F188"/>
    <mergeCell ref="A189:C189"/>
    <mergeCell ref="E189:F189"/>
    <mergeCell ref="A181:H181"/>
    <mergeCell ref="E182:F182"/>
    <mergeCell ref="E183:F183"/>
    <mergeCell ref="E185:F185"/>
    <mergeCell ref="E104:F104"/>
    <mergeCell ref="A111:C111"/>
    <mergeCell ref="A115:H115"/>
    <mergeCell ref="A86:H86"/>
    <mergeCell ref="E87:F87"/>
    <mergeCell ref="E90:F90"/>
    <mergeCell ref="A91:C91"/>
    <mergeCell ref="E91:F91"/>
    <mergeCell ref="A79:C79"/>
    <mergeCell ref="E88:F88"/>
    <mergeCell ref="E100:F100"/>
    <mergeCell ref="A110:C110"/>
    <mergeCell ref="E89:F89"/>
    <mergeCell ref="A82:C82"/>
    <mergeCell ref="A83:C83"/>
    <mergeCell ref="A84:C84"/>
    <mergeCell ref="A27:H27"/>
    <mergeCell ref="A20:C20"/>
    <mergeCell ref="A21:C21"/>
    <mergeCell ref="A22:C22"/>
    <mergeCell ref="A23:C23"/>
    <mergeCell ref="A24:C24"/>
    <mergeCell ref="A32:C32"/>
    <mergeCell ref="A33:C33"/>
    <mergeCell ref="A34:C34"/>
    <mergeCell ref="E28:F28"/>
    <mergeCell ref="E29:F29"/>
    <mergeCell ref="D1:H1"/>
    <mergeCell ref="D2:H2"/>
    <mergeCell ref="D3:H3"/>
    <mergeCell ref="D4:H4"/>
    <mergeCell ref="A5:H5"/>
    <mergeCell ref="A6:B6"/>
    <mergeCell ref="G6:H6"/>
    <mergeCell ref="G7:H7"/>
    <mergeCell ref="A19:C19"/>
    <mergeCell ref="E10:F10"/>
    <mergeCell ref="E11:F11"/>
    <mergeCell ref="E12:F12"/>
    <mergeCell ref="E13:F13"/>
    <mergeCell ref="A7:B7"/>
    <mergeCell ref="C6:E6"/>
    <mergeCell ref="C7:E7"/>
    <mergeCell ref="A9:H9"/>
    <mergeCell ref="E14:F14"/>
    <mergeCell ref="A16:C16"/>
    <mergeCell ref="A17:C17"/>
    <mergeCell ref="A18:C18"/>
    <mergeCell ref="E30:F30"/>
    <mergeCell ref="A37:C37"/>
    <mergeCell ref="A38:C38"/>
    <mergeCell ref="A39:C39"/>
    <mergeCell ref="A40:C40"/>
    <mergeCell ref="A47:C47"/>
    <mergeCell ref="E47:F47"/>
    <mergeCell ref="A48:C48"/>
    <mergeCell ref="E48:F48"/>
    <mergeCell ref="E42:F42"/>
    <mergeCell ref="A35:C35"/>
    <mergeCell ref="A36:C36"/>
    <mergeCell ref="A49:C49"/>
    <mergeCell ref="E49:F49"/>
    <mergeCell ref="A43:H43"/>
    <mergeCell ref="E44:F44"/>
    <mergeCell ref="E46:F46"/>
    <mergeCell ref="E45:F45"/>
    <mergeCell ref="E74:F74"/>
    <mergeCell ref="A55:C55"/>
    <mergeCell ref="A57:H57"/>
    <mergeCell ref="E58:F58"/>
    <mergeCell ref="A50:C50"/>
    <mergeCell ref="E50:F50"/>
    <mergeCell ref="A51:C51"/>
    <mergeCell ref="A52:C52"/>
    <mergeCell ref="A53:C53"/>
    <mergeCell ref="A54:C54"/>
    <mergeCell ref="E59:F59"/>
    <mergeCell ref="E60:F60"/>
    <mergeCell ref="A72:H72"/>
    <mergeCell ref="E73:F73"/>
    <mergeCell ref="A67:C67"/>
    <mergeCell ref="A68:C68"/>
    <mergeCell ref="A69:C69"/>
    <mergeCell ref="A70:C70"/>
    <mergeCell ref="A62:C62"/>
    <mergeCell ref="A63:C63"/>
    <mergeCell ref="A64:C64"/>
    <mergeCell ref="A65:C65"/>
    <mergeCell ref="A66:C66"/>
    <mergeCell ref="A129:C129"/>
    <mergeCell ref="E118:F118"/>
    <mergeCell ref="E132:F132"/>
    <mergeCell ref="E135:F135"/>
    <mergeCell ref="A76:C76"/>
    <mergeCell ref="A77:C77"/>
    <mergeCell ref="A78:C78"/>
    <mergeCell ref="A80:C80"/>
    <mergeCell ref="A81:C81"/>
    <mergeCell ref="E75:F75"/>
    <mergeCell ref="E117:F117"/>
    <mergeCell ref="A92:C92"/>
    <mergeCell ref="E92:F92"/>
    <mergeCell ref="A93:C93"/>
    <mergeCell ref="E93:F93"/>
    <mergeCell ref="A94:C94"/>
    <mergeCell ref="E94:F94"/>
    <mergeCell ref="A98:C98"/>
    <mergeCell ref="A99:C99"/>
    <mergeCell ref="E136:F136"/>
    <mergeCell ref="E133:F133"/>
    <mergeCell ref="A105:C105"/>
    <mergeCell ref="E120:F120"/>
    <mergeCell ref="E134:F134"/>
    <mergeCell ref="A131:H131"/>
    <mergeCell ref="A95:C95"/>
    <mergeCell ref="A96:C96"/>
    <mergeCell ref="A97:C97"/>
    <mergeCell ref="A124:C124"/>
    <mergeCell ref="A125:C125"/>
    <mergeCell ref="A126:C126"/>
    <mergeCell ref="A127:C127"/>
    <mergeCell ref="A128:C128"/>
    <mergeCell ref="A121:C121"/>
    <mergeCell ref="A122:C122"/>
    <mergeCell ref="A112:C112"/>
    <mergeCell ref="A123:C123"/>
    <mergeCell ref="A113:C113"/>
    <mergeCell ref="A106:C106"/>
    <mergeCell ref="A107:C107"/>
    <mergeCell ref="A108:C108"/>
    <mergeCell ref="A109:C109"/>
    <mergeCell ref="A101:H101"/>
    <mergeCell ref="A140:C140"/>
    <mergeCell ref="E140:F140"/>
    <mergeCell ref="A141:C141"/>
    <mergeCell ref="A142:C142"/>
    <mergeCell ref="A143:C143"/>
    <mergeCell ref="A144:C144"/>
    <mergeCell ref="E152:F152"/>
    <mergeCell ref="A137:C137"/>
    <mergeCell ref="E137:F137"/>
    <mergeCell ref="A138:C138"/>
    <mergeCell ref="E138:F138"/>
    <mergeCell ref="A139:C139"/>
    <mergeCell ref="E139:F139"/>
    <mergeCell ref="A157:C157"/>
    <mergeCell ref="A158:C158"/>
    <mergeCell ref="A159:C159"/>
    <mergeCell ref="A160:C160"/>
    <mergeCell ref="A161:C161"/>
    <mergeCell ref="A162:C162"/>
    <mergeCell ref="A156:C156"/>
    <mergeCell ref="E155:F155"/>
    <mergeCell ref="A145:C145"/>
    <mergeCell ref="A147:H147"/>
    <mergeCell ref="E148:F148"/>
    <mergeCell ref="E149:F149"/>
    <mergeCell ref="E154:F154"/>
    <mergeCell ref="C368:E368"/>
    <mergeCell ref="A163:C163"/>
    <mergeCell ref="A164:C164"/>
    <mergeCell ref="C361:F361"/>
    <mergeCell ref="C362:E362"/>
    <mergeCell ref="C363:E363"/>
    <mergeCell ref="C364:E364"/>
    <mergeCell ref="A166:H166"/>
    <mergeCell ref="E167:F167"/>
    <mergeCell ref="E168:F168"/>
    <mergeCell ref="A179:C179"/>
    <mergeCell ref="A197:H197"/>
    <mergeCell ref="E198:F198"/>
    <mergeCell ref="E169:F169"/>
    <mergeCell ref="A171:C171"/>
    <mergeCell ref="A172:C172"/>
    <mergeCell ref="A173:C173"/>
    <mergeCell ref="E252:F252"/>
    <mergeCell ref="A174:C174"/>
    <mergeCell ref="A175:C175"/>
    <mergeCell ref="C365:E365"/>
    <mergeCell ref="C366:E366"/>
    <mergeCell ref="C367:E367"/>
    <mergeCell ref="A206:C206"/>
    <mergeCell ref="E218:F218"/>
    <mergeCell ref="E219:F219"/>
    <mergeCell ref="A220:C220"/>
    <mergeCell ref="E220:F220"/>
    <mergeCell ref="A221:C221"/>
    <mergeCell ref="A264:H264"/>
    <mergeCell ref="E265:F265"/>
    <mergeCell ref="E253:F253"/>
    <mergeCell ref="E254:F254"/>
    <mergeCell ref="E255:F255"/>
    <mergeCell ref="A256:C256"/>
    <mergeCell ref="E256:F256"/>
    <mergeCell ref="A257:C257"/>
    <mergeCell ref="E257:F257"/>
    <mergeCell ref="A258:C258"/>
    <mergeCell ref="A259:C259"/>
    <mergeCell ref="A223:C223"/>
    <mergeCell ref="E223:F223"/>
    <mergeCell ref="A224:C224"/>
    <mergeCell ref="A225:C225"/>
    <mergeCell ref="A226:C226"/>
    <mergeCell ref="A227:C227"/>
    <mergeCell ref="E222:F222"/>
    <mergeCell ref="E271:F271"/>
    <mergeCell ref="A255:C255"/>
    <mergeCell ref="E246:F246"/>
    <mergeCell ref="E245:F245"/>
    <mergeCell ref="A262:C262"/>
    <mergeCell ref="A244:H244"/>
    <mergeCell ref="A254:C254"/>
    <mergeCell ref="A279:C279"/>
    <mergeCell ref="E247:F247"/>
    <mergeCell ref="E248:F248"/>
    <mergeCell ref="E251:F251"/>
    <mergeCell ref="E250:F250"/>
    <mergeCell ref="E249:F249"/>
    <mergeCell ref="E266:F266"/>
    <mergeCell ref="E267:F267"/>
    <mergeCell ref="E268:F268"/>
    <mergeCell ref="E269:F269"/>
    <mergeCell ref="E270:F270"/>
    <mergeCell ref="A260:C260"/>
    <mergeCell ref="A261:C261"/>
    <mergeCell ref="A291:C291"/>
    <mergeCell ref="E291:F291"/>
    <mergeCell ref="A280:C280"/>
    <mergeCell ref="A281:C281"/>
    <mergeCell ref="A282:C282"/>
    <mergeCell ref="A274:C274"/>
    <mergeCell ref="E274:F274"/>
    <mergeCell ref="A275:C275"/>
    <mergeCell ref="E275:F275"/>
    <mergeCell ref="A276:C276"/>
    <mergeCell ref="E276:F276"/>
    <mergeCell ref="A277:C277"/>
    <mergeCell ref="E277:F277"/>
    <mergeCell ref="A278:C278"/>
    <mergeCell ref="E286:F286"/>
    <mergeCell ref="E272:F272"/>
    <mergeCell ref="A284:H284"/>
    <mergeCell ref="E285:F285"/>
    <mergeCell ref="E287:F287"/>
    <mergeCell ref="E288:F288"/>
    <mergeCell ref="A289:C289"/>
    <mergeCell ref="E289:F289"/>
    <mergeCell ref="A290:C290"/>
    <mergeCell ref="E290:F290"/>
    <mergeCell ref="A299:H299"/>
    <mergeCell ref="E300:F300"/>
    <mergeCell ref="E301:F301"/>
    <mergeCell ref="E302:F302"/>
    <mergeCell ref="E303:F303"/>
    <mergeCell ref="E304:F304"/>
    <mergeCell ref="E305:F305"/>
    <mergeCell ref="A292:C292"/>
    <mergeCell ref="E292:F292"/>
    <mergeCell ref="A293:C293"/>
    <mergeCell ref="A294:C294"/>
    <mergeCell ref="A295:C295"/>
    <mergeCell ref="A296:C296"/>
    <mergeCell ref="A297:C297"/>
    <mergeCell ref="E306:F306"/>
    <mergeCell ref="A307:C307"/>
    <mergeCell ref="E307:F307"/>
    <mergeCell ref="A308:C308"/>
    <mergeCell ref="E308:F308"/>
    <mergeCell ref="A309:C309"/>
    <mergeCell ref="E309:F309"/>
    <mergeCell ref="A310:C310"/>
    <mergeCell ref="E310:F310"/>
    <mergeCell ref="A311:C311"/>
    <mergeCell ref="A312:C312"/>
    <mergeCell ref="A313:C313"/>
    <mergeCell ref="A314:C314"/>
    <mergeCell ref="A315:C315"/>
    <mergeCell ref="A317:H317"/>
    <mergeCell ref="E318:F318"/>
    <mergeCell ref="E319:F319"/>
    <mergeCell ref="E320:F320"/>
    <mergeCell ref="A326:C326"/>
    <mergeCell ref="A327:C327"/>
    <mergeCell ref="A328:C328"/>
    <mergeCell ref="A329:C329"/>
    <mergeCell ref="A330:C330"/>
    <mergeCell ref="A332:H332"/>
    <mergeCell ref="E333:F333"/>
    <mergeCell ref="E334:F334"/>
    <mergeCell ref="E321:F321"/>
    <mergeCell ref="A322:C322"/>
    <mergeCell ref="E322:F322"/>
    <mergeCell ref="A323:C323"/>
    <mergeCell ref="E323:F323"/>
    <mergeCell ref="A324:C324"/>
    <mergeCell ref="E324:F324"/>
    <mergeCell ref="A325:C325"/>
    <mergeCell ref="E325:F325"/>
    <mergeCell ref="A343:C343"/>
    <mergeCell ref="A344:C344"/>
    <mergeCell ref="A346:H346"/>
    <mergeCell ref="E347:F347"/>
    <mergeCell ref="E348:F348"/>
    <mergeCell ref="E349:F349"/>
    <mergeCell ref="A350:C350"/>
    <mergeCell ref="E350:F350"/>
    <mergeCell ref="E335:F335"/>
    <mergeCell ref="A336:C336"/>
    <mergeCell ref="A337:C337"/>
    <mergeCell ref="A338:C338"/>
    <mergeCell ref="A339:C339"/>
    <mergeCell ref="A340:C340"/>
    <mergeCell ref="A341:C341"/>
    <mergeCell ref="A342:C342"/>
    <mergeCell ref="A357:C357"/>
    <mergeCell ref="A358:C358"/>
    <mergeCell ref="A351:C351"/>
    <mergeCell ref="E351:F351"/>
    <mergeCell ref="A352:C352"/>
    <mergeCell ref="E352:F352"/>
    <mergeCell ref="A353:C353"/>
    <mergeCell ref="E353:F353"/>
    <mergeCell ref="A354:C354"/>
    <mergeCell ref="A355:C355"/>
    <mergeCell ref="A356:C356"/>
  </mergeCells>
  <printOptions horizontalCentered="1" verticalCentered="1"/>
  <pageMargins left="0.78740157480314965" right="0.78740157480314965" top="0.78740157480314965" bottom="0.78740157480314965" header="0.31496062992125984" footer="0.31496062992125984"/>
  <pageSetup scale="56" orientation="portrait" r:id="rId1"/>
  <rowBreaks count="3" manualBreakCount="3">
    <brk id="134" max="16383" man="1"/>
    <brk id="176" max="16383" man="1"/>
    <brk id="208" max="16383" man="1"/>
  </rowBreaks>
  <ignoredErrors>
    <ignoredError sqref="D224 D258 D278 D238 D95 D125 D141 D191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</dc:creator>
  <cp:lastModifiedBy>José Ricardo López</cp:lastModifiedBy>
  <cp:lastPrinted>2024-07-11T00:24:56Z</cp:lastPrinted>
  <dcterms:created xsi:type="dcterms:W3CDTF">2021-11-17T05:54:05Z</dcterms:created>
  <dcterms:modified xsi:type="dcterms:W3CDTF">2025-07-17T01:04:27Z</dcterms:modified>
</cp:coreProperties>
</file>