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\Documents\gitPrimer-Semestre-25\doc CONESAAAA\"/>
    </mc:Choice>
  </mc:AlternateContent>
  <xr:revisionPtr revIDLastSave="0" documentId="8_{5B525785-EF05-4C8C-B374-1A87F5DAD099}" xr6:coauthVersionLast="47" xr6:coauthVersionMax="47" xr10:uidLastSave="{00000000-0000-0000-0000-000000000000}"/>
  <bookViews>
    <workbookView xWindow="0" yWindow="0" windowWidth="10245" windowHeight="10920" xr2:uid="{814B2327-6F78-4006-800C-A472A8F674F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5" i="1" l="1"/>
  <c r="F86" i="1"/>
  <c r="G89" i="1" s="1"/>
</calcChain>
</file>

<file path=xl/sharedStrings.xml><?xml version="1.0" encoding="utf-8"?>
<sst xmlns="http://schemas.openxmlformats.org/spreadsheetml/2006/main" count="91" uniqueCount="80">
  <si>
    <t xml:space="preserve">Area Pavimentada </t>
  </si>
  <si>
    <t>Avenida</t>
  </si>
  <si>
    <t>Avenida 1</t>
  </si>
  <si>
    <t>Avenida 2</t>
  </si>
  <si>
    <t>Avenida 3</t>
  </si>
  <si>
    <t>Avenida 4</t>
  </si>
  <si>
    <t>S26-S32</t>
  </si>
  <si>
    <t>Avenida 5</t>
  </si>
  <si>
    <t>S35-S41</t>
  </si>
  <si>
    <t>Avenida 6</t>
  </si>
  <si>
    <t>S44-S50</t>
  </si>
  <si>
    <t>Calle y Boulevard</t>
  </si>
  <si>
    <t>Calle1</t>
  </si>
  <si>
    <t>S8,S17,S25,S34,S43</t>
  </si>
  <si>
    <t>Calle 1A</t>
  </si>
  <si>
    <t>S11</t>
  </si>
  <si>
    <t>Calle 2</t>
  </si>
  <si>
    <t>Boulevard 1.1</t>
  </si>
  <si>
    <t>S15,S22,230,S39,S49,S59,260</t>
  </si>
  <si>
    <t>Bolulevard 1.2</t>
  </si>
  <si>
    <t>S15,S22,230,S39,S49,S59,S60</t>
  </si>
  <si>
    <t>Calle 4</t>
  </si>
  <si>
    <t>S24,S33,S42,S51</t>
  </si>
  <si>
    <t>TOTAL =</t>
  </si>
  <si>
    <t>m2</t>
  </si>
  <si>
    <t>S62</t>
  </si>
  <si>
    <t>S64</t>
  </si>
  <si>
    <t xml:space="preserve">TOTAL= </t>
  </si>
  <si>
    <t xml:space="preserve">TOTAL </t>
  </si>
  <si>
    <t>S9,S10,S12,S14,S16</t>
  </si>
  <si>
    <t>S18,S19,S21,S23</t>
  </si>
  <si>
    <t>S20</t>
  </si>
  <si>
    <t>S28</t>
  </si>
  <si>
    <t>S37</t>
  </si>
  <si>
    <t>S13</t>
  </si>
  <si>
    <t>S46</t>
  </si>
  <si>
    <t>S1</t>
  </si>
  <si>
    <t>S2</t>
  </si>
  <si>
    <t>S3</t>
  </si>
  <si>
    <t>S8</t>
  </si>
  <si>
    <t>S17</t>
  </si>
  <si>
    <t>S25</t>
  </si>
  <si>
    <t>S34</t>
  </si>
  <si>
    <t>S43</t>
  </si>
  <si>
    <t>S44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</si>
  <si>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</si>
  <si>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</si>
  <si>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</si>
  <si>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</si>
  <si>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</si>
  <si>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</si>
  <si>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</si>
  <si>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</si>
  <si>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</si>
  <si>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S63</t>
  </si>
  <si>
    <t>S65</t>
  </si>
  <si>
    <t>S67</t>
  </si>
  <si>
    <t>S68</t>
  </si>
  <si>
    <t>S66</t>
  </si>
  <si>
    <t>S69</t>
  </si>
  <si>
    <t>S70</t>
  </si>
  <si>
    <t>S49 Mitad de Calle</t>
  </si>
  <si>
    <t>S4,S5,S6,S7</t>
  </si>
  <si>
    <t>S16</t>
  </si>
  <si>
    <t>S23</t>
  </si>
  <si>
    <t>S31,S32</t>
  </si>
  <si>
    <t>S40,241</t>
  </si>
  <si>
    <t xml:space="preserve">Avenida despues del boulevard </t>
  </si>
  <si>
    <t xml:space="preserve">Area NO pavimentada </t>
  </si>
  <si>
    <t>S45</t>
  </si>
  <si>
    <t>S47</t>
  </si>
  <si>
    <t>S48</t>
  </si>
  <si>
    <t>S50</t>
  </si>
  <si>
    <t>Area central a restar</t>
  </si>
  <si>
    <t>SI PAVIMENTADO</t>
  </si>
  <si>
    <t>AVENIDA 1</t>
  </si>
  <si>
    <t>AVENIDA 2</t>
  </si>
  <si>
    <t>AVENIDA 3</t>
  </si>
  <si>
    <t>AVENIDA 4</t>
  </si>
  <si>
    <t>Boulevard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</si>
</sst>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2" fontId="0" fillId="0" borderId="0" xfId="0" applyNumberForma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4" xfId="0" applyBorder="1"/>
    <xf numFmtId="0" fontId="0" fillId="0" borderId="0" xfId="0" applyAlignment="1">
      <alignment horizontal="right"/>
    </xf>
    <xf numFmtId="0" fontId="0" fillId="0" borderId="5" xfId="0" applyBorder="1"/>
    <xf numFmtId="0" fontId="2" fillId="0" borderId="4" xfId="0" applyFont="1" applyBorder="1"/>
    <xf numFmtId="0" fontId="1" fillId="0" borderId="5" xfId="0" applyFont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2" fillId="0" borderId="4" xfId="0" applyFont="1" applyBorder="1" applyAlignment="1"/>
    <xf numFmtId="0" fontId="2" fillId="0" borderId="0" xfId="0" applyFont="1" applyAlignment="1"/>
    <xf numFmtId="0" fontId="2" fillId="0" borderId="5" xfId="0" applyFont="1" applyBorder="1" applyAlignment="1"/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4" borderId="1" xfId="0" applyFont="1" applyFill="1" applyBorder="1"/>
    <xf numFmtId="0" fontId="1" fillId="4" borderId="3" xfId="0" applyFont="1" applyFill="1" applyBorder="1"/>
    <xf numFmtId="0" fontId="0" fillId="0" borderId="4" xfId="0" applyFont="1" applyBorder="1" applyAlignment="1">
      <alignment vertical="top"/>
    </xf>
    <xf numFmtId="0" fontId="3" fillId="0" borderId="4" xfId="0" applyFont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7AD1B-4C64-48C3-8243-03162327138F}">
  <dimension ref="C2:I89"/>
  <sheetViews>
    <sheetView tabSelected="1" topLeftCell="A3" workbookViewId="0">
      <selection activeCell="F25" sqref="F25"/>
    </sheetView>
  </sheetViews>
  <sheetFormatPr baseColWidth="10" defaultRowHeight="15" x14ac:dyDescent="0.25"/>
  <cols>
    <col min="4" max="4" width="16.85546875" customWidth="1"/>
    <col min="5" max="5" width="37.7109375" customWidth="1"/>
  </cols>
  <sheetData>
    <row r="2" spans="3:7" ht="15.75" thickBot="1" x14ac:dyDescent="0.3"/>
    <row r="3" spans="3:7" ht="15.75" thickBot="1" x14ac:dyDescent="0.3">
      <c r="E3" s="3" t="s">
        <v>0</v>
      </c>
      <c r="F3" s="4"/>
      <c r="G3" s="5"/>
    </row>
    <row r="4" spans="3:7" ht="18.75" x14ac:dyDescent="0.3">
      <c r="C4" s="1"/>
      <c r="E4" s="14" t="s">
        <v>1</v>
      </c>
      <c r="F4" s="15"/>
      <c r="G4" s="16"/>
    </row>
    <row r="5" spans="3:7" x14ac:dyDescent="0.25">
      <c r="C5" s="2"/>
      <c r="E5" s="6"/>
      <c r="F5" s="7"/>
      <c r="G5" s="8"/>
    </row>
    <row r="6" spans="3:7" x14ac:dyDescent="0.25">
      <c r="D6" t="s">
        <v>2</v>
      </c>
      <c r="E6" s="6" t="s">
        <v>62</v>
      </c>
      <c r="F6">
        <v>2043.02</v>
      </c>
      <c r="G6" s="8"/>
    </row>
    <row r="7" spans="3:7" x14ac:dyDescent="0.25">
      <c r="E7" s="6"/>
      <c r="G7" s="8"/>
    </row>
    <row r="8" spans="3:7" x14ac:dyDescent="0.25">
      <c r="E8" s="6"/>
      <c r="G8" s="8"/>
    </row>
    <row r="9" spans="3:7" x14ac:dyDescent="0.25">
      <c r="D9" t="s">
        <v>3</v>
      </c>
      <c r="E9" s="6" t="s">
        <v>29</v>
      </c>
      <c r="F9">
        <v>1959.223</v>
      </c>
      <c r="G9" s="8"/>
    </row>
    <row r="10" spans="3:7" x14ac:dyDescent="0.25">
      <c r="D10" t="s">
        <v>4</v>
      </c>
      <c r="E10" s="6" t="s">
        <v>30</v>
      </c>
      <c r="F10">
        <v>1010.921</v>
      </c>
      <c r="G10" s="8"/>
    </row>
    <row r="11" spans="3:7" x14ac:dyDescent="0.25">
      <c r="D11" t="s">
        <v>5</v>
      </c>
      <c r="E11" s="6" t="s">
        <v>6</v>
      </c>
      <c r="F11">
        <v>1247.0150000000001</v>
      </c>
      <c r="G11" s="8"/>
    </row>
    <row r="12" spans="3:7" x14ac:dyDescent="0.25">
      <c r="D12" t="s">
        <v>7</v>
      </c>
      <c r="E12" s="6" t="s">
        <v>8</v>
      </c>
      <c r="F12">
        <v>1151.903</v>
      </c>
      <c r="G12" s="8"/>
    </row>
    <row r="13" spans="3:7" x14ac:dyDescent="0.25">
      <c r="D13" t="s">
        <v>9</v>
      </c>
      <c r="E13" s="6" t="s">
        <v>10</v>
      </c>
      <c r="G13" s="8"/>
    </row>
    <row r="14" spans="3:7" x14ac:dyDescent="0.25">
      <c r="E14" s="6"/>
      <c r="G14" s="8"/>
    </row>
    <row r="15" spans="3:7" ht="15.75" x14ac:dyDescent="0.25">
      <c r="E15" s="22" t="s">
        <v>67</v>
      </c>
      <c r="G15" s="8"/>
    </row>
    <row r="16" spans="3:7" x14ac:dyDescent="0.25">
      <c r="D16" t="s">
        <v>3</v>
      </c>
      <c r="E16" s="6" t="s">
        <v>63</v>
      </c>
      <c r="G16" s="8"/>
    </row>
    <row r="17" spans="4:9" x14ac:dyDescent="0.25">
      <c r="D17" t="s">
        <v>4</v>
      </c>
      <c r="E17" s="6" t="s">
        <v>64</v>
      </c>
      <c r="G17" s="8"/>
    </row>
    <row r="18" spans="4:9" x14ac:dyDescent="0.25">
      <c r="D18" t="s">
        <v>5</v>
      </c>
      <c r="E18" s="6" t="s">
        <v>65</v>
      </c>
      <c r="G18" s="8"/>
    </row>
    <row r="19" spans="4:9" x14ac:dyDescent="0.25">
      <c r="D19" t="s">
        <v>7</v>
      </c>
      <c r="E19" s="6" t="s">
        <v>66</v>
      </c>
      <c r="G19" s="8"/>
    </row>
    <row r="20" spans="4:9" x14ac:dyDescent="0.25">
      <c r="E20" s="6"/>
      <c r="G20" s="8"/>
    </row>
    <row r="21" spans="4:9" x14ac:dyDescent="0.25">
      <c r="E21" s="6"/>
      <c r="G21" s="8"/>
    </row>
    <row r="22" spans="4:9" x14ac:dyDescent="0.25">
      <c r="E22" s="6"/>
      <c r="G22" s="8"/>
    </row>
    <row r="23" spans="4:9" ht="18.75" x14ac:dyDescent="0.3">
      <c r="E23" s="9" t="s">
        <v>11</v>
      </c>
      <c r="F23" s="1"/>
      <c r="G23" s="10"/>
    </row>
    <row r="24" spans="4:9" x14ac:dyDescent="0.25">
      <c r="D24" t="s">
        <v>12</v>
      </c>
      <c r="E24" s="6" t="s">
        <v>13</v>
      </c>
      <c r="G24" s="8"/>
    </row>
    <row r="25" spans="4:9" x14ac:dyDescent="0.25">
      <c r="D25" t="s">
        <v>14</v>
      </c>
      <c r="E25" s="6" t="s">
        <v>15</v>
      </c>
      <c r="F25">
        <v>394.61200000000002</v>
      </c>
      <c r="G25" s="8"/>
    </row>
    <row r="26" spans="4:9" x14ac:dyDescent="0.25">
      <c r="D26" t="s">
        <v>16</v>
      </c>
      <c r="E26" s="6" t="s">
        <v>34</v>
      </c>
      <c r="F26">
        <v>400.084</v>
      </c>
      <c r="G26" s="8"/>
    </row>
    <row r="27" spans="4:9" x14ac:dyDescent="0.25">
      <c r="E27" s="6" t="s">
        <v>31</v>
      </c>
      <c r="F27">
        <v>390.80399999999997</v>
      </c>
      <c r="G27" s="8"/>
    </row>
    <row r="28" spans="4:9" x14ac:dyDescent="0.25">
      <c r="E28" s="6" t="s">
        <v>32</v>
      </c>
      <c r="F28">
        <v>390.697</v>
      </c>
      <c r="G28" s="8"/>
    </row>
    <row r="29" spans="4:9" x14ac:dyDescent="0.25">
      <c r="E29" s="6" t="s">
        <v>33</v>
      </c>
      <c r="F29">
        <v>393.399</v>
      </c>
      <c r="G29" s="8"/>
    </row>
    <row r="30" spans="4:9" x14ac:dyDescent="0.25">
      <c r="E30" s="6" t="s">
        <v>35</v>
      </c>
      <c r="F30">
        <v>391.40899999999999</v>
      </c>
      <c r="G30" s="8"/>
      <c r="I30" t="s">
        <v>73</v>
      </c>
    </row>
    <row r="31" spans="4:9" x14ac:dyDescent="0.25">
      <c r="D31" t="s">
        <v>17</v>
      </c>
      <c r="E31" s="6" t="s">
        <v>18</v>
      </c>
      <c r="G31" s="8"/>
    </row>
    <row r="32" spans="4:9" x14ac:dyDescent="0.25">
      <c r="D32" t="s">
        <v>19</v>
      </c>
      <c r="E32" s="6" t="s">
        <v>20</v>
      </c>
      <c r="G32" s="8"/>
    </row>
    <row r="33" spans="4:7" x14ac:dyDescent="0.25">
      <c r="D33" t="s">
        <v>21</v>
      </c>
      <c r="E33" s="6" t="s">
        <v>22</v>
      </c>
      <c r="G33" s="8"/>
    </row>
    <row r="34" spans="4:7" x14ac:dyDescent="0.25">
      <c r="E34" s="6"/>
      <c r="G34" s="8"/>
    </row>
    <row r="35" spans="4:7" ht="15.75" thickBot="1" x14ac:dyDescent="0.3">
      <c r="E35" s="11" t="s">
        <v>23</v>
      </c>
      <c r="F35" s="12">
        <f>SUM(F6:F34)</f>
        <v>9773.0869999999995</v>
      </c>
      <c r="G35" s="13" t="s">
        <v>24</v>
      </c>
    </row>
    <row r="38" spans="4:7" ht="15.75" thickBot="1" x14ac:dyDescent="0.3"/>
    <row r="39" spans="4:7" ht="15.75" thickBot="1" x14ac:dyDescent="0.3">
      <c r="E39" s="3" t="s">
        <v>68</v>
      </c>
      <c r="F39" s="4"/>
      <c r="G39" s="5"/>
    </row>
    <row r="40" spans="4:7" x14ac:dyDescent="0.25">
      <c r="E40" s="17"/>
      <c r="F40" s="18"/>
      <c r="G40" s="8"/>
    </row>
    <row r="41" spans="4:7" x14ac:dyDescent="0.25">
      <c r="E41" s="17"/>
      <c r="F41" s="18"/>
      <c r="G41" s="8"/>
    </row>
    <row r="42" spans="4:7" x14ac:dyDescent="0.25">
      <c r="E42" s="21" t="s">
        <v>36</v>
      </c>
      <c r="F42" s="23"/>
      <c r="G42" s="8"/>
    </row>
    <row r="43" spans="4:7" x14ac:dyDescent="0.25">
      <c r="E43" s="21" t="s">
        <v>37</v>
      </c>
      <c r="F43" s="23"/>
      <c r="G43" s="8"/>
    </row>
    <row r="44" spans="4:7" x14ac:dyDescent="0.25">
      <c r="E44" s="21" t="s">
        <v>38</v>
      </c>
      <c r="F44" s="23"/>
      <c r="G44" s="8"/>
    </row>
    <row r="45" spans="4:7" x14ac:dyDescent="0.25">
      <c r="E45" s="21" t="s">
        <v>39</v>
      </c>
      <c r="F45" s="23"/>
      <c r="G45" s="8"/>
    </row>
    <row r="46" spans="4:7" x14ac:dyDescent="0.25">
      <c r="E46" s="21" t="s">
        <v>40</v>
      </c>
      <c r="F46" s="23"/>
      <c r="G46" s="8"/>
    </row>
    <row r="47" spans="4:7" x14ac:dyDescent="0.25">
      <c r="E47" s="21" t="s">
        <v>41</v>
      </c>
      <c r="F47" s="23"/>
      <c r="G47" s="8"/>
    </row>
    <row r="48" spans="4:7" x14ac:dyDescent="0.25">
      <c r="E48" s="21" t="s">
        <v>42</v>
      </c>
      <c r="F48" s="23"/>
      <c r="G48" s="8"/>
    </row>
    <row r="49" spans="5:7" x14ac:dyDescent="0.25">
      <c r="E49" s="21" t="s">
        <v>43</v>
      </c>
      <c r="F49" s="23"/>
      <c r="G49" s="8"/>
    </row>
    <row r="50" spans="5:7" x14ac:dyDescent="0.25">
      <c r="E50" s="21" t="s">
        <v>44</v>
      </c>
      <c r="F50" s="23"/>
      <c r="G50" s="8"/>
    </row>
    <row r="51" spans="5:7" x14ac:dyDescent="0.25">
      <c r="E51" s="21" t="s">
        <v>69</v>
      </c>
      <c r="F51" s="23"/>
      <c r="G51" s="8"/>
    </row>
    <row r="52" spans="5:7" x14ac:dyDescent="0.25">
      <c r="E52" s="21" t="s">
        <v>70</v>
      </c>
      <c r="F52" s="23"/>
      <c r="G52" s="8"/>
    </row>
    <row r="53" spans="5:7" x14ac:dyDescent="0.25">
      <c r="E53" s="21" t="s">
        <v>71</v>
      </c>
      <c r="F53" s="23"/>
      <c r="G53" s="8"/>
    </row>
    <row r="54" spans="5:7" x14ac:dyDescent="0.25">
      <c r="E54" s="21" t="s">
        <v>72</v>
      </c>
      <c r="F54" s="23"/>
      <c r="G54" s="8"/>
    </row>
    <row r="55" spans="5:7" x14ac:dyDescent="0.25">
      <c r="E55" s="6" t="s">
        <v>45</v>
      </c>
      <c r="F55" s="23"/>
      <c r="G55" s="8"/>
    </row>
    <row r="56" spans="5:7" x14ac:dyDescent="0.25">
      <c r="E56" s="6" t="s">
        <v>46</v>
      </c>
      <c r="F56" s="23"/>
      <c r="G56" s="8"/>
    </row>
    <row r="57" spans="5:7" x14ac:dyDescent="0.25">
      <c r="E57" s="6" t="s">
        <v>47</v>
      </c>
      <c r="F57" s="23"/>
      <c r="G57" s="8"/>
    </row>
    <row r="58" spans="5:7" x14ac:dyDescent="0.25">
      <c r="E58" s="6" t="s">
        <v>48</v>
      </c>
      <c r="F58" s="23"/>
      <c r="G58" s="8"/>
    </row>
    <row r="59" spans="5:7" x14ac:dyDescent="0.25">
      <c r="E59" s="6" t="s">
        <v>49</v>
      </c>
      <c r="F59" s="23"/>
      <c r="G59" s="8"/>
    </row>
    <row r="60" spans="5:7" x14ac:dyDescent="0.25">
      <c r="E60" s="6" t="s">
        <v>50</v>
      </c>
      <c r="F60" s="23"/>
      <c r="G60" s="8"/>
    </row>
    <row r="61" spans="5:7" x14ac:dyDescent="0.25">
      <c r="E61" s="6" t="s">
        <v>61</v>
      </c>
      <c r="F61" s="23"/>
      <c r="G61" s="8"/>
    </row>
    <row r="62" spans="5:7" x14ac:dyDescent="0.25">
      <c r="E62" s="6" t="s">
        <v>51</v>
      </c>
      <c r="F62" s="23"/>
      <c r="G62" s="8"/>
    </row>
    <row r="63" spans="5:7" x14ac:dyDescent="0.25">
      <c r="E63" s="6" t="s">
        <v>52</v>
      </c>
      <c r="F63" s="23"/>
      <c r="G63" s="8"/>
    </row>
    <row r="64" spans="5:7" x14ac:dyDescent="0.25">
      <c r="E64" s="6" t="s">
        <v>53</v>
      </c>
      <c r="F64" s="23"/>
      <c r="G64" s="8"/>
    </row>
    <row r="65" spans="5:7" x14ac:dyDescent="0.25">
      <c r="E65" s="6" t="s">
        <v>54</v>
      </c>
      <c r="F65" s="23"/>
      <c r="G65" s="8"/>
    </row>
    <row r="66" spans="5:7" x14ac:dyDescent="0.25">
      <c r="E66" s="6" t="s">
        <v>55</v>
      </c>
      <c r="F66" s="23"/>
      <c r="G66" s="8"/>
    </row>
    <row r="67" spans="5:7" x14ac:dyDescent="0.25">
      <c r="E67" s="6" t="s">
        <v>25</v>
      </c>
      <c r="F67" s="23"/>
      <c r="G67" s="8"/>
    </row>
    <row r="68" spans="5:7" x14ac:dyDescent="0.25">
      <c r="E68" s="6" t="s">
        <v>26</v>
      </c>
      <c r="F68" s="23"/>
      <c r="G68" s="8"/>
    </row>
    <row r="69" spans="5:7" x14ac:dyDescent="0.25">
      <c r="E69" s="6" t="s">
        <v>56</v>
      </c>
      <c r="F69" s="23"/>
      <c r="G69" s="8"/>
    </row>
    <row r="70" spans="5:7" x14ac:dyDescent="0.25">
      <c r="E70" s="6" t="s">
        <v>57</v>
      </c>
      <c r="F70" s="23"/>
      <c r="G70" s="8"/>
    </row>
    <row r="71" spans="5:7" x14ac:dyDescent="0.25">
      <c r="E71" s="6" t="s">
        <v>58</v>
      </c>
      <c r="F71" s="23"/>
      <c r="G71" s="8"/>
    </row>
    <row r="72" spans="5:7" x14ac:dyDescent="0.25">
      <c r="E72" s="6" t="s">
        <v>59</v>
      </c>
      <c r="F72" s="23"/>
      <c r="G72" s="8"/>
    </row>
    <row r="73" spans="5:7" x14ac:dyDescent="0.25">
      <c r="E73" s="6" t="s">
        <v>60</v>
      </c>
      <c r="F73" s="23"/>
      <c r="G73" s="8"/>
    </row>
    <row r="74" spans="5:7" x14ac:dyDescent="0.25">
      <c r="E74" s="6"/>
      <c r="G74" s="8"/>
    </row>
    <row r="75" spans="5:7" x14ac:dyDescent="0.25">
      <c r="E75" s="6"/>
      <c r="G75" s="8"/>
    </row>
    <row r="76" spans="5:7" x14ac:dyDescent="0.25">
      <c r="E76" s="6"/>
      <c r="G76" s="8"/>
    </row>
    <row r="77" spans="5:7" x14ac:dyDescent="0.25">
      <c r="E77" s="6"/>
      <c r="G77" s="8"/>
    </row>
    <row r="78" spans="5:7" x14ac:dyDescent="0.25">
      <c r="E78" s="6"/>
      <c r="G78" s="8"/>
    </row>
    <row r="79" spans="5:7" x14ac:dyDescent="0.25">
      <c r="E79" s="6"/>
      <c r="G79" s="8"/>
    </row>
    <row r="80" spans="5:7" x14ac:dyDescent="0.25">
      <c r="E80" s="6"/>
      <c r="G80" s="8"/>
    </row>
    <row r="81" spans="5:7" x14ac:dyDescent="0.25">
      <c r="E81" s="6"/>
      <c r="G81" s="8"/>
    </row>
    <row r="82" spans="5:7" x14ac:dyDescent="0.25">
      <c r="E82" s="6"/>
      <c r="G82" s="8"/>
    </row>
    <row r="83" spans="5:7" x14ac:dyDescent="0.25">
      <c r="E83" s="6"/>
      <c r="G83" s="8"/>
    </row>
    <row r="84" spans="5:7" x14ac:dyDescent="0.25">
      <c r="E84" s="6"/>
      <c r="G84" s="8"/>
    </row>
    <row r="85" spans="5:7" x14ac:dyDescent="0.25">
      <c r="E85" s="6"/>
      <c r="F85" s="1"/>
      <c r="G85" s="8"/>
    </row>
    <row r="86" spans="5:7" ht="15.75" thickBot="1" x14ac:dyDescent="0.3">
      <c r="E86" s="11" t="s">
        <v>27</v>
      </c>
      <c r="F86" s="12">
        <f>SUM(F55:F85)</f>
        <v>0</v>
      </c>
      <c r="G86" s="13" t="s">
        <v>24</v>
      </c>
    </row>
    <row r="88" spans="5:7" ht="15.75" thickBot="1" x14ac:dyDescent="0.3"/>
    <row r="89" spans="5:7" ht="15.75" thickBot="1" x14ac:dyDescent="0.3">
      <c r="F89" s="19" t="s">
        <v>28</v>
      </c>
      <c r="G89" s="20">
        <f>SUM(F36,F86)</f>
        <v>0</v>
      </c>
    </row>
  </sheetData>
  <mergeCells count="3">
    <mergeCell ref="E3:G3"/>
    <mergeCell ref="E39:G39"/>
    <mergeCell ref="F42:F7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5CE8C-502C-4579-AEDF-F2361A514E68}">
  <dimension ref="C2:D16"/>
  <sheetViews>
    <sheetView workbookViewId="0">
      <selection activeCell="B2" sqref="B2:F18"/>
    </sheetView>
  </sheetViews>
  <sheetFormatPr baseColWidth="10" defaultRowHeight="15" x14ac:dyDescent="0.25"/>
  <cols>
    <col min="3" max="3" width="19.42578125" customWidth="1"/>
  </cols>
  <sheetData>
    <row r="2" spans="3:4" x14ac:dyDescent="0.25">
      <c r="D2" t="s">
        <v>74</v>
      </c>
    </row>
    <row r="4" spans="3:4" x14ac:dyDescent="0.25">
      <c r="C4" t="s">
        <v>75</v>
      </c>
      <c r="D4">
        <v>2043.0419999999999</v>
      </c>
    </row>
    <row r="5" spans="3:4" x14ac:dyDescent="0.25">
      <c r="C5" t="s">
        <v>76</v>
      </c>
      <c r="D5">
        <v>1946.0730000000001</v>
      </c>
    </row>
    <row r="6" spans="3:4" x14ac:dyDescent="0.25">
      <c r="C6" t="s">
        <v>77</v>
      </c>
      <c r="D6">
        <v>1247.0150000000001</v>
      </c>
    </row>
    <row r="7" spans="3:4" x14ac:dyDescent="0.25">
      <c r="C7" t="s">
        <v>78</v>
      </c>
      <c r="D7">
        <v>1151.903</v>
      </c>
    </row>
    <row r="8" spans="3:4" x14ac:dyDescent="0.25">
      <c r="C8" t="s">
        <v>15</v>
      </c>
      <c r="D8">
        <v>394.61200000000002</v>
      </c>
    </row>
    <row r="9" spans="3:4" x14ac:dyDescent="0.25">
      <c r="C9" t="s">
        <v>34</v>
      </c>
      <c r="D9">
        <v>400.084</v>
      </c>
    </row>
    <row r="10" spans="3:4" x14ac:dyDescent="0.25">
      <c r="C10" s="6" t="s">
        <v>31</v>
      </c>
      <c r="D10">
        <v>390.80399999999997</v>
      </c>
    </row>
    <row r="11" spans="3:4" x14ac:dyDescent="0.25">
      <c r="C11" s="6" t="s">
        <v>32</v>
      </c>
      <c r="D11">
        <v>390.697</v>
      </c>
    </row>
    <row r="12" spans="3:4" x14ac:dyDescent="0.25">
      <c r="C12" s="6" t="s">
        <v>33</v>
      </c>
      <c r="D12">
        <v>393.399</v>
      </c>
    </row>
    <row r="13" spans="3:4" x14ac:dyDescent="0.25">
      <c r="C13" s="6" t="s">
        <v>35</v>
      </c>
      <c r="D13">
        <v>391.40899999999999</v>
      </c>
    </row>
    <row r="16" spans="3:4" x14ac:dyDescent="0.25">
      <c r="C16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Ivan Carreto Rivera</dc:creator>
  <cp:lastModifiedBy>Marlon Ivan Carreto Rivera</cp:lastModifiedBy>
  <dcterms:created xsi:type="dcterms:W3CDTF">2025-09-05T18:55:43Z</dcterms:created>
  <dcterms:modified xsi:type="dcterms:W3CDTF">2025-09-05T22:50:12Z</dcterms:modified>
</cp:coreProperties>
</file>