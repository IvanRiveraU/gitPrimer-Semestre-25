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Primer-Semestre-25\doc CONESAAAA\"/>
    </mc:Choice>
  </mc:AlternateContent>
  <xr:revisionPtr revIDLastSave="0" documentId="13_ncr:1_{BB267488-097E-4A8C-957F-97E0434DDB88}" xr6:coauthVersionLast="47" xr6:coauthVersionMax="47" xr10:uidLastSave="{00000000-0000-0000-0000-000000000000}"/>
  <bookViews>
    <workbookView xWindow="-120" yWindow="-120" windowWidth="20730" windowHeight="11160" xr2:uid="{854C732E-5F06-4160-AF8C-0CF06072DAAA}"/>
  </bookViews>
  <sheets>
    <sheet name="Hoja1" sheetId="1" r:id="rId1"/>
    <sheet name="Hoja3" sheetId="3" r:id="rId2"/>
    <sheet name="Hoja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1" i="1" l="1"/>
  <c r="G8" i="3"/>
  <c r="E16" i="1"/>
  <c r="E32" i="1"/>
  <c r="E31" i="1"/>
  <c r="O9" i="1"/>
  <c r="D6" i="2"/>
  <c r="D4" i="2"/>
  <c r="E51" i="1"/>
  <c r="E18" i="1" s="1"/>
  <c r="E47" i="1"/>
  <c r="E20" i="1" s="1"/>
  <c r="E39" i="1" l="1"/>
  <c r="E19" i="1"/>
  <c r="E23" i="1" s="1"/>
  <c r="E52" i="1"/>
  <c r="F42" i="1" l="1"/>
  <c r="H13" i="3" s="1"/>
</calcChain>
</file>

<file path=xl/sharedStrings.xml><?xml version="1.0" encoding="utf-8"?>
<sst xmlns="http://schemas.openxmlformats.org/spreadsheetml/2006/main" count="103" uniqueCount="85">
  <si>
    <t>S4-S7</t>
  </si>
  <si>
    <t>S18-S23</t>
  </si>
  <si>
    <t>S9 - S16</t>
  </si>
  <si>
    <t>S35-S41</t>
  </si>
  <si>
    <t>S13,S20,S28,S37,S46</t>
  </si>
  <si>
    <t>S11</t>
  </si>
  <si>
    <t>S15,S22,230,S39,S49,S59,260</t>
  </si>
  <si>
    <t>S54,S53</t>
  </si>
  <si>
    <t>S55,S56</t>
  </si>
  <si>
    <t>S57,S58</t>
  </si>
  <si>
    <t>S61,S63,S65</t>
  </si>
  <si>
    <t>S64</t>
  </si>
  <si>
    <t>S62</t>
  </si>
  <si>
    <t>S67,S68</t>
  </si>
  <si>
    <t>S66, S69, S70</t>
  </si>
  <si>
    <t>S59,S60</t>
  </si>
  <si>
    <t>S15,S22,230,S39,S49,S59,S60</t>
  </si>
  <si>
    <t>TOTAL =</t>
  </si>
  <si>
    <t xml:space="preserve">Area Pavimentada </t>
  </si>
  <si>
    <t>m2</t>
  </si>
  <si>
    <t xml:space="preserve">TOTAL= </t>
  </si>
  <si>
    <t>S44-S50</t>
  </si>
  <si>
    <t>S26-S32</t>
  </si>
  <si>
    <t xml:space="preserve">Área aun no pavimentada </t>
  </si>
  <si>
    <t>Avenida 3</t>
  </si>
  <si>
    <t>S13</t>
  </si>
  <si>
    <t>S8</t>
  </si>
  <si>
    <t>Avenida 2</t>
  </si>
  <si>
    <t>Avenida 1</t>
  </si>
  <si>
    <t>Area de concreto</t>
  </si>
  <si>
    <t xml:space="preserve">Area sin concreto </t>
  </si>
  <si>
    <t>Avenida</t>
  </si>
  <si>
    <t xml:space="preserve"> Avenida 3</t>
  </si>
  <si>
    <t>S20</t>
  </si>
  <si>
    <t>cantidad de areas a restar</t>
  </si>
  <si>
    <t>total 2</t>
  </si>
  <si>
    <t>S34, S43</t>
  </si>
  <si>
    <t xml:space="preserve">total a restar </t>
  </si>
  <si>
    <t>m3</t>
  </si>
  <si>
    <t>Volumen Cabezal</t>
  </si>
  <si>
    <t>Volumen Colector</t>
  </si>
  <si>
    <t>Total Volumen</t>
  </si>
  <si>
    <t>Avenida 4</t>
  </si>
  <si>
    <t>S28</t>
  </si>
  <si>
    <t>Avenida 5</t>
  </si>
  <si>
    <t>S37</t>
  </si>
  <si>
    <t>S25</t>
  </si>
  <si>
    <t>S17</t>
  </si>
  <si>
    <t xml:space="preserve">TOTAL </t>
  </si>
  <si>
    <t>S46</t>
  </si>
  <si>
    <t>calle 4</t>
  </si>
  <si>
    <t>S24</t>
  </si>
  <si>
    <t>S33</t>
  </si>
  <si>
    <t>S42</t>
  </si>
  <si>
    <t>S51</t>
  </si>
  <si>
    <t>Calle1 sin S8</t>
  </si>
  <si>
    <t>Avenida 6</t>
  </si>
  <si>
    <t>Calle 1A</t>
  </si>
  <si>
    <t xml:space="preserve">CALLE 2 </t>
  </si>
  <si>
    <t xml:space="preserve">Resta </t>
  </si>
  <si>
    <t>calle 2</t>
  </si>
  <si>
    <t>sumatora calle 2</t>
  </si>
  <si>
    <t>Calle 2</t>
  </si>
  <si>
    <t>Boulevard 1.1</t>
  </si>
  <si>
    <t>Bolulevard 1.2</t>
  </si>
  <si>
    <t>Bouleavard</t>
  </si>
  <si>
    <t>Area intermedia boulevard</t>
  </si>
  <si>
    <t>Ara intermedia calle 2</t>
  </si>
  <si>
    <t>total a restar</t>
  </si>
  <si>
    <t>Calle y Boulevard</t>
  </si>
  <si>
    <t>Calle 1</t>
  </si>
  <si>
    <t>Calle 3</t>
  </si>
  <si>
    <t>Bolulevard 1.1</t>
  </si>
  <si>
    <t>Boulevard 1.2</t>
  </si>
  <si>
    <t>Calle 3A</t>
  </si>
  <si>
    <t>Calle 3B</t>
  </si>
  <si>
    <t>Calle 4A</t>
  </si>
  <si>
    <t>Calle 4B</t>
  </si>
  <si>
    <t>Avenida 6A</t>
  </si>
  <si>
    <t>Calle1</t>
  </si>
  <si>
    <t>S8,S17,S25,S34,S43</t>
  </si>
  <si>
    <t>Calle 4</t>
  </si>
  <si>
    <t>S24,S33,S42,S51</t>
  </si>
  <si>
    <t>Resta</t>
  </si>
  <si>
    <t xml:space="preserve">Sumatoria: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</si>
</sst>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/>
    </xf>
    <xf numFmtId="0" fontId="2" fillId="0" borderId="0" xfId="0" applyFont="1"/>
    <xf numFmtId="0" fontId="1" fillId="0" borderId="2" xfId="0" applyFon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Font="1" applyBorder="1"/>
    <xf numFmtId="0" fontId="0" fillId="0" borderId="0" xfId="0" applyBorder="1" applyAlignment="1">
      <alignment horizontal="right"/>
    </xf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2" borderId="0" xfId="0" applyFont="1" applyFill="1"/>
    <xf numFmtId="0" fontId="1" fillId="4" borderId="6" xfId="0" applyFont="1" applyFill="1" applyBorder="1"/>
    <xf numFmtId="0" fontId="1" fillId="4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33F5-46F4-4437-A84B-26CB11D985FD}">
  <dimension ref="B4:O52"/>
  <sheetViews>
    <sheetView tabSelected="1" topLeftCell="A10" zoomScale="83" zoomScaleNormal="83" workbookViewId="0">
      <selection activeCell="E20" sqref="E20"/>
    </sheetView>
  </sheetViews>
  <sheetFormatPr baseColWidth="10" defaultRowHeight="15" x14ac:dyDescent="0.25"/>
  <cols>
    <col min="3" max="3" width="16.85546875" customWidth="1"/>
    <col min="4" max="5" width="27.28515625" customWidth="1"/>
    <col min="7" max="7" width="26.28515625" customWidth="1"/>
    <col min="8" max="8" width="15.28515625" customWidth="1"/>
    <col min="9" max="9" width="21.28515625" customWidth="1"/>
    <col min="10" max="10" width="14.7109375" customWidth="1"/>
    <col min="11" max="11" width="18.42578125" customWidth="1"/>
  </cols>
  <sheetData>
    <row r="4" spans="3:15" ht="15.75" thickBot="1" x14ac:dyDescent="0.3"/>
    <row r="5" spans="3:15" ht="15.75" thickBot="1" x14ac:dyDescent="0.3">
      <c r="D5" s="14" t="s">
        <v>18</v>
      </c>
      <c r="E5" s="15"/>
      <c r="F5" s="16"/>
    </row>
    <row r="6" spans="3:15" ht="18.75" x14ac:dyDescent="0.3">
      <c r="D6" s="24" t="s">
        <v>31</v>
      </c>
      <c r="E6" s="25"/>
      <c r="F6" s="26"/>
      <c r="I6" s="17" t="s">
        <v>29</v>
      </c>
      <c r="J6" s="17"/>
      <c r="K6" t="s">
        <v>30</v>
      </c>
    </row>
    <row r="7" spans="3:15" x14ac:dyDescent="0.25">
      <c r="D7" s="3"/>
      <c r="E7" s="19"/>
      <c r="F7" s="2"/>
    </row>
    <row r="8" spans="3:15" x14ac:dyDescent="0.25">
      <c r="C8" t="s">
        <v>28</v>
      </c>
      <c r="D8" s="3" t="s">
        <v>0</v>
      </c>
      <c r="E8" s="20">
        <v>2048.8130000000001</v>
      </c>
      <c r="F8" s="2"/>
      <c r="I8" t="s">
        <v>28</v>
      </c>
      <c r="J8">
        <v>2049.277</v>
      </c>
    </row>
    <row r="9" spans="3:15" x14ac:dyDescent="0.25">
      <c r="C9" t="s">
        <v>27</v>
      </c>
      <c r="D9" s="3" t="s">
        <v>2</v>
      </c>
      <c r="E9" s="20">
        <v>2022.2919999999999</v>
      </c>
      <c r="F9" s="2"/>
      <c r="I9" t="s">
        <v>25</v>
      </c>
      <c r="J9">
        <v>399.44</v>
      </c>
      <c r="L9" t="s">
        <v>60</v>
      </c>
      <c r="M9" t="s">
        <v>61</v>
      </c>
      <c r="O9">
        <f>SUM(J9+J14+J16+J18+J19)</f>
        <v>1965.7399999999998</v>
      </c>
    </row>
    <row r="10" spans="3:15" x14ac:dyDescent="0.25">
      <c r="C10" t="s">
        <v>24</v>
      </c>
      <c r="D10" s="3" t="s">
        <v>1</v>
      </c>
      <c r="E10" s="20">
        <v>2125.9340000000002</v>
      </c>
      <c r="F10" s="2"/>
      <c r="I10" t="s">
        <v>5</v>
      </c>
      <c r="J10">
        <v>394.56200000000001</v>
      </c>
    </row>
    <row r="11" spans="3:15" x14ac:dyDescent="0.25">
      <c r="C11" t="s">
        <v>42</v>
      </c>
      <c r="D11" s="3" t="s">
        <v>22</v>
      </c>
      <c r="E11" s="20">
        <v>2019.8979999999999</v>
      </c>
      <c r="F11" s="2"/>
      <c r="I11" t="s">
        <v>26</v>
      </c>
      <c r="J11">
        <v>372.05</v>
      </c>
    </row>
    <row r="12" spans="3:15" x14ac:dyDescent="0.25">
      <c r="C12" t="s">
        <v>44</v>
      </c>
      <c r="D12" s="3" t="s">
        <v>3</v>
      </c>
      <c r="E12" s="20">
        <v>2021.078</v>
      </c>
      <c r="F12" s="2"/>
      <c r="I12" t="s">
        <v>27</v>
      </c>
      <c r="J12">
        <v>1959.223</v>
      </c>
      <c r="K12">
        <v>87.64</v>
      </c>
    </row>
    <row r="13" spans="3:15" x14ac:dyDescent="0.25">
      <c r="C13" t="s">
        <v>56</v>
      </c>
      <c r="D13" s="3" t="s">
        <v>21</v>
      </c>
      <c r="E13" s="20">
        <v>1959.425</v>
      </c>
      <c r="F13" s="2"/>
      <c r="I13" t="s">
        <v>32</v>
      </c>
      <c r="J13">
        <v>1530.2650000000001</v>
      </c>
    </row>
    <row r="14" spans="3:15" x14ac:dyDescent="0.25">
      <c r="D14" s="3"/>
      <c r="E14" s="20"/>
      <c r="F14" s="2"/>
      <c r="I14" t="s">
        <v>33</v>
      </c>
      <c r="J14">
        <v>390.80399999999997</v>
      </c>
      <c r="L14" t="s">
        <v>60</v>
      </c>
    </row>
    <row r="15" spans="3:15" ht="18.75" x14ac:dyDescent="0.3">
      <c r="D15" s="23" t="s">
        <v>69</v>
      </c>
      <c r="E15" s="21"/>
      <c r="F15" s="11"/>
      <c r="I15" t="s">
        <v>42</v>
      </c>
      <c r="J15">
        <v>1288.5029999999999</v>
      </c>
    </row>
    <row r="16" spans="3:15" x14ac:dyDescent="0.25">
      <c r="C16" t="s">
        <v>79</v>
      </c>
      <c r="D16" s="3" t="s">
        <v>80</v>
      </c>
      <c r="E16" s="20">
        <f>1763.511+372.05</f>
        <v>2135.5610000000001</v>
      </c>
      <c r="F16" s="2"/>
      <c r="I16" t="s">
        <v>43</v>
      </c>
      <c r="J16">
        <v>390.697</v>
      </c>
      <c r="L16" t="s">
        <v>60</v>
      </c>
    </row>
    <row r="17" spans="2:12" x14ac:dyDescent="0.25">
      <c r="C17" t="s">
        <v>57</v>
      </c>
      <c r="D17" s="3" t="s">
        <v>5</v>
      </c>
      <c r="E17" s="20">
        <v>394.56900000000002</v>
      </c>
      <c r="F17" s="2"/>
      <c r="I17" t="s">
        <v>44</v>
      </c>
      <c r="J17">
        <v>1203.597</v>
      </c>
    </row>
    <row r="18" spans="2:12" x14ac:dyDescent="0.25">
      <c r="B18" t="s">
        <v>83</v>
      </c>
      <c r="C18" t="s">
        <v>62</v>
      </c>
      <c r="D18" s="3" t="s">
        <v>4</v>
      </c>
      <c r="E18" s="20">
        <f>2187.995-E51</f>
        <v>1922.547</v>
      </c>
      <c r="F18" s="2"/>
      <c r="I18" t="s">
        <v>45</v>
      </c>
      <c r="J18">
        <v>393.399</v>
      </c>
      <c r="L18" t="s">
        <v>60</v>
      </c>
    </row>
    <row r="19" spans="2:12" x14ac:dyDescent="0.25">
      <c r="B19" t="s">
        <v>83</v>
      </c>
      <c r="C19" t="s">
        <v>63</v>
      </c>
      <c r="D19" s="3" t="s">
        <v>6</v>
      </c>
      <c r="E19" s="20">
        <f>1523.792-E47</f>
        <v>1347.9079999999999</v>
      </c>
      <c r="F19" s="2"/>
      <c r="I19" t="s">
        <v>49</v>
      </c>
      <c r="J19">
        <v>391.4</v>
      </c>
      <c r="L19" t="s">
        <v>60</v>
      </c>
    </row>
    <row r="20" spans="2:12" x14ac:dyDescent="0.25">
      <c r="B20" t="s">
        <v>59</v>
      </c>
      <c r="C20" t="s">
        <v>64</v>
      </c>
      <c r="D20" s="3" t="s">
        <v>16</v>
      </c>
      <c r="E20" s="20">
        <f>1523.792-E47</f>
        <v>1347.9079999999999</v>
      </c>
      <c r="F20" s="2"/>
    </row>
    <row r="21" spans="2:12" x14ac:dyDescent="0.25">
      <c r="C21" t="s">
        <v>81</v>
      </c>
      <c r="D21" s="18" t="s">
        <v>82</v>
      </c>
      <c r="E21" s="20">
        <v>1584.511</v>
      </c>
      <c r="F21" s="2"/>
    </row>
    <row r="22" spans="2:12" x14ac:dyDescent="0.25">
      <c r="D22" s="3"/>
      <c r="E22" s="20"/>
      <c r="F22" s="2"/>
    </row>
    <row r="23" spans="2:12" ht="15.75" thickBot="1" x14ac:dyDescent="0.3">
      <c r="D23" s="4" t="s">
        <v>17</v>
      </c>
      <c r="E23" s="5">
        <f>SUM(E8:E20)</f>
        <v>19345.932999999997</v>
      </c>
      <c r="F23" s="6" t="s">
        <v>19</v>
      </c>
    </row>
    <row r="25" spans="2:12" ht="15.75" thickBot="1" x14ac:dyDescent="0.3"/>
    <row r="26" spans="2:12" ht="15.75" thickBot="1" x14ac:dyDescent="0.3">
      <c r="D26" s="14" t="s">
        <v>23</v>
      </c>
      <c r="E26" s="15"/>
      <c r="F26" s="16"/>
    </row>
    <row r="27" spans="2:12" x14ac:dyDescent="0.25">
      <c r="D27" s="1"/>
      <c r="E27" s="22"/>
      <c r="F27" s="2"/>
    </row>
    <row r="28" spans="2:12" x14ac:dyDescent="0.25">
      <c r="C28" t="s">
        <v>70</v>
      </c>
      <c r="D28" s="3" t="s">
        <v>7</v>
      </c>
      <c r="E28" s="20">
        <v>837.99099999999999</v>
      </c>
      <c r="F28" s="2"/>
    </row>
    <row r="29" spans="2:12" x14ac:dyDescent="0.25">
      <c r="C29" t="s">
        <v>62</v>
      </c>
      <c r="D29" s="3" t="s">
        <v>8</v>
      </c>
      <c r="E29" s="20">
        <v>854.89499999999998</v>
      </c>
      <c r="F29" s="2"/>
    </row>
    <row r="30" spans="2:12" x14ac:dyDescent="0.25">
      <c r="C30" t="s">
        <v>71</v>
      </c>
      <c r="D30" s="3" t="s">
        <v>9</v>
      </c>
      <c r="E30" s="20">
        <v>876.62</v>
      </c>
      <c r="F30" s="2"/>
    </row>
    <row r="31" spans="2:12" x14ac:dyDescent="0.25">
      <c r="B31" t="s">
        <v>83</v>
      </c>
      <c r="C31" t="s">
        <v>72</v>
      </c>
      <c r="D31" s="3" t="s">
        <v>15</v>
      </c>
      <c r="E31" s="20">
        <f>720.886-E45</f>
        <v>676.91499999999996</v>
      </c>
      <c r="F31" s="2"/>
      <c r="J31" t="s">
        <v>84</v>
      </c>
      <c r="K31" s="27">
        <f>SUM(J8:J29)</f>
        <v>10763.216999999999</v>
      </c>
    </row>
    <row r="32" spans="2:12" x14ac:dyDescent="0.25">
      <c r="B32" t="s">
        <v>83</v>
      </c>
      <c r="C32" t="s">
        <v>73</v>
      </c>
      <c r="D32" s="3" t="s">
        <v>15</v>
      </c>
      <c r="E32" s="20">
        <f>720.886-E45</f>
        <v>676.91499999999996</v>
      </c>
      <c r="F32" s="2"/>
    </row>
    <row r="33" spans="2:6" x14ac:dyDescent="0.25">
      <c r="C33" t="s">
        <v>78</v>
      </c>
      <c r="D33" s="3" t="s">
        <v>10</v>
      </c>
      <c r="E33" s="20">
        <v>1048.296</v>
      </c>
      <c r="F33" s="2"/>
    </row>
    <row r="34" spans="2:6" x14ac:dyDescent="0.25">
      <c r="C34" t="s">
        <v>74</v>
      </c>
      <c r="D34" s="3" t="s">
        <v>12</v>
      </c>
      <c r="E34" s="20">
        <v>423.279</v>
      </c>
      <c r="F34" s="2"/>
    </row>
    <row r="35" spans="2:6" x14ac:dyDescent="0.25">
      <c r="C35" t="s">
        <v>75</v>
      </c>
      <c r="D35" s="3" t="s">
        <v>11</v>
      </c>
      <c r="E35" s="20">
        <v>553.70500000000004</v>
      </c>
      <c r="F35" s="2"/>
    </row>
    <row r="36" spans="2:6" x14ac:dyDescent="0.25">
      <c r="C36" t="s">
        <v>76</v>
      </c>
      <c r="D36" s="3" t="s">
        <v>14</v>
      </c>
      <c r="E36" s="20">
        <v>686.38400000000001</v>
      </c>
      <c r="F36" s="2"/>
    </row>
    <row r="37" spans="2:6" x14ac:dyDescent="0.25">
      <c r="C37" t="s">
        <v>77</v>
      </c>
      <c r="D37" s="3" t="s">
        <v>13</v>
      </c>
      <c r="E37" s="20">
        <v>461.94</v>
      </c>
      <c r="F37" s="2"/>
    </row>
    <row r="38" spans="2:6" x14ac:dyDescent="0.25">
      <c r="D38" s="18"/>
      <c r="E38" s="21"/>
      <c r="F38" s="2"/>
    </row>
    <row r="39" spans="2:6" ht="15.75" thickBot="1" x14ac:dyDescent="0.3">
      <c r="D39" s="4" t="s">
        <v>20</v>
      </c>
      <c r="E39" s="5">
        <f>SUM(E28:E38)</f>
        <v>7096.94</v>
      </c>
      <c r="F39" s="6" t="s">
        <v>19</v>
      </c>
    </row>
    <row r="41" spans="2:6" ht="15.75" thickBot="1" x14ac:dyDescent="0.3"/>
    <row r="42" spans="2:6" ht="15.75" thickBot="1" x14ac:dyDescent="0.3">
      <c r="E42" s="28" t="s">
        <v>48</v>
      </c>
      <c r="F42" s="29">
        <f>SUM(E23,E39)</f>
        <v>26442.872999999996</v>
      </c>
    </row>
    <row r="45" spans="2:6" x14ac:dyDescent="0.25">
      <c r="D45" t="s">
        <v>66</v>
      </c>
      <c r="E45">
        <v>43.970999999999997</v>
      </c>
    </row>
    <row r="46" spans="2:6" x14ac:dyDescent="0.25">
      <c r="D46" t="s">
        <v>34</v>
      </c>
      <c r="E46">
        <v>4</v>
      </c>
    </row>
    <row r="47" spans="2:6" x14ac:dyDescent="0.25">
      <c r="B47" t="s">
        <v>59</v>
      </c>
      <c r="C47" t="s">
        <v>65</v>
      </c>
      <c r="D47" t="s">
        <v>68</v>
      </c>
      <c r="E47" s="7">
        <f>E45*E46</f>
        <v>175.88399999999999</v>
      </c>
    </row>
    <row r="48" spans="2:6" x14ac:dyDescent="0.25">
      <c r="E48" s="7"/>
    </row>
    <row r="49" spans="2:5" x14ac:dyDescent="0.25">
      <c r="D49" t="s">
        <v>67</v>
      </c>
      <c r="E49">
        <v>66.361999999999995</v>
      </c>
    </row>
    <row r="50" spans="2:5" x14ac:dyDescent="0.25">
      <c r="D50" t="s">
        <v>34</v>
      </c>
      <c r="E50">
        <v>4</v>
      </c>
    </row>
    <row r="51" spans="2:5" x14ac:dyDescent="0.25">
      <c r="B51" t="s">
        <v>59</v>
      </c>
      <c r="C51" t="s">
        <v>58</v>
      </c>
      <c r="D51" t="s">
        <v>35</v>
      </c>
      <c r="E51" s="7">
        <f>E49*E50</f>
        <v>265.44799999999998</v>
      </c>
    </row>
    <row r="52" spans="2:5" x14ac:dyDescent="0.25">
      <c r="D52" t="s">
        <v>37</v>
      </c>
      <c r="E52" s="8">
        <f>SUM(E47+E51)</f>
        <v>441.33199999999999</v>
      </c>
    </row>
  </sheetData>
  <mergeCells count="4">
    <mergeCell ref="D5:F5"/>
    <mergeCell ref="D6:F6"/>
    <mergeCell ref="D26:F26"/>
    <mergeCell ref="I6:J6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1883B-1959-43FA-8E0E-9276A04FFB69}">
  <dimension ref="D4:H13"/>
  <sheetViews>
    <sheetView workbookViewId="0">
      <selection activeCell="D4" sqref="D4:H13"/>
    </sheetView>
  </sheetViews>
  <sheetFormatPr baseColWidth="10" defaultRowHeight="15" x14ac:dyDescent="0.25"/>
  <sheetData>
    <row r="4" spans="4:8" x14ac:dyDescent="0.25">
      <c r="D4" s="12" t="s">
        <v>50</v>
      </c>
      <c r="E4" s="13" t="s">
        <v>51</v>
      </c>
      <c r="F4" s="13"/>
      <c r="G4" s="12">
        <v>1584.511</v>
      </c>
    </row>
    <row r="5" spans="4:8" x14ac:dyDescent="0.25">
      <c r="D5" s="12"/>
      <c r="E5" s="13" t="s">
        <v>52</v>
      </c>
      <c r="F5" s="13"/>
      <c r="G5" s="12"/>
    </row>
    <row r="6" spans="4:8" x14ac:dyDescent="0.25">
      <c r="D6" s="12"/>
      <c r="E6" s="13" t="s">
        <v>53</v>
      </c>
      <c r="F6" s="13"/>
      <c r="G6" s="12"/>
    </row>
    <row r="7" spans="4:8" x14ac:dyDescent="0.25">
      <c r="D7" s="12"/>
      <c r="E7" s="13" t="s">
        <v>54</v>
      </c>
      <c r="F7" s="13"/>
      <c r="G7" s="12"/>
    </row>
    <row r="8" spans="4:8" x14ac:dyDescent="0.25">
      <c r="D8" s="12" t="s">
        <v>55</v>
      </c>
      <c r="E8" t="s">
        <v>36</v>
      </c>
      <c r="F8">
        <v>672.08600000000001</v>
      </c>
      <c r="G8" s="12">
        <f>SUM(F8:F12)</f>
        <v>1763.2650000000001</v>
      </c>
    </row>
    <row r="9" spans="4:8" x14ac:dyDescent="0.25">
      <c r="D9" s="12"/>
      <c r="F9">
        <v>30</v>
      </c>
      <c r="G9" s="12"/>
    </row>
    <row r="10" spans="4:8" x14ac:dyDescent="0.25">
      <c r="D10" s="12"/>
      <c r="E10" t="s">
        <v>46</v>
      </c>
      <c r="F10">
        <v>357.58199999999999</v>
      </c>
      <c r="G10" s="12"/>
    </row>
    <row r="11" spans="4:8" x14ac:dyDescent="0.25">
      <c r="D11" s="12"/>
      <c r="F11">
        <v>66.085999999999999</v>
      </c>
      <c r="G11" s="12"/>
    </row>
    <row r="12" spans="4:8" x14ac:dyDescent="0.25">
      <c r="D12" s="12"/>
      <c r="E12" t="s">
        <v>47</v>
      </c>
      <c r="F12">
        <v>637.51099999999997</v>
      </c>
      <c r="G12" s="12"/>
    </row>
    <row r="13" spans="4:8" x14ac:dyDescent="0.25">
      <c r="D13" s="9"/>
      <c r="H13" s="10">
        <f>SUM(Hoja1!F42+G4+G8)</f>
        <v>29790.648999999994</v>
      </c>
    </row>
  </sheetData>
  <mergeCells count="8">
    <mergeCell ref="D4:D7"/>
    <mergeCell ref="G4:G7"/>
    <mergeCell ref="D8:D12"/>
    <mergeCell ref="E4:F4"/>
    <mergeCell ref="E5:F5"/>
    <mergeCell ref="E6:F6"/>
    <mergeCell ref="E7:F7"/>
    <mergeCell ref="G8:G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F434-EE8E-439C-AF2E-F819F7E08BFD}">
  <dimension ref="C4:E6"/>
  <sheetViews>
    <sheetView showGridLines="0" workbookViewId="0">
      <selection activeCell="F14" sqref="F14"/>
    </sheetView>
  </sheetViews>
  <sheetFormatPr baseColWidth="10" defaultRowHeight="15" x14ac:dyDescent="0.25"/>
  <cols>
    <col min="3" max="3" width="38.42578125" customWidth="1"/>
    <col min="4" max="4" width="11.85546875" bestFit="1" customWidth="1"/>
  </cols>
  <sheetData>
    <row r="4" spans="3:5" x14ac:dyDescent="0.25">
      <c r="C4" t="s">
        <v>40</v>
      </c>
      <c r="D4">
        <f>11.3*6</f>
        <v>67.800000000000011</v>
      </c>
    </row>
    <row r="5" spans="3:5" x14ac:dyDescent="0.25">
      <c r="C5" t="s">
        <v>39</v>
      </c>
      <c r="D5">
        <v>39.72</v>
      </c>
    </row>
    <row r="6" spans="3:5" x14ac:dyDescent="0.25">
      <c r="C6" s="7" t="s">
        <v>41</v>
      </c>
      <c r="D6">
        <f>SUM(D4,D5)</f>
        <v>107.52000000000001</v>
      </c>
      <c r="E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Marlon Ivan Carreto Rivera</cp:lastModifiedBy>
  <dcterms:created xsi:type="dcterms:W3CDTF">2025-09-01T18:56:10Z</dcterms:created>
  <dcterms:modified xsi:type="dcterms:W3CDTF">2025-09-04T17:20:13Z</dcterms:modified>
</cp:coreProperties>
</file>