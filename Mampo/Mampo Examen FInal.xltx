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erna\Documents\"/>
    </mc:Choice>
  </mc:AlternateContent>
  <xr:revisionPtr revIDLastSave="0" documentId="13_ncr:1_{CB09EC47-4408-44DA-A325-60A32515A555}" xr6:coauthVersionLast="47" xr6:coauthVersionMax="47" xr10:uidLastSave="{00000000-0000-0000-0000-000000000000}"/>
  <bookViews>
    <workbookView xWindow="-108" yWindow="-108" windowWidth="23256" windowHeight="12456" xr2:uid="{A6E37C7B-8FC4-43BF-9D32-A9EC9CC4783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3" i="1" l="1"/>
  <c r="I113" i="1"/>
  <c r="M111" i="1"/>
  <c r="K111" i="1"/>
  <c r="I111" i="1"/>
  <c r="M109" i="1"/>
  <c r="K109" i="1"/>
  <c r="I109" i="1"/>
  <c r="K107" i="1"/>
  <c r="I107" i="1"/>
  <c r="C130" i="1"/>
  <c r="B118" i="1"/>
  <c r="B113" i="1"/>
  <c r="B107" i="1"/>
  <c r="B111" i="1"/>
  <c r="B109" i="1"/>
  <c r="B103" i="1"/>
  <c r="B99" i="1"/>
  <c r="B97" i="1"/>
  <c r="B90" i="1"/>
  <c r="B88" i="1"/>
  <c r="B84" i="1"/>
  <c r="B82" i="1"/>
  <c r="B74" i="1"/>
  <c r="B72" i="1"/>
  <c r="C15" i="1"/>
  <c r="H17" i="1"/>
</calcChain>
</file>

<file path=xl/sharedStrings.xml><?xml version="1.0" encoding="utf-8"?>
<sst xmlns="http://schemas.openxmlformats.org/spreadsheetml/2006/main" count="151" uniqueCount="130">
  <si>
    <t>Clasificacion de la obra</t>
  </si>
  <si>
    <t>NSE 1-18</t>
  </si>
  <si>
    <t>Categoria ;</t>
  </si>
  <si>
    <t>III</t>
  </si>
  <si>
    <t xml:space="preserve">Obras Importantes </t>
  </si>
  <si>
    <t>Según AGIES</t>
  </si>
  <si>
    <t>Cap</t>
  </si>
  <si>
    <t>3.1.4</t>
  </si>
  <si>
    <t xml:space="preserve">Demandas Estructural y Condiciones de Sitio </t>
  </si>
  <si>
    <t>Carga Muerta</t>
  </si>
  <si>
    <t>Por piso + relleno</t>
  </si>
  <si>
    <t>Peso propio de la losa</t>
  </si>
  <si>
    <t>Nombre del Proyecto: Centro de Salud</t>
  </si>
  <si>
    <t>kg/m2</t>
  </si>
  <si>
    <t>Carga Viva</t>
  </si>
  <si>
    <t>Tablas 3.7.1-1 Cargas Vivas para Edificaciones AGIES NSE 2-18</t>
  </si>
  <si>
    <t>Tipo de Ocupacion o uso</t>
  </si>
  <si>
    <t>Hospitales</t>
  </si>
  <si>
    <t>Pasillos y rampa</t>
  </si>
  <si>
    <t>Clinicas y encaminamientos</t>
  </si>
  <si>
    <t>Servicios medicos y laboratorio</t>
  </si>
  <si>
    <t>Farmacia</t>
  </si>
  <si>
    <t>Escaleras</t>
  </si>
  <si>
    <t>Densidad de concreto</t>
  </si>
  <si>
    <t>kg/m3</t>
  </si>
  <si>
    <t>Espesor de losa</t>
  </si>
  <si>
    <t>m</t>
  </si>
  <si>
    <t>Cafeteria y Cocina</t>
  </si>
  <si>
    <t>Wv (Kg/m2)</t>
  </si>
  <si>
    <t>Aspectos Sismicos</t>
  </si>
  <si>
    <t>Departamento</t>
  </si>
  <si>
    <t>Municipio</t>
  </si>
  <si>
    <t>Quetzaltenango</t>
  </si>
  <si>
    <t>lo:</t>
  </si>
  <si>
    <t>Indice de Sismicidad</t>
  </si>
  <si>
    <t>Según Figura 4.5-1 de AGIES NSE 2 - 18</t>
  </si>
  <si>
    <t>Nivel de Proteccion sismica</t>
  </si>
  <si>
    <t>Tabla 4.2.2-1</t>
  </si>
  <si>
    <t>NPS:</t>
  </si>
  <si>
    <t>D</t>
  </si>
  <si>
    <t>Clasificacion del Sitio</t>
  </si>
  <si>
    <t>Clasificacion del tipo de suelo</t>
  </si>
  <si>
    <t>E</t>
  </si>
  <si>
    <t>Suelo Blando</t>
  </si>
  <si>
    <t>Tabla A-1 AGIES NSE 2-1</t>
  </si>
  <si>
    <t>Sismo para Diseño Estructural</t>
  </si>
  <si>
    <t>Sismo</t>
  </si>
  <si>
    <t>Severo</t>
  </si>
  <si>
    <t>Según AGIES NSE 2-2018 Tabla 4.4.2</t>
  </si>
  <si>
    <t>5% de probabilidad de ser excedido en 50 años</t>
  </si>
  <si>
    <t>Parametros para Diseño</t>
  </si>
  <si>
    <t>Colomba o Quetzaltenango</t>
  </si>
  <si>
    <t>Amenaza sismica para Quetzaltenango</t>
  </si>
  <si>
    <t>Scr:</t>
  </si>
  <si>
    <t>S1r:</t>
  </si>
  <si>
    <t>Tl:</t>
  </si>
  <si>
    <t>Fv:</t>
  </si>
  <si>
    <t>Fa:</t>
  </si>
  <si>
    <t>Tabla A-1</t>
  </si>
  <si>
    <t>NSE2-18</t>
  </si>
  <si>
    <t>Coeficiente de Sitio</t>
  </si>
  <si>
    <t>Tabla 4.5-1</t>
  </si>
  <si>
    <t>Tabla 4.5-2</t>
  </si>
  <si>
    <t>NSE 2-18</t>
  </si>
  <si>
    <t xml:space="preserve">Ajuste por clase de Sitio </t>
  </si>
  <si>
    <t>Scs:</t>
  </si>
  <si>
    <t xml:space="preserve"> S1s:</t>
  </si>
  <si>
    <t>Ecuacion 4.5.2-1</t>
  </si>
  <si>
    <t>Ecuacion 4.5.2-2</t>
  </si>
  <si>
    <t>Ajuste por Intensidad Sismica Especial</t>
  </si>
  <si>
    <t>Na:</t>
  </si>
  <si>
    <t>Nv:</t>
  </si>
  <si>
    <t>S1s:</t>
  </si>
  <si>
    <t>Periodo de Vibracion de Transicion</t>
  </si>
  <si>
    <t>Ts:</t>
  </si>
  <si>
    <t>To:</t>
  </si>
  <si>
    <t>Inicio de la meseta de periodo corto del espectro</t>
  </si>
  <si>
    <t>Ecuacion 4.5.4-1</t>
  </si>
  <si>
    <t>Ecuacion 4.5.4-2</t>
  </si>
  <si>
    <t>Periodo Fundamental</t>
  </si>
  <si>
    <t>Ta:</t>
  </si>
  <si>
    <t>Según AGIES NSE 3-18 Secc 2.1.6</t>
  </si>
  <si>
    <t xml:space="preserve">Probabilidad Nominal de Ocurrencia del sismo de diseño </t>
  </si>
  <si>
    <t>kd:</t>
  </si>
  <si>
    <t xml:space="preserve">Tabla 4.5.5-1 </t>
  </si>
  <si>
    <t>Scd:</t>
  </si>
  <si>
    <t>S1d:</t>
  </si>
  <si>
    <t>Kt:</t>
  </si>
  <si>
    <t>hn:</t>
  </si>
  <si>
    <t>x:</t>
  </si>
  <si>
    <t>Sa(T):</t>
  </si>
  <si>
    <t>Sa(T)</t>
  </si>
  <si>
    <t>Chequea</t>
  </si>
  <si>
    <t>No Chequea</t>
  </si>
  <si>
    <t>Cuando</t>
  </si>
  <si>
    <t>T&lt;To</t>
  </si>
  <si>
    <t>To&lt;T&lt;Ts</t>
  </si>
  <si>
    <t>Ts&lt;T&lt;Tl</t>
  </si>
  <si>
    <t>T≥Tl</t>
  </si>
  <si>
    <t>Aceleracion Maxima del Suelo AMS</t>
  </si>
  <si>
    <t>AMSd:</t>
  </si>
  <si>
    <t>Tipologia Estructural</t>
  </si>
  <si>
    <t>AGIES NSE 3-18 Secc 1.6</t>
  </si>
  <si>
    <t>Sistema Estructural</t>
  </si>
  <si>
    <t>E3</t>
  </si>
  <si>
    <t>Estructura combinada</t>
  </si>
  <si>
    <t>R</t>
  </si>
  <si>
    <t>Cd</t>
  </si>
  <si>
    <t>ΩR</t>
  </si>
  <si>
    <t>E2</t>
  </si>
  <si>
    <t>Mamposteria</t>
  </si>
  <si>
    <t>Cs</t>
  </si>
  <si>
    <t>Cs: 0.30 o 0.33</t>
  </si>
  <si>
    <t>2 o 3 niveles</t>
  </si>
  <si>
    <t>V=Cs*W</t>
  </si>
  <si>
    <t>1.4+3</t>
  </si>
  <si>
    <t>Cimiento + nivel</t>
  </si>
  <si>
    <t>SE AUMENTA EN BASE A LOS NIVELES QUE SE NECESITEN</t>
  </si>
  <si>
    <t>Espectros Genericos Probables</t>
  </si>
  <si>
    <t>4.5.6 NSE 2-18</t>
  </si>
  <si>
    <t>&lt;</t>
  </si>
  <si>
    <t>Periodo inicial</t>
  </si>
  <si>
    <t>No cumple</t>
  </si>
  <si>
    <t>Cumple</t>
  </si>
  <si>
    <t>≥</t>
  </si>
  <si>
    <t>La condicion que cumpla es el valor que tomamos</t>
  </si>
  <si>
    <t>Mamposteria reforzada ductilidad alta</t>
  </si>
  <si>
    <t>Coeficiente Sismico</t>
  </si>
  <si>
    <t>Para 1 nivel.</t>
  </si>
  <si>
    <t>Para mas niveles cambiar 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</si>
</sst>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1" fillId="0" borderId="0" xfId="0" applyFont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C50FC-FA9E-470E-9746-70123B4F0481}">
  <dimension ref="A1:Q133"/>
  <sheetViews>
    <sheetView tabSelected="1" zoomScale="78" workbookViewId="0">
      <selection sqref="A1:G2"/>
    </sheetView>
  </sheetViews>
  <sheetFormatPr baseColWidth="10" defaultRowHeight="14.4" x14ac:dyDescent="0.3"/>
  <sheetData>
    <row r="1" spans="1:9" x14ac:dyDescent="0.3">
      <c r="A1" s="2" t="s">
        <v>12</v>
      </c>
      <c r="B1" s="2"/>
      <c r="C1" s="2"/>
      <c r="D1" s="2"/>
      <c r="E1" s="2"/>
      <c r="F1" s="2"/>
      <c r="G1" s="2"/>
    </row>
    <row r="2" spans="1:9" x14ac:dyDescent="0.3">
      <c r="A2" s="2"/>
      <c r="B2" s="2"/>
      <c r="C2" s="2"/>
      <c r="D2" s="2"/>
      <c r="E2" s="2"/>
      <c r="F2" s="2"/>
      <c r="G2" s="2"/>
    </row>
    <row r="4" spans="1:9" x14ac:dyDescent="0.3">
      <c r="A4" s="3" t="s">
        <v>0</v>
      </c>
      <c r="B4" s="3"/>
      <c r="D4" t="s">
        <v>1</v>
      </c>
    </row>
    <row r="6" spans="1:9" x14ac:dyDescent="0.3">
      <c r="A6" s="4" t="s">
        <v>2</v>
      </c>
      <c r="B6" t="s">
        <v>3</v>
      </c>
      <c r="D6" t="s">
        <v>4</v>
      </c>
      <c r="F6" t="s">
        <v>5</v>
      </c>
      <c r="G6" t="s">
        <v>1</v>
      </c>
    </row>
    <row r="7" spans="1:9" x14ac:dyDescent="0.3">
      <c r="F7" t="s">
        <v>6</v>
      </c>
      <c r="G7" t="s">
        <v>7</v>
      </c>
    </row>
    <row r="10" spans="1:9" x14ac:dyDescent="0.3">
      <c r="A10" s="3" t="s">
        <v>8</v>
      </c>
      <c r="B10" s="3"/>
      <c r="C10" s="3"/>
      <c r="D10" s="3"/>
    </row>
    <row r="12" spans="1:9" x14ac:dyDescent="0.3">
      <c r="A12" s="3" t="s">
        <v>9</v>
      </c>
      <c r="B12" s="3"/>
    </row>
    <row r="14" spans="1:9" x14ac:dyDescent="0.3">
      <c r="A14" t="s">
        <v>10</v>
      </c>
      <c r="C14">
        <v>150</v>
      </c>
      <c r="D14" t="s">
        <v>13</v>
      </c>
    </row>
    <row r="15" spans="1:9" x14ac:dyDescent="0.3">
      <c r="A15" t="s">
        <v>11</v>
      </c>
      <c r="C15">
        <f>H17</f>
        <v>288</v>
      </c>
      <c r="D15" t="s">
        <v>13</v>
      </c>
      <c r="F15" t="s">
        <v>23</v>
      </c>
      <c r="H15">
        <v>2400</v>
      </c>
      <c r="I15" t="s">
        <v>24</v>
      </c>
    </row>
    <row r="16" spans="1:9" x14ac:dyDescent="0.3">
      <c r="F16" t="s">
        <v>25</v>
      </c>
      <c r="H16">
        <v>0.12</v>
      </c>
      <c r="I16" t="s">
        <v>26</v>
      </c>
    </row>
    <row r="17" spans="1:9" x14ac:dyDescent="0.3">
      <c r="H17">
        <f>H15*H16</f>
        <v>288</v>
      </c>
      <c r="I17" t="s">
        <v>13</v>
      </c>
    </row>
    <row r="18" spans="1:9" x14ac:dyDescent="0.3">
      <c r="A18" s="3" t="s">
        <v>14</v>
      </c>
      <c r="B18" s="3"/>
    </row>
    <row r="20" spans="1:9" x14ac:dyDescent="0.3">
      <c r="A20" t="s">
        <v>15</v>
      </c>
    </row>
    <row r="22" spans="1:9" x14ac:dyDescent="0.3">
      <c r="A22" s="6" t="s">
        <v>16</v>
      </c>
      <c r="B22" s="6"/>
      <c r="C22" s="6"/>
      <c r="D22" s="7" t="s">
        <v>28</v>
      </c>
    </row>
    <row r="23" spans="1:9" x14ac:dyDescent="0.3">
      <c r="A23" s="8" t="s">
        <v>17</v>
      </c>
      <c r="B23" s="8"/>
      <c r="C23" s="8"/>
      <c r="D23" s="9"/>
    </row>
    <row r="24" spans="1:9" x14ac:dyDescent="0.3">
      <c r="A24" s="8" t="s">
        <v>18</v>
      </c>
      <c r="B24" s="8"/>
      <c r="C24" s="8"/>
      <c r="D24" s="9">
        <v>500</v>
      </c>
    </row>
    <row r="25" spans="1:9" x14ac:dyDescent="0.3">
      <c r="A25" s="8" t="s">
        <v>19</v>
      </c>
      <c r="B25" s="8"/>
      <c r="C25" s="8"/>
      <c r="D25" s="9">
        <v>250</v>
      </c>
    </row>
    <row r="26" spans="1:9" x14ac:dyDescent="0.3">
      <c r="A26" s="8" t="s">
        <v>20</v>
      </c>
      <c r="B26" s="8"/>
      <c r="C26" s="8"/>
      <c r="D26" s="9">
        <v>350</v>
      </c>
    </row>
    <row r="27" spans="1:9" x14ac:dyDescent="0.3">
      <c r="A27" s="8" t="s">
        <v>21</v>
      </c>
      <c r="B27" s="8"/>
      <c r="C27" s="8"/>
      <c r="D27" s="9">
        <v>500</v>
      </c>
    </row>
    <row r="28" spans="1:9" x14ac:dyDescent="0.3">
      <c r="A28" s="8" t="s">
        <v>22</v>
      </c>
      <c r="B28" s="8"/>
      <c r="C28" s="8"/>
      <c r="D28" s="9">
        <v>500</v>
      </c>
    </row>
    <row r="29" spans="1:9" x14ac:dyDescent="0.3">
      <c r="A29" s="8" t="s">
        <v>27</v>
      </c>
      <c r="B29" s="8"/>
      <c r="C29" s="8"/>
      <c r="D29" s="9">
        <v>500</v>
      </c>
    </row>
    <row r="32" spans="1:9" x14ac:dyDescent="0.3">
      <c r="A32" s="3" t="s">
        <v>29</v>
      </c>
      <c r="B32" s="3"/>
      <c r="C32" s="3"/>
    </row>
    <row r="34" spans="1:5" x14ac:dyDescent="0.3">
      <c r="A34" s="10" t="s">
        <v>30</v>
      </c>
      <c r="B34" s="10"/>
      <c r="C34" t="s">
        <v>32</v>
      </c>
    </row>
    <row r="35" spans="1:5" x14ac:dyDescent="0.3">
      <c r="A35" s="10" t="s">
        <v>31</v>
      </c>
      <c r="B35" s="10"/>
      <c r="C35" t="s">
        <v>51</v>
      </c>
    </row>
    <row r="37" spans="1:5" x14ac:dyDescent="0.3">
      <c r="A37" t="s">
        <v>33</v>
      </c>
      <c r="B37" s="12">
        <v>4.0999999999999996</v>
      </c>
      <c r="D37" t="s">
        <v>34</v>
      </c>
    </row>
    <row r="38" spans="1:5" x14ac:dyDescent="0.3">
      <c r="D38" t="s">
        <v>35</v>
      </c>
    </row>
    <row r="39" spans="1:5" x14ac:dyDescent="0.3">
      <c r="A39" t="s">
        <v>38</v>
      </c>
      <c r="B39" s="12" t="s">
        <v>39</v>
      </c>
      <c r="D39" t="s">
        <v>36</v>
      </c>
    </row>
    <row r="40" spans="1:5" x14ac:dyDescent="0.3">
      <c r="D40" t="s">
        <v>37</v>
      </c>
    </row>
    <row r="43" spans="1:5" x14ac:dyDescent="0.3">
      <c r="A43" s="3" t="s">
        <v>40</v>
      </c>
      <c r="B43" s="3"/>
      <c r="C43" s="3"/>
    </row>
    <row r="45" spans="1:5" x14ac:dyDescent="0.3">
      <c r="A45" s="10" t="s">
        <v>41</v>
      </c>
      <c r="B45" s="10"/>
      <c r="C45" s="10"/>
      <c r="E45" t="s">
        <v>44</v>
      </c>
    </row>
    <row r="47" spans="1:5" x14ac:dyDescent="0.3">
      <c r="B47" s="12" t="s">
        <v>42</v>
      </c>
      <c r="C47" t="s">
        <v>43</v>
      </c>
    </row>
    <row r="49" spans="1:7" x14ac:dyDescent="0.3">
      <c r="A49" s="3" t="s">
        <v>45</v>
      </c>
      <c r="B49" s="3"/>
      <c r="C49" s="3"/>
    </row>
    <row r="51" spans="1:7" x14ac:dyDescent="0.3">
      <c r="A51" s="5" t="s">
        <v>46</v>
      </c>
      <c r="B51" t="s">
        <v>47</v>
      </c>
      <c r="D51" t="s">
        <v>48</v>
      </c>
    </row>
    <row r="53" spans="1:7" x14ac:dyDescent="0.3">
      <c r="B53" s="13" t="s">
        <v>49</v>
      </c>
      <c r="C53" s="13"/>
      <c r="D53" s="13"/>
      <c r="E53" s="13"/>
    </row>
    <row r="55" spans="1:7" x14ac:dyDescent="0.3">
      <c r="A55" s="3" t="s">
        <v>50</v>
      </c>
      <c r="B55" s="3"/>
      <c r="C55" s="3"/>
    </row>
    <row r="57" spans="1:7" x14ac:dyDescent="0.3">
      <c r="A57" s="1" t="s">
        <v>52</v>
      </c>
      <c r="B57" s="1"/>
      <c r="C57" s="1"/>
      <c r="F57" t="s">
        <v>58</v>
      </c>
      <c r="G57" t="s">
        <v>59</v>
      </c>
    </row>
    <row r="59" spans="1:7" x14ac:dyDescent="0.3">
      <c r="A59" t="s">
        <v>53</v>
      </c>
      <c r="B59">
        <v>1.46</v>
      </c>
    </row>
    <row r="61" spans="1:7" x14ac:dyDescent="0.3">
      <c r="A61" t="s">
        <v>54</v>
      </c>
      <c r="B61">
        <v>1.39</v>
      </c>
    </row>
    <row r="63" spans="1:7" x14ac:dyDescent="0.3">
      <c r="A63" t="s">
        <v>55</v>
      </c>
      <c r="B63">
        <v>3.9</v>
      </c>
    </row>
    <row r="65" spans="1:9" x14ac:dyDescent="0.3">
      <c r="A65" t="s">
        <v>57</v>
      </c>
      <c r="B65">
        <v>1</v>
      </c>
      <c r="F65" t="s">
        <v>60</v>
      </c>
      <c r="H65" t="s">
        <v>61</v>
      </c>
      <c r="I65" t="s">
        <v>63</v>
      </c>
    </row>
    <row r="67" spans="1:9" x14ac:dyDescent="0.3">
      <c r="A67" t="s">
        <v>56</v>
      </c>
      <c r="B67">
        <v>1</v>
      </c>
      <c r="F67" t="s">
        <v>60</v>
      </c>
      <c r="H67" t="s">
        <v>62</v>
      </c>
      <c r="I67" t="s">
        <v>63</v>
      </c>
    </row>
    <row r="70" spans="1:9" x14ac:dyDescent="0.3">
      <c r="A70" s="3" t="s">
        <v>64</v>
      </c>
      <c r="B70" s="3"/>
      <c r="C70" s="3"/>
    </row>
    <row r="72" spans="1:9" x14ac:dyDescent="0.3">
      <c r="A72" t="s">
        <v>65</v>
      </c>
      <c r="B72">
        <f>B59*B65</f>
        <v>1.46</v>
      </c>
      <c r="E72" t="s">
        <v>67</v>
      </c>
    </row>
    <row r="74" spans="1:9" x14ac:dyDescent="0.3">
      <c r="A74" t="s">
        <v>66</v>
      </c>
      <c r="B74">
        <f>B61*B67</f>
        <v>1.39</v>
      </c>
      <c r="E74" t="s">
        <v>68</v>
      </c>
    </row>
    <row r="77" spans="1:9" x14ac:dyDescent="0.3">
      <c r="A77" s="3" t="s">
        <v>69</v>
      </c>
      <c r="B77" s="3"/>
      <c r="C77" s="3"/>
    </row>
    <row r="79" spans="1:9" x14ac:dyDescent="0.3">
      <c r="A79" t="s">
        <v>70</v>
      </c>
      <c r="B79">
        <v>1</v>
      </c>
    </row>
    <row r="80" spans="1:9" x14ac:dyDescent="0.3">
      <c r="A80" t="s">
        <v>71</v>
      </c>
      <c r="B80">
        <v>1</v>
      </c>
    </row>
    <row r="82" spans="1:6" x14ac:dyDescent="0.3">
      <c r="A82" t="s">
        <v>65</v>
      </c>
      <c r="B82">
        <f>B59*B65*B79</f>
        <v>1.46</v>
      </c>
    </row>
    <row r="84" spans="1:6" x14ac:dyDescent="0.3">
      <c r="A84" t="s">
        <v>72</v>
      </c>
      <c r="B84">
        <f>B61*B67*B80</f>
        <v>1.39</v>
      </c>
    </row>
    <row r="86" spans="1:6" x14ac:dyDescent="0.3">
      <c r="A86" s="3" t="s">
        <v>73</v>
      </c>
      <c r="B86" s="3"/>
      <c r="C86" s="3"/>
    </row>
    <row r="88" spans="1:6" x14ac:dyDescent="0.3">
      <c r="A88" t="s">
        <v>74</v>
      </c>
      <c r="B88">
        <f>B84/B82</f>
        <v>0.95205479452054786</v>
      </c>
      <c r="D88" t="s">
        <v>77</v>
      </c>
    </row>
    <row r="90" spans="1:6" x14ac:dyDescent="0.3">
      <c r="A90" t="s">
        <v>75</v>
      </c>
      <c r="B90">
        <f>0.2*B88</f>
        <v>0.19041095890410958</v>
      </c>
      <c r="D90" t="s">
        <v>78</v>
      </c>
    </row>
    <row r="91" spans="1:6" x14ac:dyDescent="0.3">
      <c r="D91" t="s">
        <v>76</v>
      </c>
    </row>
    <row r="93" spans="1:6" x14ac:dyDescent="0.3">
      <c r="A93" s="3" t="s">
        <v>82</v>
      </c>
      <c r="B93" s="3"/>
      <c r="C93" s="3"/>
      <c r="D93" s="3"/>
      <c r="E93" s="3"/>
    </row>
    <row r="95" spans="1:6" x14ac:dyDescent="0.3">
      <c r="A95" t="s">
        <v>83</v>
      </c>
      <c r="B95">
        <v>0.8</v>
      </c>
      <c r="D95" t="s">
        <v>84</v>
      </c>
      <c r="F95" t="s">
        <v>63</v>
      </c>
    </row>
    <row r="97" spans="1:17" x14ac:dyDescent="0.3">
      <c r="A97" t="s">
        <v>85</v>
      </c>
      <c r="B97">
        <f>B95*B82</f>
        <v>1.1679999999999999</v>
      </c>
    </row>
    <row r="99" spans="1:17" x14ac:dyDescent="0.3">
      <c r="A99" t="s">
        <v>86</v>
      </c>
      <c r="B99">
        <f>B95*B84</f>
        <v>1.1119999999999999</v>
      </c>
    </row>
    <row r="101" spans="1:17" x14ac:dyDescent="0.3">
      <c r="A101" s="3" t="s">
        <v>79</v>
      </c>
      <c r="B101" s="3"/>
      <c r="C101" s="3"/>
      <c r="E101" t="s">
        <v>81</v>
      </c>
    </row>
    <row r="103" spans="1:17" x14ac:dyDescent="0.3">
      <c r="A103" t="s">
        <v>80</v>
      </c>
      <c r="B103" s="11">
        <f>F103*(F104)^F105</f>
        <v>0.14886259567539961</v>
      </c>
      <c r="E103" t="s">
        <v>87</v>
      </c>
      <c r="F103">
        <v>4.9000000000000002E-2</v>
      </c>
    </row>
    <row r="104" spans="1:17" x14ac:dyDescent="0.3">
      <c r="E104" t="s">
        <v>88</v>
      </c>
      <c r="F104">
        <v>4.4000000000000004</v>
      </c>
      <c r="G104" t="s">
        <v>26</v>
      </c>
      <c r="H104" t="s">
        <v>115</v>
      </c>
    </row>
    <row r="105" spans="1:17" x14ac:dyDescent="0.3">
      <c r="E105" t="s">
        <v>89</v>
      </c>
      <c r="F105">
        <v>0.75</v>
      </c>
      <c r="H105" t="s">
        <v>116</v>
      </c>
      <c r="J105" t="s">
        <v>117</v>
      </c>
    </row>
    <row r="106" spans="1:17" x14ac:dyDescent="0.3">
      <c r="A106" s="3" t="s">
        <v>118</v>
      </c>
      <c r="B106" s="3"/>
      <c r="C106" s="3"/>
      <c r="E106" t="s">
        <v>119</v>
      </c>
    </row>
    <row r="107" spans="1:17" x14ac:dyDescent="0.3">
      <c r="A107" t="s">
        <v>90</v>
      </c>
      <c r="B107">
        <f>B97*(0.4+0.6*(B103/B90))</f>
        <v>1.0150828931367166</v>
      </c>
      <c r="D107" s="11" t="s">
        <v>92</v>
      </c>
      <c r="F107" t="s">
        <v>94</v>
      </c>
      <c r="G107" t="s">
        <v>95</v>
      </c>
      <c r="I107">
        <f>B103</f>
        <v>0.14886259567539961</v>
      </c>
      <c r="J107" t="s">
        <v>120</v>
      </c>
      <c r="K107">
        <f>B90</f>
        <v>0.19041095890410958</v>
      </c>
      <c r="O107" t="s">
        <v>123</v>
      </c>
    </row>
    <row r="108" spans="1:17" x14ac:dyDescent="0.3">
      <c r="K108" t="s">
        <v>121</v>
      </c>
    </row>
    <row r="109" spans="1:17" x14ac:dyDescent="0.3">
      <c r="A109" t="s">
        <v>90</v>
      </c>
      <c r="B109">
        <f>B97</f>
        <v>1.1679999999999999</v>
      </c>
      <c r="D109" t="s">
        <v>93</v>
      </c>
      <c r="F109" t="s">
        <v>94</v>
      </c>
      <c r="G109" t="s">
        <v>96</v>
      </c>
      <c r="I109">
        <f>B90</f>
        <v>0.19041095890410958</v>
      </c>
      <c r="J109" t="s">
        <v>120</v>
      </c>
      <c r="K109">
        <f>B103</f>
        <v>0.14886259567539961</v>
      </c>
      <c r="L109" t="s">
        <v>120</v>
      </c>
      <c r="M109">
        <f>B88</f>
        <v>0.95205479452054786</v>
      </c>
      <c r="O109" t="s">
        <v>122</v>
      </c>
      <c r="Q109" t="s">
        <v>125</v>
      </c>
    </row>
    <row r="111" spans="1:17" x14ac:dyDescent="0.3">
      <c r="A111" t="s">
        <v>91</v>
      </c>
      <c r="B111">
        <f>B99/B103</f>
        <v>7.4699758858481609</v>
      </c>
      <c r="D111" t="s">
        <v>93</v>
      </c>
      <c r="F111" t="s">
        <v>94</v>
      </c>
      <c r="G111" t="s">
        <v>97</v>
      </c>
      <c r="I111">
        <f>M109</f>
        <v>0.95205479452054786</v>
      </c>
      <c r="J111" t="s">
        <v>120</v>
      </c>
      <c r="K111">
        <f>B103</f>
        <v>0.14886259567539961</v>
      </c>
      <c r="L111" t="s">
        <v>120</v>
      </c>
      <c r="M111">
        <f>B63</f>
        <v>3.9</v>
      </c>
      <c r="O111" t="s">
        <v>122</v>
      </c>
    </row>
    <row r="113" spans="1:15" x14ac:dyDescent="0.3">
      <c r="A113" t="s">
        <v>91</v>
      </c>
      <c r="B113">
        <f>(B99/(B103)^2)*B63</f>
        <v>195.70333180494319</v>
      </c>
      <c r="D113" t="s">
        <v>93</v>
      </c>
      <c r="F113" t="s">
        <v>94</v>
      </c>
      <c r="G113" t="s">
        <v>98</v>
      </c>
      <c r="I113">
        <f>B103</f>
        <v>0.14886259567539961</v>
      </c>
      <c r="J113" t="s">
        <v>124</v>
      </c>
      <c r="K113">
        <f>B63</f>
        <v>3.9</v>
      </c>
      <c r="O113" t="s">
        <v>122</v>
      </c>
    </row>
    <row r="116" spans="1:15" x14ac:dyDescent="0.3">
      <c r="A116" s="3" t="s">
        <v>99</v>
      </c>
      <c r="B116" s="3"/>
      <c r="C116" s="3"/>
    </row>
    <row r="118" spans="1:15" x14ac:dyDescent="0.3">
      <c r="A118" t="s">
        <v>100</v>
      </c>
      <c r="B118">
        <f>0.4*B97</f>
        <v>0.4672</v>
      </c>
    </row>
    <row r="121" spans="1:15" x14ac:dyDescent="0.3">
      <c r="A121" s="3" t="s">
        <v>101</v>
      </c>
      <c r="B121" s="3"/>
      <c r="E121" t="s">
        <v>102</v>
      </c>
    </row>
    <row r="123" spans="1:15" x14ac:dyDescent="0.3">
      <c r="A123" s="3" t="s">
        <v>103</v>
      </c>
      <c r="B123" s="3"/>
      <c r="C123" t="s">
        <v>104</v>
      </c>
      <c r="D123" t="s">
        <v>105</v>
      </c>
      <c r="G123" s="11" t="s">
        <v>109</v>
      </c>
      <c r="H123" s="11" t="s">
        <v>110</v>
      </c>
    </row>
    <row r="125" spans="1:15" x14ac:dyDescent="0.3">
      <c r="A125" t="s">
        <v>106</v>
      </c>
      <c r="B125">
        <v>4</v>
      </c>
    </row>
    <row r="126" spans="1:15" x14ac:dyDescent="0.3">
      <c r="A126" s="14" t="s">
        <v>108</v>
      </c>
      <c r="B126">
        <v>3</v>
      </c>
    </row>
    <row r="127" spans="1:15" x14ac:dyDescent="0.3">
      <c r="A127" t="s">
        <v>107</v>
      </c>
      <c r="B127">
        <v>3.5</v>
      </c>
      <c r="F127" t="s">
        <v>112</v>
      </c>
      <c r="H127" t="s">
        <v>113</v>
      </c>
    </row>
    <row r="128" spans="1:15" x14ac:dyDescent="0.3">
      <c r="B128" t="s">
        <v>126</v>
      </c>
    </row>
    <row r="130" spans="2:5" x14ac:dyDescent="0.3">
      <c r="B130" s="11" t="s">
        <v>111</v>
      </c>
      <c r="C130" s="11">
        <f>B107/B125</f>
        <v>0.25377072328417916</v>
      </c>
      <c r="E130" t="s">
        <v>128</v>
      </c>
    </row>
    <row r="131" spans="2:5" x14ac:dyDescent="0.3">
      <c r="B131" s="13" t="s">
        <v>127</v>
      </c>
      <c r="C131" s="13"/>
      <c r="E131" t="s">
        <v>129</v>
      </c>
    </row>
    <row r="133" spans="2:5" x14ac:dyDescent="0.3">
      <c r="B133" t="s">
        <v>114</v>
      </c>
    </row>
  </sheetData>
  <mergeCells count="32">
    <mergeCell ref="B131:C131"/>
    <mergeCell ref="A116:C116"/>
    <mergeCell ref="A93:E93"/>
    <mergeCell ref="A86:C86"/>
    <mergeCell ref="A121:B121"/>
    <mergeCell ref="A123:B123"/>
    <mergeCell ref="A106:C106"/>
    <mergeCell ref="B53:E53"/>
    <mergeCell ref="A55:C55"/>
    <mergeCell ref="A57:C57"/>
    <mergeCell ref="A70:C70"/>
    <mergeCell ref="A77:C77"/>
    <mergeCell ref="A101:C101"/>
    <mergeCell ref="A23:C23"/>
    <mergeCell ref="A43:C43"/>
    <mergeCell ref="A49:C49"/>
    <mergeCell ref="A32:C32"/>
    <mergeCell ref="A45:C45"/>
    <mergeCell ref="A35:B35"/>
    <mergeCell ref="A34:B34"/>
    <mergeCell ref="A29:C29"/>
    <mergeCell ref="A28:C28"/>
    <mergeCell ref="A27:C27"/>
    <mergeCell ref="A26:C26"/>
    <mergeCell ref="A25:C25"/>
    <mergeCell ref="A24:C24"/>
    <mergeCell ref="A1:G2"/>
    <mergeCell ref="A4:B4"/>
    <mergeCell ref="A10:D10"/>
    <mergeCell ref="A12:B12"/>
    <mergeCell ref="A18:B18"/>
    <mergeCell ref="A22:C22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Ralac</dc:creator>
  <cp:lastModifiedBy>Fernando Ralac</cp:lastModifiedBy>
  <dcterms:created xsi:type="dcterms:W3CDTF">2025-05-01T18:12:36Z</dcterms:created>
  <dcterms:modified xsi:type="dcterms:W3CDTF">2025-05-04T18:58:52Z</dcterms:modified>
</cp:coreProperties>
</file>