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PRACTICAS DOCENCIA\LABORATORIO MB1\"/>
    </mc:Choice>
  </mc:AlternateContent>
  <xr:revisionPtr revIDLastSave="0" documentId="13_ncr:1_{F1B7D340-19E9-45FF-8C24-DC55DE8AA623}" xr6:coauthVersionLast="47" xr6:coauthVersionMax="47" xr10:uidLastSave="{00000000-0000-0000-0000-000000000000}"/>
  <bookViews>
    <workbookView xWindow="-110" yWindow="-110" windowWidth="19420" windowHeight="10420" xr2:uid="{216D72DB-3E43-40E3-97A0-65E401DEA9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4" i="1" l="1"/>
  <c r="S16" i="1"/>
  <c r="S18" i="1"/>
  <c r="S21" i="1"/>
  <c r="S23" i="1"/>
  <c r="S26" i="1"/>
  <c r="S30" i="1"/>
  <c r="S33" i="1"/>
  <c r="S35" i="1"/>
  <c r="S38" i="1"/>
  <c r="S42" i="1"/>
  <c r="S45" i="1"/>
  <c r="S47" i="1"/>
  <c r="S50" i="1"/>
  <c r="S54" i="1"/>
  <c r="S57" i="1"/>
  <c r="S59" i="1"/>
  <c r="S62" i="1"/>
  <c r="S66" i="1"/>
  <c r="S69" i="1"/>
  <c r="S71" i="1"/>
  <c r="S74" i="1"/>
  <c r="S78" i="1"/>
  <c r="S81" i="1"/>
  <c r="S83" i="1"/>
  <c r="R12" i="1"/>
  <c r="S12" i="1" s="1"/>
  <c r="S13" i="1"/>
  <c r="S15" i="1"/>
  <c r="S17" i="1"/>
  <c r="S19" i="1"/>
  <c r="S20" i="1"/>
  <c r="S22" i="1"/>
  <c r="S24" i="1"/>
  <c r="S25" i="1"/>
  <c r="S27" i="1"/>
  <c r="S28" i="1"/>
  <c r="S29" i="1"/>
  <c r="S31" i="1"/>
  <c r="S32" i="1"/>
  <c r="S34" i="1"/>
  <c r="S36" i="1"/>
  <c r="S37" i="1"/>
  <c r="S39" i="1"/>
  <c r="S40" i="1"/>
  <c r="S41" i="1"/>
  <c r="S43" i="1"/>
  <c r="S44" i="1"/>
  <c r="S46" i="1"/>
  <c r="S48" i="1"/>
  <c r="S49" i="1"/>
  <c r="S51" i="1"/>
  <c r="S52" i="1"/>
  <c r="S53" i="1"/>
  <c r="S55" i="1"/>
  <c r="S56" i="1"/>
  <c r="S58" i="1"/>
  <c r="S60" i="1"/>
  <c r="S61" i="1"/>
  <c r="S63" i="1"/>
  <c r="S64" i="1"/>
  <c r="S65" i="1"/>
  <c r="S67" i="1"/>
  <c r="S68" i="1"/>
  <c r="S70" i="1"/>
  <c r="S72" i="1"/>
  <c r="S73" i="1"/>
  <c r="S75" i="1"/>
  <c r="S76" i="1"/>
  <c r="S77" i="1"/>
  <c r="S79" i="1"/>
  <c r="S80" i="1"/>
  <c r="S82" i="1"/>
  <c r="S84" i="1"/>
  <c r="R10" i="1"/>
</calcChain>
</file>

<file path=xl/sharedStrings.xml><?xml version="1.0" encoding="utf-8"?>
<sst xmlns="http://schemas.openxmlformats.org/spreadsheetml/2006/main" count="120" uniqueCount="118">
  <si>
    <t>HT Ingeniero  (29/07/2025)</t>
  </si>
  <si>
    <t>HT Ingeniero   (1/08/2025)</t>
  </si>
  <si>
    <t>HT Ingeniero  (13/08/2025)</t>
  </si>
  <si>
    <t>HT Ingeniero  (29/08/2025)</t>
  </si>
  <si>
    <t>Geometria y ecuaciones (12/08/2025)</t>
  </si>
  <si>
    <t>Evaluar Funciones (19/08/2025)</t>
  </si>
  <si>
    <t>Dominio Funciones (28/08/2025)</t>
  </si>
  <si>
    <t>Investigacion T. Polinomios (2/09/2025)</t>
  </si>
  <si>
    <t>Graficas   (2/09/2025)</t>
  </si>
  <si>
    <t>Representación Polinomios (11/09/2025)</t>
  </si>
  <si>
    <t>Division de Polinomios (23/09/2025)</t>
  </si>
  <si>
    <t>Funciones Racionales, Asintotas (9/10/2025)</t>
  </si>
  <si>
    <t>Funciones Exp, N, Log      (16/10/2025)</t>
  </si>
  <si>
    <t>Proyecto Final      (23/10/2025)</t>
  </si>
  <si>
    <t>NOTAS FINALES</t>
  </si>
  <si>
    <t>Puntaje asignado por actividad</t>
  </si>
  <si>
    <t>No.</t>
  </si>
  <si>
    <t>Registro</t>
  </si>
  <si>
    <t>Nombres</t>
  </si>
  <si>
    <t>HT1</t>
  </si>
  <si>
    <t xml:space="preserve">HT2 </t>
  </si>
  <si>
    <t xml:space="preserve">HT3 </t>
  </si>
  <si>
    <t xml:space="preserve">HT4  </t>
  </si>
  <si>
    <t>HT2</t>
  </si>
  <si>
    <t>HT 3</t>
  </si>
  <si>
    <t>HT4</t>
  </si>
  <si>
    <t xml:space="preserve">TAREA </t>
  </si>
  <si>
    <t xml:space="preserve">HT5 </t>
  </si>
  <si>
    <t xml:space="preserve">HT6 </t>
  </si>
  <si>
    <t>HT7</t>
  </si>
  <si>
    <t>HT8</t>
  </si>
  <si>
    <t>PF</t>
  </si>
  <si>
    <t>NTF</t>
  </si>
  <si>
    <t>Pérez Aráuz Bily Bilsen Américo</t>
  </si>
  <si>
    <t>Macario Xicara Daniel Enrique</t>
  </si>
  <si>
    <t>Gomez Miranda Ronald Eliu</t>
  </si>
  <si>
    <t>Sum Agustin Cristian Yair</t>
  </si>
  <si>
    <t>Norato Batz Gabriel Alexander</t>
  </si>
  <si>
    <t>Orozco Bautista Cristian Emanuel</t>
  </si>
  <si>
    <t>Juárez Pinzón Yheshua Hermany</t>
  </si>
  <si>
    <t>Poncio Chávez Kevin José Moisés</t>
  </si>
  <si>
    <t>Maldonado Ramírez Leandry Analisse</t>
  </si>
  <si>
    <t>López Pereira Marcos Gadiel</t>
  </si>
  <si>
    <t>Osorio Alvarez Lesther Noel</t>
  </si>
  <si>
    <t>Ventura Ramón Allan Bacilio Guadalupe</t>
  </si>
  <si>
    <t>Gómez Gómez Flor De María</t>
  </si>
  <si>
    <t>Sacalxot Fuentes Ricardo Josué</t>
  </si>
  <si>
    <t>Baquiax Hernández Jackelin Vanessa</t>
  </si>
  <si>
    <t>Colaj Aguilar Juan Carlos</t>
  </si>
  <si>
    <t>De Leon De Leon Wilder Jose Manuel</t>
  </si>
  <si>
    <t>Gabriel Tziquín Francisco Miguel</t>
  </si>
  <si>
    <t>Romero Méndez Hanier Elien</t>
  </si>
  <si>
    <t>García Hernández José Miguel</t>
  </si>
  <si>
    <t>Lem Vicente Kabawil Jose Victor</t>
  </si>
  <si>
    <t>Pérez Güinac Allan Alfonso</t>
  </si>
  <si>
    <t>Caxaj Pérez Monica Silvana</t>
  </si>
  <si>
    <t>Laynez Sanchez Domingo Williams Witt</t>
  </si>
  <si>
    <t>González Agustin Brandon Geovany</t>
  </si>
  <si>
    <t>Estrada Orozco Luis Alessandro</t>
  </si>
  <si>
    <t>Sut Canil Fátima Guadalupe</t>
  </si>
  <si>
    <t>Maldonado Alvarez Willy André</t>
  </si>
  <si>
    <t>Hilario Ixcaticoy David Francisco</t>
  </si>
  <si>
    <t>García Méndez Rubén</t>
  </si>
  <si>
    <t>Lopez Coyoy Daniel Alexander</t>
  </si>
  <si>
    <t>Hernandez Flores Maria De Los Angeles</t>
  </si>
  <si>
    <t>Ramírez Lorenzo Bécket Wenceslao</t>
  </si>
  <si>
    <t>Cux Son Josseline Paola</t>
  </si>
  <si>
    <t>Us Ochoa Emily Paola</t>
  </si>
  <si>
    <t>Montiel Pérez Fulvio Alfredo</t>
  </si>
  <si>
    <t>Aguilar Herrera Kevin Misael</t>
  </si>
  <si>
    <t>Robles Barán Christian Fernando</t>
  </si>
  <si>
    <t>Lopez Rodriguez Marvin Josue</t>
  </si>
  <si>
    <t>Matul Figueroa Estefani Abigail</t>
  </si>
  <si>
    <t>Xiquin Yoxón Fernando David</t>
  </si>
  <si>
    <t>Caxaj Tale Jeremy Roman</t>
  </si>
  <si>
    <t>Say Tax Mario Francisco David</t>
  </si>
  <si>
    <t>Sac Ajxup Joel Isaac</t>
  </si>
  <si>
    <t>Sacalxot Escobar Manuel</t>
  </si>
  <si>
    <t>Poron Quiacain Emman Didier Nicolas</t>
  </si>
  <si>
    <t>Chojolan Macario Heydi Maritza</t>
  </si>
  <si>
    <t>Yancor Ocana Maria Fernanda</t>
  </si>
  <si>
    <t>Salanic Garcia Bryan Rocael</t>
  </si>
  <si>
    <t>Vasquez Peneleu Estuardo Rafael</t>
  </si>
  <si>
    <t>Campollo Garcia Juan Rodrigo</t>
  </si>
  <si>
    <t>Perez Choxom Lidia Alejandra</t>
  </si>
  <si>
    <t>Xivir Xivir Alex Felipe</t>
  </si>
  <si>
    <t>Ramos Cholotio Juan Antonio</t>
  </si>
  <si>
    <t>Fuentes Perez Nelfin Ulises</t>
  </si>
  <si>
    <t>Cac Tzoc Obed Absalon</t>
  </si>
  <si>
    <t>Ramirez García Astrid Alejandra</t>
  </si>
  <si>
    <t>Tistoj Quixtan Daniel Alejandro</t>
  </si>
  <si>
    <t>Copp Elías Esteban Fernando</t>
  </si>
  <si>
    <t>Macario López Débora Marian</t>
  </si>
  <si>
    <t>Lux Xulá Anthony Smaylin</t>
  </si>
  <si>
    <t>Zapeta Pur Angel Herson Jose</t>
  </si>
  <si>
    <t>Garcia Mendez Michael Anderson</t>
  </si>
  <si>
    <t>Juárez González Wilmer Ronaél</t>
  </si>
  <si>
    <t>Recinos Maldonado Jerry Francisco</t>
  </si>
  <si>
    <t>Rodríguez Carreto Brenda Michelle</t>
  </si>
  <si>
    <t>Bach Camaja Ilsi Juanita Magdalena</t>
  </si>
  <si>
    <t>Pelicó Alvarez Astrid Yohana</t>
  </si>
  <si>
    <t>Coyoy Lucas Edgar Inocente Isaac</t>
  </si>
  <si>
    <t>Pastor Cajchum Billy Bequer</t>
  </si>
  <si>
    <t>Jiménez Gómez Angel Daniel Dominique</t>
  </si>
  <si>
    <t xml:space="preserve">José Alexander López Cantoral </t>
  </si>
  <si>
    <t xml:space="preserve">Fredi Horlando Cotom Pérez </t>
  </si>
  <si>
    <t>Universidad de San Carlos de Guatemala</t>
  </si>
  <si>
    <t>Centro Universitario de Occidente</t>
  </si>
  <si>
    <t>División de Ciencias de la Ingeniería</t>
  </si>
  <si>
    <t>Segundo Semestre 2025</t>
  </si>
  <si>
    <t>Laboratorio de Matemática Básica 1</t>
  </si>
  <si>
    <t>Sección B</t>
  </si>
  <si>
    <t>Ing. Erick Adolfo Coti Sac</t>
  </si>
  <si>
    <t>Estado</t>
  </si>
  <si>
    <t>Marlon Ivan Carreto Rivera, Carnet 201230088</t>
  </si>
  <si>
    <t>Auxiliar de Laboratorio</t>
  </si>
  <si>
    <t>Aux. Marlon Ivan Carreto Rivera, Carnet 201230088</t>
  </si>
  <si>
    <t xml:space="preserve">Docente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</si>
</sst>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3" xfId="0" applyFont="1" applyBorder="1"/>
    <xf numFmtId="0" fontId="3" fillId="0" borderId="4" xfId="0" applyFont="1" applyBorder="1"/>
    <xf numFmtId="0" fontId="3" fillId="0" borderId="12" xfId="0" applyFont="1" applyBorder="1"/>
    <xf numFmtId="0" fontId="3" fillId="0" borderId="3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3" fillId="0" borderId="5" xfId="0" applyFont="1" applyBorder="1" applyAlignment="1">
      <alignment horizontal="center" vertical="center" textRotation="90" wrapText="1"/>
    </xf>
    <xf numFmtId="2" fontId="3" fillId="0" borderId="13" xfId="0" applyNumberFormat="1" applyFont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6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1" xfId="0" applyFont="1" applyBorder="1"/>
    <xf numFmtId="0" fontId="4" fillId="0" borderId="2" xfId="0" applyFont="1" applyBorder="1"/>
    <xf numFmtId="0" fontId="4" fillId="0" borderId="7" xfId="0" applyFont="1" applyBorder="1"/>
    <xf numFmtId="2" fontId="3" fillId="0" borderId="11" xfId="0" applyNumberFormat="1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5" xfId="0" applyFont="1" applyBorder="1"/>
    <xf numFmtId="0" fontId="4" fillId="0" borderId="10" xfId="0" applyFont="1" applyBorder="1"/>
    <xf numFmtId="2" fontId="3" fillId="0" borderId="16" xfId="0" applyNumberFormat="1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2" fontId="3" fillId="0" borderId="0" xfId="0" applyNumberFormat="1" applyFont="1"/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2" fontId="4" fillId="0" borderId="0" xfId="0" applyNumberFormat="1" applyFont="1"/>
    <xf numFmtId="2" fontId="3" fillId="0" borderId="5" xfId="0" applyNumberFormat="1" applyFont="1" applyBorder="1" applyAlignment="1">
      <alignment horizontal="center" vertical="center" textRotation="90" wrapText="1"/>
    </xf>
    <xf numFmtId="2" fontId="3" fillId="0" borderId="7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/>
    </xf>
    <xf numFmtId="2" fontId="4" fillId="0" borderId="7" xfId="0" applyNumberFormat="1" applyFont="1" applyBorder="1"/>
    <xf numFmtId="2" fontId="4" fillId="0" borderId="10" xfId="0" applyNumberFormat="1" applyFont="1" applyBorder="1"/>
    <xf numFmtId="2" fontId="1" fillId="0" borderId="0" xfId="0" applyNumberFormat="1" applyFont="1"/>
    <xf numFmtId="0" fontId="4" fillId="0" borderId="0" xfId="0" applyFont="1" applyBorder="1"/>
    <xf numFmtId="0" fontId="4" fillId="0" borderId="19" xfId="0" applyFont="1" applyBorder="1"/>
  </cellXfs>
  <cellStyles count="1">
    <cellStyle name="Normal" xfId="0" builtinId="0"/>
  </cellStyles>
  <dxfs count="1">
    <dxf>
      <font>
        <b/>
        <i val="0"/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D279-3AFA-45ED-84C3-2947D86AA7A9}">
  <dimension ref="A1:V99"/>
  <sheetViews>
    <sheetView tabSelected="1" zoomScale="115" zoomScaleNormal="115" workbookViewId="0">
      <selection activeCell="I9" sqref="I9"/>
    </sheetView>
  </sheetViews>
  <sheetFormatPr baseColWidth="10" defaultRowHeight="10.5" x14ac:dyDescent="0.25"/>
  <cols>
    <col min="1" max="1" width="4.90625" style="1" customWidth="1"/>
    <col min="2" max="2" width="8.26953125" style="1" customWidth="1"/>
    <col min="3" max="3" width="30.1796875" style="1" customWidth="1"/>
    <col min="4" max="6" width="4.6328125" style="1" customWidth="1"/>
    <col min="7" max="7" width="4.6328125" style="56" customWidth="1"/>
    <col min="8" max="11" width="4.7265625" style="1" customWidth="1"/>
    <col min="12" max="16" width="5.453125" style="1" customWidth="1"/>
    <col min="17" max="17" width="4.1796875" style="1" customWidth="1"/>
    <col min="18" max="18" width="5.90625" style="2" customWidth="1"/>
    <col min="19" max="19" width="11.26953125" style="1" customWidth="1"/>
    <col min="20" max="16384" width="10.90625" style="1"/>
  </cols>
  <sheetData>
    <row r="1" spans="1:22" x14ac:dyDescent="0.25">
      <c r="A1" s="38" t="s">
        <v>106</v>
      </c>
      <c r="B1" s="39"/>
      <c r="C1" s="40"/>
      <c r="D1" s="40"/>
      <c r="E1" s="40"/>
      <c r="F1" s="40"/>
      <c r="G1" s="50"/>
      <c r="H1" s="40"/>
      <c r="I1" s="40"/>
      <c r="J1" s="40"/>
      <c r="K1" s="40"/>
      <c r="L1" s="40"/>
      <c r="M1" s="40"/>
      <c r="N1" s="40"/>
      <c r="O1" s="40"/>
      <c r="P1" s="40"/>
      <c r="Q1" s="40"/>
      <c r="R1" s="41"/>
      <c r="S1" s="40"/>
    </row>
    <row r="2" spans="1:22" x14ac:dyDescent="0.25">
      <c r="A2" s="38" t="s">
        <v>107</v>
      </c>
      <c r="B2" s="39"/>
      <c r="C2" s="40"/>
      <c r="D2" s="40"/>
      <c r="E2" s="40"/>
      <c r="F2" s="40"/>
      <c r="G2" s="50"/>
      <c r="H2" s="40"/>
      <c r="I2" s="40"/>
      <c r="J2" s="40"/>
      <c r="K2" s="40"/>
      <c r="L2" s="40"/>
      <c r="M2" s="40"/>
      <c r="N2" s="40"/>
      <c r="O2" s="40"/>
      <c r="P2" s="40"/>
      <c r="Q2" s="40"/>
      <c r="R2" s="41"/>
      <c r="S2" s="40"/>
    </row>
    <row r="3" spans="1:22" x14ac:dyDescent="0.25">
      <c r="A3" s="38" t="s">
        <v>108</v>
      </c>
      <c r="B3" s="39"/>
      <c r="C3" s="40"/>
      <c r="D3" s="40"/>
      <c r="E3" s="40"/>
      <c r="F3" s="40"/>
      <c r="G3" s="50"/>
      <c r="H3" s="40"/>
      <c r="I3" s="40"/>
      <c r="J3" s="40"/>
      <c r="K3" s="40"/>
      <c r="L3" s="40"/>
      <c r="M3" s="40"/>
      <c r="N3" s="40"/>
      <c r="O3" s="40"/>
      <c r="P3" s="40"/>
      <c r="Q3" s="40"/>
      <c r="R3" s="41"/>
      <c r="S3" s="40"/>
    </row>
    <row r="4" spans="1:22" x14ac:dyDescent="0.25">
      <c r="A4" s="38" t="s">
        <v>109</v>
      </c>
      <c r="B4" s="39"/>
      <c r="C4" s="40"/>
      <c r="D4" s="40"/>
      <c r="E4" s="40"/>
      <c r="F4" s="40"/>
      <c r="G4" s="50"/>
      <c r="H4" s="40"/>
      <c r="I4" s="40"/>
      <c r="J4" s="40"/>
      <c r="K4" s="40"/>
      <c r="L4" s="40"/>
      <c r="M4" s="40"/>
      <c r="N4" s="40"/>
      <c r="O4" s="40"/>
      <c r="P4" s="40"/>
      <c r="Q4" s="40"/>
      <c r="R4" s="41"/>
      <c r="S4" s="40"/>
    </row>
    <row r="5" spans="1:22" ht="11" thickBot="1" x14ac:dyDescent="0.3">
      <c r="A5" s="38" t="s">
        <v>110</v>
      </c>
      <c r="B5" s="39"/>
      <c r="C5" s="40"/>
      <c r="D5" s="49"/>
      <c r="E5" s="49"/>
      <c r="F5" s="49"/>
      <c r="G5" s="49"/>
      <c r="H5" s="49"/>
      <c r="I5" s="40"/>
      <c r="J5" s="40"/>
      <c r="K5" s="57"/>
      <c r="L5" s="58"/>
      <c r="M5" s="58"/>
      <c r="N5" s="58"/>
      <c r="O5" s="58"/>
      <c r="P5" s="58"/>
      <c r="Q5" s="57"/>
      <c r="R5" s="41"/>
      <c r="S5" s="40"/>
    </row>
    <row r="6" spans="1:22" x14ac:dyDescent="0.25">
      <c r="A6" s="38" t="s">
        <v>111</v>
      </c>
      <c r="B6" s="39"/>
      <c r="C6" s="40"/>
      <c r="D6" s="47"/>
      <c r="E6" s="47"/>
      <c r="F6" s="48" t="s">
        <v>112</v>
      </c>
      <c r="G6" s="41"/>
      <c r="H6" s="47"/>
      <c r="I6" s="40"/>
      <c r="J6" s="40"/>
      <c r="K6" s="47"/>
      <c r="L6" s="47"/>
      <c r="M6" s="47"/>
      <c r="N6" s="48" t="s">
        <v>114</v>
      </c>
      <c r="O6" s="47"/>
      <c r="P6" s="47"/>
      <c r="Q6" s="47"/>
      <c r="R6" s="41"/>
      <c r="S6" s="40"/>
    </row>
    <row r="7" spans="1:22" x14ac:dyDescent="0.25">
      <c r="A7" s="38" t="s">
        <v>112</v>
      </c>
      <c r="B7" s="39"/>
      <c r="C7" s="40"/>
      <c r="D7" s="47"/>
      <c r="E7" s="47"/>
      <c r="F7" s="48" t="s">
        <v>117</v>
      </c>
      <c r="G7" s="41"/>
      <c r="H7" s="47"/>
      <c r="I7" s="40"/>
      <c r="J7" s="40"/>
      <c r="K7" s="47"/>
      <c r="L7" s="47"/>
      <c r="M7" s="47"/>
      <c r="N7" s="48" t="s">
        <v>115</v>
      </c>
      <c r="O7" s="47"/>
      <c r="P7" s="47"/>
      <c r="Q7" s="47"/>
      <c r="R7" s="41"/>
      <c r="S7" s="40"/>
    </row>
    <row r="8" spans="1:22" ht="11" thickBot="1" x14ac:dyDescent="0.3">
      <c r="A8" s="38" t="s">
        <v>116</v>
      </c>
      <c r="B8" s="39"/>
      <c r="C8" s="40"/>
      <c r="D8" s="40"/>
      <c r="E8" s="40"/>
      <c r="F8" s="40"/>
      <c r="G8" s="50"/>
      <c r="H8" s="40"/>
      <c r="I8" s="40"/>
      <c r="J8" s="40"/>
      <c r="K8" s="40"/>
      <c r="L8" s="40"/>
      <c r="M8" s="40"/>
      <c r="N8" s="40"/>
      <c r="O8" s="40"/>
      <c r="P8" s="40"/>
      <c r="Q8" s="40"/>
      <c r="R8" s="41"/>
      <c r="S8" s="40"/>
    </row>
    <row r="9" spans="1:22" s="12" customFormat="1" ht="130.5" customHeight="1" thickTop="1" x14ac:dyDescent="0.25">
      <c r="A9" s="3"/>
      <c r="B9" s="4"/>
      <c r="C9" s="5"/>
      <c r="D9" s="6" t="s">
        <v>0</v>
      </c>
      <c r="E9" s="7" t="s">
        <v>1</v>
      </c>
      <c r="F9" s="7" t="s">
        <v>2</v>
      </c>
      <c r="G9" s="51" t="s">
        <v>3</v>
      </c>
      <c r="H9" s="6" t="s">
        <v>4</v>
      </c>
      <c r="I9" s="7" t="s">
        <v>5</v>
      </c>
      <c r="J9" s="7" t="s">
        <v>6</v>
      </c>
      <c r="K9" s="7" t="s">
        <v>7</v>
      </c>
      <c r="L9" s="7" t="s">
        <v>8</v>
      </c>
      <c r="M9" s="7" t="s">
        <v>9</v>
      </c>
      <c r="N9" s="7" t="s">
        <v>10</v>
      </c>
      <c r="O9" s="7" t="s">
        <v>11</v>
      </c>
      <c r="P9" s="7" t="s">
        <v>12</v>
      </c>
      <c r="Q9" s="8" t="s">
        <v>13</v>
      </c>
      <c r="R9" s="9" t="s">
        <v>14</v>
      </c>
      <c r="S9" s="42" t="s">
        <v>113</v>
      </c>
      <c r="T9" s="10"/>
      <c r="U9" s="11"/>
      <c r="V9" s="11"/>
    </row>
    <row r="10" spans="1:22" s="20" customFormat="1" x14ac:dyDescent="0.35">
      <c r="A10" s="13"/>
      <c r="B10" s="14"/>
      <c r="C10" s="15" t="s">
        <v>15</v>
      </c>
      <c r="D10" s="16">
        <v>0.5</v>
      </c>
      <c r="E10" s="17">
        <v>0.5</v>
      </c>
      <c r="F10" s="17">
        <v>0.5</v>
      </c>
      <c r="G10" s="52">
        <v>0.5</v>
      </c>
      <c r="H10" s="16">
        <v>1</v>
      </c>
      <c r="I10" s="17">
        <v>1</v>
      </c>
      <c r="J10" s="17">
        <v>1</v>
      </c>
      <c r="K10" s="17">
        <v>1.5</v>
      </c>
      <c r="L10" s="17">
        <v>2</v>
      </c>
      <c r="M10" s="17">
        <v>2</v>
      </c>
      <c r="N10" s="17">
        <v>2</v>
      </c>
      <c r="O10" s="17">
        <v>1</v>
      </c>
      <c r="P10" s="17">
        <v>1.5</v>
      </c>
      <c r="Q10" s="18">
        <v>5</v>
      </c>
      <c r="R10" s="19">
        <f>SUM(D10:Q10)</f>
        <v>20</v>
      </c>
      <c r="S10" s="43"/>
    </row>
    <row r="11" spans="1:22" s="12" customFormat="1" x14ac:dyDescent="0.25">
      <c r="A11" s="21" t="s">
        <v>16</v>
      </c>
      <c r="B11" s="22" t="s">
        <v>17</v>
      </c>
      <c r="C11" s="23" t="s">
        <v>18</v>
      </c>
      <c r="D11" s="24" t="s">
        <v>19</v>
      </c>
      <c r="E11" s="25" t="s">
        <v>20</v>
      </c>
      <c r="F11" s="25" t="s">
        <v>21</v>
      </c>
      <c r="G11" s="53" t="s">
        <v>22</v>
      </c>
      <c r="H11" s="24" t="s">
        <v>19</v>
      </c>
      <c r="I11" s="25" t="s">
        <v>23</v>
      </c>
      <c r="J11" s="25" t="s">
        <v>24</v>
      </c>
      <c r="K11" s="25" t="s">
        <v>25</v>
      </c>
      <c r="L11" s="25" t="s">
        <v>26</v>
      </c>
      <c r="M11" s="25" t="s">
        <v>27</v>
      </c>
      <c r="N11" s="25" t="s">
        <v>28</v>
      </c>
      <c r="O11" s="25" t="s">
        <v>29</v>
      </c>
      <c r="P11" s="25" t="s">
        <v>30</v>
      </c>
      <c r="Q11" s="26" t="s">
        <v>31</v>
      </c>
      <c r="R11" s="27" t="s">
        <v>32</v>
      </c>
      <c r="S11" s="43"/>
    </row>
    <row r="12" spans="1:22" x14ac:dyDescent="0.25">
      <c r="A12" s="28">
        <v>1</v>
      </c>
      <c r="B12" s="29">
        <v>202030174</v>
      </c>
      <c r="C12" s="30" t="s">
        <v>33</v>
      </c>
      <c r="D12" s="28">
        <v>0</v>
      </c>
      <c r="E12" s="29">
        <v>0</v>
      </c>
      <c r="F12" s="29">
        <v>0.25</v>
      </c>
      <c r="G12" s="54">
        <v>0</v>
      </c>
      <c r="H12" s="28">
        <v>0</v>
      </c>
      <c r="I12" s="29">
        <v>0</v>
      </c>
      <c r="J12" s="29">
        <v>0</v>
      </c>
      <c r="K12" s="29">
        <v>1.5</v>
      </c>
      <c r="L12" s="29">
        <v>0</v>
      </c>
      <c r="M12" s="29">
        <v>0</v>
      </c>
      <c r="N12" s="29">
        <v>2</v>
      </c>
      <c r="O12" s="29">
        <v>0</v>
      </c>
      <c r="P12" s="29">
        <v>0</v>
      </c>
      <c r="Q12" s="31">
        <v>0</v>
      </c>
      <c r="R12" s="32">
        <f>SUM(D12:Q12)</f>
        <v>3.75</v>
      </c>
      <c r="S12" s="44" t="str">
        <f>IF(R12&lt;12,"No aprobado","Aprobado")</f>
        <v>No aprobado</v>
      </c>
    </row>
    <row r="13" spans="1:22" x14ac:dyDescent="0.25">
      <c r="A13" s="28">
        <v>2</v>
      </c>
      <c r="B13" s="29">
        <v>202032032</v>
      </c>
      <c r="C13" s="30" t="s">
        <v>34</v>
      </c>
      <c r="D13" s="28">
        <v>0.5</v>
      </c>
      <c r="E13" s="29">
        <v>0</v>
      </c>
      <c r="F13" s="29">
        <v>0.25</v>
      </c>
      <c r="G13" s="54">
        <v>0.5</v>
      </c>
      <c r="H13" s="28">
        <v>1</v>
      </c>
      <c r="I13" s="29">
        <v>1</v>
      </c>
      <c r="J13" s="29">
        <v>1</v>
      </c>
      <c r="K13" s="29">
        <v>1.5</v>
      </c>
      <c r="L13" s="29">
        <v>1.6</v>
      </c>
      <c r="M13" s="29">
        <v>2</v>
      </c>
      <c r="N13" s="29">
        <v>2</v>
      </c>
      <c r="O13" s="29">
        <v>1</v>
      </c>
      <c r="P13" s="29">
        <v>1.5</v>
      </c>
      <c r="Q13" s="31">
        <v>5</v>
      </c>
      <c r="R13" s="32">
        <v>18.850000000000001</v>
      </c>
      <c r="S13" s="44" t="str">
        <f t="shared" ref="S13:S76" si="0">IF(R13&lt;12,"No aprobado","Aprobado")</f>
        <v>Aprobado</v>
      </c>
    </row>
    <row r="14" spans="1:22" x14ac:dyDescent="0.25">
      <c r="A14" s="28">
        <v>3</v>
      </c>
      <c r="B14" s="29">
        <v>202231116</v>
      </c>
      <c r="C14" s="30" t="s">
        <v>35</v>
      </c>
      <c r="D14" s="28">
        <v>0.5</v>
      </c>
      <c r="E14" s="29">
        <v>0</v>
      </c>
      <c r="F14" s="29">
        <v>0.5</v>
      </c>
      <c r="G14" s="54">
        <v>0</v>
      </c>
      <c r="H14" s="28">
        <v>0.85</v>
      </c>
      <c r="I14" s="29">
        <v>1</v>
      </c>
      <c r="J14" s="29">
        <v>1</v>
      </c>
      <c r="K14" s="29">
        <v>1.5</v>
      </c>
      <c r="L14" s="29">
        <v>1.4</v>
      </c>
      <c r="M14" s="29">
        <v>0</v>
      </c>
      <c r="N14" s="29">
        <v>1.7</v>
      </c>
      <c r="O14" s="29">
        <v>0.8</v>
      </c>
      <c r="P14" s="29">
        <v>0</v>
      </c>
      <c r="Q14" s="31">
        <v>5</v>
      </c>
      <c r="R14" s="32">
        <v>14.25</v>
      </c>
      <c r="S14" s="44" t="str">
        <f t="shared" si="0"/>
        <v>Aprobado</v>
      </c>
    </row>
    <row r="15" spans="1:22" x14ac:dyDescent="0.25">
      <c r="A15" s="28">
        <v>4</v>
      </c>
      <c r="B15" s="29">
        <v>202330276</v>
      </c>
      <c r="C15" s="30" t="s">
        <v>36</v>
      </c>
      <c r="D15" s="28">
        <v>0</v>
      </c>
      <c r="E15" s="29">
        <v>0</v>
      </c>
      <c r="F15" s="29">
        <v>0</v>
      </c>
      <c r="G15" s="54">
        <v>0</v>
      </c>
      <c r="H15" s="28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31">
        <v>0</v>
      </c>
      <c r="R15" s="32">
        <v>0</v>
      </c>
      <c r="S15" s="44" t="str">
        <f t="shared" si="0"/>
        <v>No aprobado</v>
      </c>
    </row>
    <row r="16" spans="1:22" x14ac:dyDescent="0.25">
      <c r="A16" s="28">
        <v>5</v>
      </c>
      <c r="B16" s="29">
        <v>202331587</v>
      </c>
      <c r="C16" s="30" t="s">
        <v>37</v>
      </c>
      <c r="D16" s="28">
        <v>0</v>
      </c>
      <c r="E16" s="29">
        <v>0</v>
      </c>
      <c r="F16" s="29">
        <v>0.5</v>
      </c>
      <c r="G16" s="54">
        <v>0.45</v>
      </c>
      <c r="H16" s="28">
        <v>0</v>
      </c>
      <c r="I16" s="29">
        <v>0.5</v>
      </c>
      <c r="J16" s="29">
        <v>0.9</v>
      </c>
      <c r="K16" s="29">
        <v>1.2000000000000002</v>
      </c>
      <c r="L16" s="29">
        <v>1.5</v>
      </c>
      <c r="M16" s="29">
        <v>1.7</v>
      </c>
      <c r="N16" s="29">
        <v>0</v>
      </c>
      <c r="O16" s="29">
        <v>1</v>
      </c>
      <c r="P16" s="29">
        <v>1.5</v>
      </c>
      <c r="Q16" s="31">
        <v>5</v>
      </c>
      <c r="R16" s="32">
        <v>14.25</v>
      </c>
      <c r="S16" s="44" t="str">
        <f t="shared" si="0"/>
        <v>Aprobado</v>
      </c>
    </row>
    <row r="17" spans="1:19" x14ac:dyDescent="0.25">
      <c r="A17" s="28">
        <v>6</v>
      </c>
      <c r="B17" s="29">
        <v>202332049</v>
      </c>
      <c r="C17" s="30" t="s">
        <v>38</v>
      </c>
      <c r="D17" s="28">
        <v>0</v>
      </c>
      <c r="E17" s="29">
        <v>0</v>
      </c>
      <c r="F17" s="29">
        <v>0</v>
      </c>
      <c r="G17" s="54">
        <v>0</v>
      </c>
      <c r="H17" s="28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31">
        <v>0</v>
      </c>
      <c r="R17" s="32">
        <v>0</v>
      </c>
      <c r="S17" s="44" t="str">
        <f t="shared" si="0"/>
        <v>No aprobado</v>
      </c>
    </row>
    <row r="18" spans="1:19" x14ac:dyDescent="0.25">
      <c r="A18" s="28">
        <v>7</v>
      </c>
      <c r="B18" s="29">
        <v>202402553</v>
      </c>
      <c r="C18" s="30" t="s">
        <v>39</v>
      </c>
      <c r="D18" s="28">
        <v>0.5</v>
      </c>
      <c r="E18" s="29">
        <v>0</v>
      </c>
      <c r="F18" s="29">
        <v>0.5</v>
      </c>
      <c r="G18" s="54">
        <v>0.45</v>
      </c>
      <c r="H18" s="28">
        <v>0.6</v>
      </c>
      <c r="I18" s="29">
        <v>0</v>
      </c>
      <c r="J18" s="29">
        <v>1</v>
      </c>
      <c r="K18" s="29">
        <v>1.5</v>
      </c>
      <c r="L18" s="29">
        <v>1</v>
      </c>
      <c r="M18" s="29">
        <v>0</v>
      </c>
      <c r="N18" s="29">
        <v>1.3</v>
      </c>
      <c r="O18" s="29">
        <v>0.8</v>
      </c>
      <c r="P18" s="29">
        <v>1.5</v>
      </c>
      <c r="Q18" s="31">
        <v>0</v>
      </c>
      <c r="R18" s="32">
        <v>9.1499999999999986</v>
      </c>
      <c r="S18" s="44" t="str">
        <f t="shared" si="0"/>
        <v>No aprobado</v>
      </c>
    </row>
    <row r="19" spans="1:19" x14ac:dyDescent="0.25">
      <c r="A19" s="28">
        <v>8</v>
      </c>
      <c r="B19" s="29">
        <v>202430271</v>
      </c>
      <c r="C19" s="30" t="s">
        <v>40</v>
      </c>
      <c r="D19" s="28">
        <v>0</v>
      </c>
      <c r="E19" s="29">
        <v>0.5</v>
      </c>
      <c r="F19" s="29">
        <v>0</v>
      </c>
      <c r="G19" s="54">
        <v>0</v>
      </c>
      <c r="H19" s="28">
        <v>1</v>
      </c>
      <c r="I19" s="29">
        <v>1</v>
      </c>
      <c r="J19" s="29">
        <v>0</v>
      </c>
      <c r="K19" s="29">
        <v>0</v>
      </c>
      <c r="L19" s="29">
        <v>0</v>
      </c>
      <c r="M19" s="29">
        <v>0</v>
      </c>
      <c r="N19" s="29">
        <v>1.4</v>
      </c>
      <c r="O19" s="29">
        <v>0.8</v>
      </c>
      <c r="P19" s="29">
        <v>0</v>
      </c>
      <c r="Q19" s="31">
        <v>5</v>
      </c>
      <c r="R19" s="32">
        <v>9.6999999999999993</v>
      </c>
      <c r="S19" s="44" t="str">
        <f t="shared" si="0"/>
        <v>No aprobado</v>
      </c>
    </row>
    <row r="20" spans="1:19" x14ac:dyDescent="0.25">
      <c r="A20" s="28">
        <v>9</v>
      </c>
      <c r="B20" s="29">
        <v>202430532</v>
      </c>
      <c r="C20" s="30" t="s">
        <v>41</v>
      </c>
      <c r="D20" s="28">
        <v>0.5</v>
      </c>
      <c r="E20" s="29">
        <v>0</v>
      </c>
      <c r="F20" s="29">
        <v>0.5</v>
      </c>
      <c r="G20" s="54">
        <v>0.5</v>
      </c>
      <c r="H20" s="28">
        <v>1</v>
      </c>
      <c r="I20" s="29">
        <v>1</v>
      </c>
      <c r="J20" s="29">
        <v>1</v>
      </c>
      <c r="K20" s="29">
        <v>1.5</v>
      </c>
      <c r="L20" s="29">
        <v>2</v>
      </c>
      <c r="M20" s="29">
        <v>1.3</v>
      </c>
      <c r="N20" s="29">
        <v>1.6</v>
      </c>
      <c r="O20" s="29">
        <v>1</v>
      </c>
      <c r="P20" s="29">
        <v>1.5</v>
      </c>
      <c r="Q20" s="31">
        <v>5</v>
      </c>
      <c r="R20" s="32">
        <v>18.399999999999999</v>
      </c>
      <c r="S20" s="44" t="str">
        <f t="shared" si="0"/>
        <v>Aprobado</v>
      </c>
    </row>
    <row r="21" spans="1:19" x14ac:dyDescent="0.25">
      <c r="A21" s="28">
        <v>10</v>
      </c>
      <c r="B21" s="29">
        <v>202430589</v>
      </c>
      <c r="C21" s="30" t="s">
        <v>42</v>
      </c>
      <c r="D21" s="28">
        <v>0</v>
      </c>
      <c r="E21" s="29">
        <v>0</v>
      </c>
      <c r="F21" s="29">
        <v>0</v>
      </c>
      <c r="G21" s="54">
        <v>0.5</v>
      </c>
      <c r="H21" s="28">
        <v>0.75</v>
      </c>
      <c r="I21" s="29">
        <v>0.9</v>
      </c>
      <c r="J21" s="29">
        <v>1</v>
      </c>
      <c r="K21" s="29">
        <v>1.2000000000000002</v>
      </c>
      <c r="L21" s="29">
        <v>1.4</v>
      </c>
      <c r="M21" s="29">
        <v>0</v>
      </c>
      <c r="N21" s="29">
        <v>0</v>
      </c>
      <c r="O21" s="29">
        <v>0</v>
      </c>
      <c r="P21" s="29">
        <v>0</v>
      </c>
      <c r="Q21" s="31">
        <v>5</v>
      </c>
      <c r="R21" s="32">
        <v>10.75</v>
      </c>
      <c r="S21" s="44" t="str">
        <f t="shared" si="0"/>
        <v>No aprobado</v>
      </c>
    </row>
    <row r="22" spans="1:19" x14ac:dyDescent="0.25">
      <c r="A22" s="28">
        <v>11</v>
      </c>
      <c r="B22" s="29">
        <v>202430602</v>
      </c>
      <c r="C22" s="30" t="s">
        <v>43</v>
      </c>
      <c r="D22" s="28">
        <v>0</v>
      </c>
      <c r="E22" s="29">
        <v>0</v>
      </c>
      <c r="F22" s="29">
        <v>0.5</v>
      </c>
      <c r="G22" s="54">
        <v>0</v>
      </c>
      <c r="H22" s="28">
        <v>0.6</v>
      </c>
      <c r="I22" s="29">
        <v>0</v>
      </c>
      <c r="J22" s="29">
        <v>0.9</v>
      </c>
      <c r="K22" s="29">
        <v>1.5</v>
      </c>
      <c r="L22" s="29">
        <v>0</v>
      </c>
      <c r="M22" s="29">
        <v>0</v>
      </c>
      <c r="N22" s="29">
        <v>0.6</v>
      </c>
      <c r="O22" s="29">
        <v>0</v>
      </c>
      <c r="P22" s="29">
        <v>0</v>
      </c>
      <c r="Q22" s="31">
        <v>0</v>
      </c>
      <c r="R22" s="32">
        <v>4.0999999999999996</v>
      </c>
      <c r="S22" s="44" t="str">
        <f t="shared" si="0"/>
        <v>No aprobado</v>
      </c>
    </row>
    <row r="23" spans="1:19" x14ac:dyDescent="0.25">
      <c r="A23" s="28">
        <v>12</v>
      </c>
      <c r="B23" s="29">
        <v>202430633</v>
      </c>
      <c r="C23" s="30" t="s">
        <v>44</v>
      </c>
      <c r="D23" s="28">
        <v>0.5</v>
      </c>
      <c r="E23" s="29">
        <v>0</v>
      </c>
      <c r="F23" s="29">
        <v>0.5</v>
      </c>
      <c r="G23" s="54">
        <v>0.5</v>
      </c>
      <c r="H23" s="28">
        <v>1</v>
      </c>
      <c r="I23" s="29">
        <v>1</v>
      </c>
      <c r="J23" s="29">
        <v>1</v>
      </c>
      <c r="K23" s="29">
        <v>1.5</v>
      </c>
      <c r="L23" s="29">
        <v>1</v>
      </c>
      <c r="M23" s="29">
        <v>2</v>
      </c>
      <c r="N23" s="29">
        <v>1</v>
      </c>
      <c r="O23" s="29">
        <v>0</v>
      </c>
      <c r="P23" s="29">
        <v>0</v>
      </c>
      <c r="Q23" s="31">
        <v>5</v>
      </c>
      <c r="R23" s="32">
        <v>15</v>
      </c>
      <c r="S23" s="44" t="str">
        <f t="shared" si="0"/>
        <v>Aprobado</v>
      </c>
    </row>
    <row r="24" spans="1:19" x14ac:dyDescent="0.25">
      <c r="A24" s="28">
        <v>13</v>
      </c>
      <c r="B24" s="29">
        <v>202430645</v>
      </c>
      <c r="C24" s="30" t="s">
        <v>45</v>
      </c>
      <c r="D24" s="28">
        <v>0.5</v>
      </c>
      <c r="E24" s="29">
        <v>0</v>
      </c>
      <c r="F24" s="29">
        <v>0.25</v>
      </c>
      <c r="G24" s="54">
        <v>0.45</v>
      </c>
      <c r="H24" s="28">
        <v>1</v>
      </c>
      <c r="I24" s="29">
        <v>0.85</v>
      </c>
      <c r="J24" s="29">
        <v>1</v>
      </c>
      <c r="K24" s="29">
        <v>1.5</v>
      </c>
      <c r="L24" s="29">
        <v>1.4</v>
      </c>
      <c r="M24" s="29">
        <v>1.5</v>
      </c>
      <c r="N24" s="29">
        <v>1.4</v>
      </c>
      <c r="O24" s="29">
        <v>1</v>
      </c>
      <c r="P24" s="29">
        <v>1.5</v>
      </c>
      <c r="Q24" s="31">
        <v>5</v>
      </c>
      <c r="R24" s="32">
        <v>17.350000000000001</v>
      </c>
      <c r="S24" s="44" t="str">
        <f t="shared" si="0"/>
        <v>Aprobado</v>
      </c>
    </row>
    <row r="25" spans="1:19" x14ac:dyDescent="0.25">
      <c r="A25" s="28">
        <v>14</v>
      </c>
      <c r="B25" s="29">
        <v>202430733</v>
      </c>
      <c r="C25" s="30" t="s">
        <v>46</v>
      </c>
      <c r="D25" s="28">
        <v>0.5</v>
      </c>
      <c r="E25" s="29">
        <v>0</v>
      </c>
      <c r="F25" s="29">
        <v>0.25</v>
      </c>
      <c r="G25" s="54">
        <v>0.5</v>
      </c>
      <c r="H25" s="28">
        <v>0.85</v>
      </c>
      <c r="I25" s="29">
        <v>1</v>
      </c>
      <c r="J25" s="29">
        <v>1</v>
      </c>
      <c r="K25" s="29">
        <v>1.5</v>
      </c>
      <c r="L25" s="29">
        <v>1</v>
      </c>
      <c r="M25" s="29">
        <v>2</v>
      </c>
      <c r="N25" s="29">
        <v>2</v>
      </c>
      <c r="O25" s="29">
        <v>1</v>
      </c>
      <c r="P25" s="29">
        <v>1.5</v>
      </c>
      <c r="Q25" s="31">
        <v>5</v>
      </c>
      <c r="R25" s="32">
        <v>18.100000000000001</v>
      </c>
      <c r="S25" s="44" t="str">
        <f t="shared" si="0"/>
        <v>Aprobado</v>
      </c>
    </row>
    <row r="26" spans="1:19" x14ac:dyDescent="0.25">
      <c r="A26" s="28">
        <v>15</v>
      </c>
      <c r="B26" s="29">
        <v>202430804</v>
      </c>
      <c r="C26" s="30" t="s">
        <v>47</v>
      </c>
      <c r="D26" s="28">
        <v>0.5</v>
      </c>
      <c r="E26" s="29">
        <v>0</v>
      </c>
      <c r="F26" s="29">
        <v>0</v>
      </c>
      <c r="G26" s="54">
        <v>0</v>
      </c>
      <c r="H26" s="28">
        <v>1</v>
      </c>
      <c r="I26" s="29">
        <v>1</v>
      </c>
      <c r="J26" s="29">
        <v>1</v>
      </c>
      <c r="K26" s="29">
        <v>1.5</v>
      </c>
      <c r="L26" s="29">
        <v>1.6</v>
      </c>
      <c r="M26" s="29">
        <v>2</v>
      </c>
      <c r="N26" s="29">
        <v>2</v>
      </c>
      <c r="O26" s="29">
        <v>0</v>
      </c>
      <c r="P26" s="29">
        <v>0</v>
      </c>
      <c r="Q26" s="31">
        <v>0</v>
      </c>
      <c r="R26" s="32">
        <v>10.6</v>
      </c>
      <c r="S26" s="44" t="str">
        <f t="shared" si="0"/>
        <v>No aprobado</v>
      </c>
    </row>
    <row r="27" spans="1:19" x14ac:dyDescent="0.25">
      <c r="A27" s="28">
        <v>16</v>
      </c>
      <c r="B27" s="29">
        <v>202430829</v>
      </c>
      <c r="C27" s="30" t="s">
        <v>48</v>
      </c>
      <c r="D27" s="28">
        <v>0.5</v>
      </c>
      <c r="E27" s="29">
        <v>0.5</v>
      </c>
      <c r="F27" s="29">
        <v>0.5</v>
      </c>
      <c r="G27" s="54">
        <v>0.45</v>
      </c>
      <c r="H27" s="28">
        <v>0.85</v>
      </c>
      <c r="I27" s="29">
        <v>1</v>
      </c>
      <c r="J27" s="29">
        <v>1</v>
      </c>
      <c r="K27" s="29">
        <v>1.5</v>
      </c>
      <c r="L27" s="29">
        <v>1.4</v>
      </c>
      <c r="M27" s="29">
        <v>1.7</v>
      </c>
      <c r="N27" s="29">
        <v>1.7</v>
      </c>
      <c r="O27" s="29">
        <v>0.8</v>
      </c>
      <c r="P27" s="29">
        <v>1.5</v>
      </c>
      <c r="Q27" s="31">
        <v>5</v>
      </c>
      <c r="R27" s="32">
        <v>18.399999999999999</v>
      </c>
      <c r="S27" s="44" t="str">
        <f t="shared" si="0"/>
        <v>Aprobado</v>
      </c>
    </row>
    <row r="28" spans="1:19" x14ac:dyDescent="0.25">
      <c r="A28" s="28">
        <v>17</v>
      </c>
      <c r="B28" s="29">
        <v>202431169</v>
      </c>
      <c r="C28" s="30" t="s">
        <v>49</v>
      </c>
      <c r="D28" s="28">
        <v>0.5</v>
      </c>
      <c r="E28" s="29">
        <v>0</v>
      </c>
      <c r="F28" s="29">
        <v>0.25</v>
      </c>
      <c r="G28" s="54">
        <v>0.5</v>
      </c>
      <c r="H28" s="28">
        <v>0.85</v>
      </c>
      <c r="I28" s="29">
        <v>1</v>
      </c>
      <c r="J28" s="29">
        <v>1</v>
      </c>
      <c r="K28" s="29">
        <v>1.5</v>
      </c>
      <c r="L28" s="29">
        <v>1</v>
      </c>
      <c r="M28" s="29">
        <v>2</v>
      </c>
      <c r="N28" s="29">
        <v>2</v>
      </c>
      <c r="O28" s="29">
        <v>1</v>
      </c>
      <c r="P28" s="29">
        <v>1.5</v>
      </c>
      <c r="Q28" s="31">
        <v>5</v>
      </c>
      <c r="R28" s="32">
        <v>18.100000000000001</v>
      </c>
      <c r="S28" s="44" t="str">
        <f t="shared" si="0"/>
        <v>Aprobado</v>
      </c>
    </row>
    <row r="29" spans="1:19" x14ac:dyDescent="0.25">
      <c r="A29" s="28">
        <v>18</v>
      </c>
      <c r="B29" s="29">
        <v>202431502</v>
      </c>
      <c r="C29" s="30" t="s">
        <v>50</v>
      </c>
      <c r="D29" s="28">
        <v>0.5</v>
      </c>
      <c r="E29" s="29">
        <v>0.5</v>
      </c>
      <c r="F29" s="29">
        <v>0.5</v>
      </c>
      <c r="G29" s="54">
        <v>0.5</v>
      </c>
      <c r="H29" s="28">
        <v>1</v>
      </c>
      <c r="I29" s="29">
        <v>1</v>
      </c>
      <c r="J29" s="29">
        <v>1</v>
      </c>
      <c r="K29" s="29">
        <v>1.5</v>
      </c>
      <c r="L29" s="29">
        <v>1</v>
      </c>
      <c r="M29" s="29">
        <v>1.8</v>
      </c>
      <c r="N29" s="29">
        <v>0.9</v>
      </c>
      <c r="O29" s="29">
        <v>0.8</v>
      </c>
      <c r="P29" s="29">
        <v>1.5</v>
      </c>
      <c r="Q29" s="31">
        <v>5</v>
      </c>
      <c r="R29" s="32">
        <v>17.5</v>
      </c>
      <c r="S29" s="44" t="str">
        <f t="shared" si="0"/>
        <v>Aprobado</v>
      </c>
    </row>
    <row r="30" spans="1:19" x14ac:dyDescent="0.25">
      <c r="A30" s="28">
        <v>19</v>
      </c>
      <c r="B30" s="29">
        <v>202431726</v>
      </c>
      <c r="C30" s="30" t="s">
        <v>51</v>
      </c>
      <c r="D30" s="28">
        <v>0.5</v>
      </c>
      <c r="E30" s="29">
        <v>0</v>
      </c>
      <c r="F30" s="29">
        <v>0.5</v>
      </c>
      <c r="G30" s="54">
        <v>0.5</v>
      </c>
      <c r="H30" s="28">
        <v>0.75</v>
      </c>
      <c r="I30" s="29">
        <v>1</v>
      </c>
      <c r="J30" s="29">
        <v>1</v>
      </c>
      <c r="K30" s="29">
        <v>1.5</v>
      </c>
      <c r="L30" s="29">
        <v>1.8</v>
      </c>
      <c r="M30" s="29">
        <v>1.9</v>
      </c>
      <c r="N30" s="29">
        <v>1.8</v>
      </c>
      <c r="O30" s="29">
        <v>0</v>
      </c>
      <c r="P30" s="29">
        <v>0</v>
      </c>
      <c r="Q30" s="31">
        <v>0</v>
      </c>
      <c r="R30" s="32">
        <v>11.25</v>
      </c>
      <c r="S30" s="44" t="str">
        <f t="shared" si="0"/>
        <v>No aprobado</v>
      </c>
    </row>
    <row r="31" spans="1:19" x14ac:dyDescent="0.25">
      <c r="A31" s="28">
        <v>20</v>
      </c>
      <c r="B31" s="29">
        <v>202431817</v>
      </c>
      <c r="C31" s="30" t="s">
        <v>52</v>
      </c>
      <c r="D31" s="28">
        <v>0</v>
      </c>
      <c r="E31" s="29">
        <v>0</v>
      </c>
      <c r="F31" s="29">
        <v>0.5</v>
      </c>
      <c r="G31" s="54">
        <v>0.5</v>
      </c>
      <c r="H31" s="28">
        <v>0</v>
      </c>
      <c r="I31" s="29">
        <v>0</v>
      </c>
      <c r="J31" s="29">
        <v>1</v>
      </c>
      <c r="K31" s="29">
        <v>0</v>
      </c>
      <c r="L31" s="29">
        <v>0</v>
      </c>
      <c r="M31" s="29">
        <v>0.3</v>
      </c>
      <c r="N31" s="29">
        <v>1.8</v>
      </c>
      <c r="O31" s="29">
        <v>1</v>
      </c>
      <c r="P31" s="29">
        <v>0</v>
      </c>
      <c r="Q31" s="31">
        <v>5</v>
      </c>
      <c r="R31" s="32">
        <v>10.1</v>
      </c>
      <c r="S31" s="44" t="str">
        <f t="shared" si="0"/>
        <v>No aprobado</v>
      </c>
    </row>
    <row r="32" spans="1:19" x14ac:dyDescent="0.25">
      <c r="A32" s="28">
        <v>21</v>
      </c>
      <c r="B32" s="29">
        <v>202431819</v>
      </c>
      <c r="C32" s="30" t="s">
        <v>53</v>
      </c>
      <c r="D32" s="28">
        <v>0</v>
      </c>
      <c r="E32" s="29">
        <v>0.5</v>
      </c>
      <c r="F32" s="29">
        <v>0</v>
      </c>
      <c r="G32" s="54">
        <v>0</v>
      </c>
      <c r="H32" s="28">
        <v>0</v>
      </c>
      <c r="I32" s="29">
        <v>1</v>
      </c>
      <c r="J32" s="29">
        <v>0</v>
      </c>
      <c r="K32" s="29">
        <v>1.5</v>
      </c>
      <c r="L32" s="29">
        <v>0</v>
      </c>
      <c r="M32" s="29">
        <v>1.7</v>
      </c>
      <c r="N32" s="29">
        <v>1.4</v>
      </c>
      <c r="O32" s="29">
        <v>0.8</v>
      </c>
      <c r="P32" s="29">
        <v>1.5</v>
      </c>
      <c r="Q32" s="31">
        <v>5</v>
      </c>
      <c r="R32" s="32">
        <v>13.399999999999999</v>
      </c>
      <c r="S32" s="44" t="str">
        <f t="shared" si="0"/>
        <v>Aprobado</v>
      </c>
    </row>
    <row r="33" spans="1:19" x14ac:dyDescent="0.25">
      <c r="A33" s="28">
        <v>22</v>
      </c>
      <c r="B33" s="29">
        <v>202431863</v>
      </c>
      <c r="C33" s="30" t="s">
        <v>54</v>
      </c>
      <c r="D33" s="28">
        <v>0.5</v>
      </c>
      <c r="E33" s="29">
        <v>0</v>
      </c>
      <c r="F33" s="29">
        <v>0</v>
      </c>
      <c r="G33" s="54">
        <v>0.5</v>
      </c>
      <c r="H33" s="28">
        <v>0.5</v>
      </c>
      <c r="I33" s="29">
        <v>0.5</v>
      </c>
      <c r="J33" s="29">
        <v>0.5</v>
      </c>
      <c r="K33" s="29">
        <v>1.5</v>
      </c>
      <c r="L33" s="29">
        <v>0.5</v>
      </c>
      <c r="M33" s="29">
        <v>0.5</v>
      </c>
      <c r="N33" s="29">
        <v>2</v>
      </c>
      <c r="O33" s="29">
        <v>0.8</v>
      </c>
      <c r="P33" s="29">
        <v>0</v>
      </c>
      <c r="Q33" s="31">
        <v>5</v>
      </c>
      <c r="R33" s="32">
        <v>12.8</v>
      </c>
      <c r="S33" s="44" t="str">
        <f t="shared" si="0"/>
        <v>Aprobado</v>
      </c>
    </row>
    <row r="34" spans="1:19" x14ac:dyDescent="0.25">
      <c r="A34" s="28">
        <v>23</v>
      </c>
      <c r="B34" s="29">
        <v>202432080</v>
      </c>
      <c r="C34" s="30" t="s">
        <v>55</v>
      </c>
      <c r="D34" s="28">
        <v>0.5</v>
      </c>
      <c r="E34" s="29">
        <v>0</v>
      </c>
      <c r="F34" s="29">
        <v>0</v>
      </c>
      <c r="G34" s="54">
        <v>0</v>
      </c>
      <c r="H34" s="28">
        <v>0</v>
      </c>
      <c r="I34" s="29">
        <v>1</v>
      </c>
      <c r="J34" s="29">
        <v>1</v>
      </c>
      <c r="K34" s="29">
        <v>1.5</v>
      </c>
      <c r="L34" s="29">
        <v>1.4</v>
      </c>
      <c r="M34" s="29">
        <v>2</v>
      </c>
      <c r="N34" s="29">
        <v>2</v>
      </c>
      <c r="O34" s="29">
        <v>0</v>
      </c>
      <c r="P34" s="29">
        <v>0</v>
      </c>
      <c r="Q34" s="31">
        <v>0</v>
      </c>
      <c r="R34" s="32">
        <v>9.4</v>
      </c>
      <c r="S34" s="44" t="str">
        <f t="shared" si="0"/>
        <v>No aprobado</v>
      </c>
    </row>
    <row r="35" spans="1:19" x14ac:dyDescent="0.25">
      <c r="A35" s="28">
        <v>24</v>
      </c>
      <c r="B35" s="29">
        <v>202432085</v>
      </c>
      <c r="C35" s="30" t="s">
        <v>56</v>
      </c>
      <c r="D35" s="28">
        <v>0.5</v>
      </c>
      <c r="E35" s="29">
        <v>0</v>
      </c>
      <c r="F35" s="29">
        <v>0.5</v>
      </c>
      <c r="G35" s="54">
        <v>0.5</v>
      </c>
      <c r="H35" s="28">
        <v>0.75</v>
      </c>
      <c r="I35" s="29">
        <v>1</v>
      </c>
      <c r="J35" s="29">
        <v>0.9</v>
      </c>
      <c r="K35" s="29">
        <v>1.5</v>
      </c>
      <c r="L35" s="29">
        <v>1.4</v>
      </c>
      <c r="M35" s="29">
        <v>1.9</v>
      </c>
      <c r="N35" s="29">
        <v>1.8</v>
      </c>
      <c r="O35" s="29">
        <v>0</v>
      </c>
      <c r="P35" s="29">
        <v>0</v>
      </c>
      <c r="Q35" s="31">
        <v>0</v>
      </c>
      <c r="R35" s="32">
        <v>10.750000000000002</v>
      </c>
      <c r="S35" s="44" t="str">
        <f t="shared" si="0"/>
        <v>No aprobado</v>
      </c>
    </row>
    <row r="36" spans="1:19" x14ac:dyDescent="0.25">
      <c r="A36" s="28">
        <v>25</v>
      </c>
      <c r="B36" s="29">
        <v>202432137</v>
      </c>
      <c r="C36" s="30" t="s">
        <v>57</v>
      </c>
      <c r="D36" s="28">
        <v>0.5</v>
      </c>
      <c r="E36" s="29">
        <v>0</v>
      </c>
      <c r="F36" s="29">
        <v>0</v>
      </c>
      <c r="G36" s="54">
        <v>0.5</v>
      </c>
      <c r="H36" s="28">
        <v>0.5</v>
      </c>
      <c r="I36" s="29">
        <v>0.5</v>
      </c>
      <c r="J36" s="29">
        <v>0.5</v>
      </c>
      <c r="K36" s="29">
        <v>0</v>
      </c>
      <c r="L36" s="29">
        <v>0.5</v>
      </c>
      <c r="M36" s="29">
        <v>0.5</v>
      </c>
      <c r="N36" s="29">
        <v>2</v>
      </c>
      <c r="O36" s="29">
        <v>0.8</v>
      </c>
      <c r="P36" s="29">
        <v>0</v>
      </c>
      <c r="Q36" s="31">
        <v>5</v>
      </c>
      <c r="R36" s="32">
        <v>11.3</v>
      </c>
      <c r="S36" s="44" t="str">
        <f t="shared" si="0"/>
        <v>No aprobado</v>
      </c>
    </row>
    <row r="37" spans="1:19" x14ac:dyDescent="0.25">
      <c r="A37" s="28">
        <v>26</v>
      </c>
      <c r="B37" s="29">
        <v>202530125</v>
      </c>
      <c r="C37" s="30" t="s">
        <v>58</v>
      </c>
      <c r="D37" s="28">
        <v>0</v>
      </c>
      <c r="E37" s="29">
        <v>0</v>
      </c>
      <c r="F37" s="29">
        <v>0.5</v>
      </c>
      <c r="G37" s="54">
        <v>0.5</v>
      </c>
      <c r="H37" s="28">
        <v>1</v>
      </c>
      <c r="I37" s="29">
        <v>0.75</v>
      </c>
      <c r="J37" s="29">
        <v>0.9</v>
      </c>
      <c r="K37" s="29">
        <v>1.5</v>
      </c>
      <c r="L37" s="29">
        <v>1.6</v>
      </c>
      <c r="M37" s="29">
        <v>1.8</v>
      </c>
      <c r="N37" s="29">
        <v>1.2</v>
      </c>
      <c r="O37" s="29">
        <v>0</v>
      </c>
      <c r="P37" s="29">
        <v>0</v>
      </c>
      <c r="Q37" s="31">
        <v>0</v>
      </c>
      <c r="R37" s="32">
        <v>9.75</v>
      </c>
      <c r="S37" s="44" t="str">
        <f t="shared" si="0"/>
        <v>No aprobado</v>
      </c>
    </row>
    <row r="38" spans="1:19" x14ac:dyDescent="0.25">
      <c r="A38" s="28">
        <v>27</v>
      </c>
      <c r="B38" s="29">
        <v>202530235</v>
      </c>
      <c r="C38" s="30" t="s">
        <v>59</v>
      </c>
      <c r="D38" s="28">
        <v>0.5</v>
      </c>
      <c r="E38" s="29">
        <v>0</v>
      </c>
      <c r="F38" s="29">
        <v>0.5</v>
      </c>
      <c r="G38" s="54">
        <v>0.5</v>
      </c>
      <c r="H38" s="28">
        <v>1</v>
      </c>
      <c r="I38" s="29">
        <v>1</v>
      </c>
      <c r="J38" s="29">
        <v>1</v>
      </c>
      <c r="K38" s="29">
        <v>1.5</v>
      </c>
      <c r="L38" s="29">
        <v>2</v>
      </c>
      <c r="M38" s="29">
        <v>0</v>
      </c>
      <c r="N38" s="29">
        <v>2</v>
      </c>
      <c r="O38" s="29">
        <v>0.8</v>
      </c>
      <c r="P38" s="29">
        <v>1.5</v>
      </c>
      <c r="Q38" s="31">
        <v>5</v>
      </c>
      <c r="R38" s="32">
        <v>17.3</v>
      </c>
      <c r="S38" s="44" t="str">
        <f t="shared" si="0"/>
        <v>Aprobado</v>
      </c>
    </row>
    <row r="39" spans="1:19" x14ac:dyDescent="0.25">
      <c r="A39" s="28">
        <v>28</v>
      </c>
      <c r="B39" s="29">
        <v>202530265</v>
      </c>
      <c r="C39" s="30" t="s">
        <v>60</v>
      </c>
      <c r="D39" s="28">
        <v>0.5</v>
      </c>
      <c r="E39" s="29">
        <v>0.5</v>
      </c>
      <c r="F39" s="29">
        <v>0.5</v>
      </c>
      <c r="G39" s="54">
        <v>0.5</v>
      </c>
      <c r="H39" s="28">
        <v>1</v>
      </c>
      <c r="I39" s="29">
        <v>0.9</v>
      </c>
      <c r="J39" s="29">
        <v>1</v>
      </c>
      <c r="K39" s="29">
        <v>1.5</v>
      </c>
      <c r="L39" s="29">
        <v>1.4</v>
      </c>
      <c r="M39" s="29">
        <v>2</v>
      </c>
      <c r="N39" s="29">
        <v>2</v>
      </c>
      <c r="O39" s="29">
        <v>0.9</v>
      </c>
      <c r="P39" s="29">
        <v>1.5</v>
      </c>
      <c r="Q39" s="31">
        <v>5</v>
      </c>
      <c r="R39" s="32">
        <v>19.200000000000003</v>
      </c>
      <c r="S39" s="44" t="str">
        <f t="shared" si="0"/>
        <v>Aprobado</v>
      </c>
    </row>
    <row r="40" spans="1:19" x14ac:dyDescent="0.25">
      <c r="A40" s="28">
        <v>29</v>
      </c>
      <c r="B40" s="29">
        <v>202530315</v>
      </c>
      <c r="C40" s="30" t="s">
        <v>61</v>
      </c>
      <c r="D40" s="28">
        <v>0.5</v>
      </c>
      <c r="E40" s="29">
        <v>0</v>
      </c>
      <c r="F40" s="29">
        <v>0.5</v>
      </c>
      <c r="G40" s="54">
        <v>0.5</v>
      </c>
      <c r="H40" s="28">
        <v>1</v>
      </c>
      <c r="I40" s="29">
        <v>1</v>
      </c>
      <c r="J40" s="29">
        <v>1</v>
      </c>
      <c r="K40" s="29">
        <v>1.5</v>
      </c>
      <c r="L40" s="29">
        <v>1</v>
      </c>
      <c r="M40" s="29">
        <v>2</v>
      </c>
      <c r="N40" s="29">
        <v>1</v>
      </c>
      <c r="O40" s="29">
        <v>0.8</v>
      </c>
      <c r="P40" s="29">
        <v>1.5</v>
      </c>
      <c r="Q40" s="31">
        <v>5</v>
      </c>
      <c r="R40" s="32">
        <v>17.3</v>
      </c>
      <c r="S40" s="44" t="str">
        <f t="shared" si="0"/>
        <v>Aprobado</v>
      </c>
    </row>
    <row r="41" spans="1:19" x14ac:dyDescent="0.25">
      <c r="A41" s="28">
        <v>30</v>
      </c>
      <c r="B41" s="29">
        <v>202530329</v>
      </c>
      <c r="C41" s="30" t="s">
        <v>62</v>
      </c>
      <c r="D41" s="28">
        <v>0.5</v>
      </c>
      <c r="E41" s="29">
        <v>0</v>
      </c>
      <c r="F41" s="29">
        <v>0.5</v>
      </c>
      <c r="G41" s="54">
        <v>0</v>
      </c>
      <c r="H41" s="28">
        <v>1</v>
      </c>
      <c r="I41" s="29">
        <v>0.95</v>
      </c>
      <c r="J41" s="29">
        <v>1</v>
      </c>
      <c r="K41" s="29">
        <v>1.5</v>
      </c>
      <c r="L41" s="29">
        <v>1.4</v>
      </c>
      <c r="M41" s="29">
        <v>1.7</v>
      </c>
      <c r="N41" s="29">
        <v>1.3</v>
      </c>
      <c r="O41" s="29">
        <v>0.8</v>
      </c>
      <c r="P41" s="29">
        <v>1.5</v>
      </c>
      <c r="Q41" s="31">
        <v>5</v>
      </c>
      <c r="R41" s="32">
        <v>17.149999999999999</v>
      </c>
      <c r="S41" s="44" t="str">
        <f t="shared" si="0"/>
        <v>Aprobado</v>
      </c>
    </row>
    <row r="42" spans="1:19" x14ac:dyDescent="0.25">
      <c r="A42" s="28">
        <v>31</v>
      </c>
      <c r="B42" s="29">
        <v>202530349</v>
      </c>
      <c r="C42" s="30" t="s">
        <v>63</v>
      </c>
      <c r="D42" s="28">
        <v>0</v>
      </c>
      <c r="E42" s="29">
        <v>0</v>
      </c>
      <c r="F42" s="29">
        <v>0.5</v>
      </c>
      <c r="G42" s="54">
        <v>0.5</v>
      </c>
      <c r="H42" s="28">
        <v>1</v>
      </c>
      <c r="I42" s="29">
        <v>0.75</v>
      </c>
      <c r="J42" s="29">
        <v>1</v>
      </c>
      <c r="K42" s="29">
        <v>1.5</v>
      </c>
      <c r="L42" s="29">
        <v>1.6</v>
      </c>
      <c r="M42" s="29">
        <v>1.8</v>
      </c>
      <c r="N42" s="29">
        <v>1.2</v>
      </c>
      <c r="O42" s="29">
        <v>1</v>
      </c>
      <c r="P42" s="29">
        <v>1.5</v>
      </c>
      <c r="Q42" s="31">
        <v>5</v>
      </c>
      <c r="R42" s="32">
        <v>17.350000000000001</v>
      </c>
      <c r="S42" s="44" t="str">
        <f t="shared" si="0"/>
        <v>Aprobado</v>
      </c>
    </row>
    <row r="43" spans="1:19" x14ac:dyDescent="0.25">
      <c r="A43" s="28">
        <v>32</v>
      </c>
      <c r="B43" s="29">
        <v>202530357</v>
      </c>
      <c r="C43" s="30" t="s">
        <v>64</v>
      </c>
      <c r="D43" s="28">
        <v>0.5</v>
      </c>
      <c r="E43" s="29">
        <v>0</v>
      </c>
      <c r="F43" s="29">
        <v>0.5</v>
      </c>
      <c r="G43" s="54">
        <v>0.5</v>
      </c>
      <c r="H43" s="28">
        <v>1</v>
      </c>
      <c r="I43" s="29">
        <v>1</v>
      </c>
      <c r="J43" s="29">
        <v>1</v>
      </c>
      <c r="K43" s="29">
        <v>1.5</v>
      </c>
      <c r="L43" s="29">
        <v>1.6</v>
      </c>
      <c r="M43" s="29">
        <v>1.3</v>
      </c>
      <c r="N43" s="29">
        <v>1.6</v>
      </c>
      <c r="O43" s="29">
        <v>1</v>
      </c>
      <c r="P43" s="29">
        <v>1.5</v>
      </c>
      <c r="Q43" s="31">
        <v>5</v>
      </c>
      <c r="R43" s="32">
        <v>18</v>
      </c>
      <c r="S43" s="44" t="str">
        <f t="shared" si="0"/>
        <v>Aprobado</v>
      </c>
    </row>
    <row r="44" spans="1:19" x14ac:dyDescent="0.25">
      <c r="A44" s="28">
        <v>33</v>
      </c>
      <c r="B44" s="29">
        <v>202530381</v>
      </c>
      <c r="C44" s="30" t="s">
        <v>65</v>
      </c>
      <c r="D44" s="28">
        <v>0.5</v>
      </c>
      <c r="E44" s="29">
        <v>0.5</v>
      </c>
      <c r="F44" s="29">
        <v>0.5</v>
      </c>
      <c r="G44" s="54">
        <v>0.5</v>
      </c>
      <c r="H44" s="28">
        <v>1</v>
      </c>
      <c r="I44" s="29">
        <v>1</v>
      </c>
      <c r="J44" s="29">
        <v>1</v>
      </c>
      <c r="K44" s="29">
        <v>1.5</v>
      </c>
      <c r="L44" s="29">
        <v>1</v>
      </c>
      <c r="M44" s="29">
        <v>1.8</v>
      </c>
      <c r="N44" s="29">
        <v>0.9</v>
      </c>
      <c r="O44" s="29">
        <v>0.8</v>
      </c>
      <c r="P44" s="29">
        <v>1.5</v>
      </c>
      <c r="Q44" s="31">
        <v>5</v>
      </c>
      <c r="R44" s="32">
        <v>17.5</v>
      </c>
      <c r="S44" s="44" t="str">
        <f t="shared" si="0"/>
        <v>Aprobado</v>
      </c>
    </row>
    <row r="45" spans="1:19" x14ac:dyDescent="0.25">
      <c r="A45" s="28">
        <v>34</v>
      </c>
      <c r="B45" s="29">
        <v>202530434</v>
      </c>
      <c r="C45" s="30" t="s">
        <v>66</v>
      </c>
      <c r="D45" s="28">
        <v>0.5</v>
      </c>
      <c r="E45" s="29">
        <v>0</v>
      </c>
      <c r="F45" s="29">
        <v>0.5</v>
      </c>
      <c r="G45" s="54">
        <v>0.45</v>
      </c>
      <c r="H45" s="28">
        <v>0.75</v>
      </c>
      <c r="I45" s="29">
        <v>0.55000000000000004</v>
      </c>
      <c r="J45" s="29">
        <v>1</v>
      </c>
      <c r="K45" s="29">
        <v>1.5</v>
      </c>
      <c r="L45" s="29">
        <v>1.8</v>
      </c>
      <c r="M45" s="29">
        <v>1.5</v>
      </c>
      <c r="N45" s="29">
        <v>2</v>
      </c>
      <c r="O45" s="29">
        <v>0.95</v>
      </c>
      <c r="P45" s="29">
        <v>1.5</v>
      </c>
      <c r="Q45" s="31">
        <v>5</v>
      </c>
      <c r="R45" s="32">
        <v>18</v>
      </c>
      <c r="S45" s="44" t="str">
        <f t="shared" si="0"/>
        <v>Aprobado</v>
      </c>
    </row>
    <row r="46" spans="1:19" x14ac:dyDescent="0.25">
      <c r="A46" s="28">
        <v>35</v>
      </c>
      <c r="B46" s="29">
        <v>202530446</v>
      </c>
      <c r="C46" s="30" t="s">
        <v>67</v>
      </c>
      <c r="D46" s="28">
        <v>0.5</v>
      </c>
      <c r="E46" s="29">
        <v>0</v>
      </c>
      <c r="F46" s="29">
        <v>0.5</v>
      </c>
      <c r="G46" s="54">
        <v>0</v>
      </c>
      <c r="H46" s="28">
        <v>1</v>
      </c>
      <c r="I46" s="29">
        <v>1</v>
      </c>
      <c r="J46" s="29">
        <v>1</v>
      </c>
      <c r="K46" s="29">
        <v>1.5</v>
      </c>
      <c r="L46" s="29">
        <v>1</v>
      </c>
      <c r="M46" s="29">
        <v>1.7</v>
      </c>
      <c r="N46" s="29">
        <v>1.6</v>
      </c>
      <c r="O46" s="29">
        <v>1</v>
      </c>
      <c r="P46" s="29">
        <v>1.5</v>
      </c>
      <c r="Q46" s="31">
        <v>5</v>
      </c>
      <c r="R46" s="32">
        <v>17.299999999999997</v>
      </c>
      <c r="S46" s="44" t="str">
        <f t="shared" si="0"/>
        <v>Aprobado</v>
      </c>
    </row>
    <row r="47" spans="1:19" x14ac:dyDescent="0.25">
      <c r="A47" s="28">
        <v>36</v>
      </c>
      <c r="B47" s="29">
        <v>202530522</v>
      </c>
      <c r="C47" s="30" t="s">
        <v>68</v>
      </c>
      <c r="D47" s="28">
        <v>0.5</v>
      </c>
      <c r="E47" s="29">
        <v>0</v>
      </c>
      <c r="F47" s="29">
        <v>0.5</v>
      </c>
      <c r="G47" s="54">
        <v>0</v>
      </c>
      <c r="H47" s="28">
        <v>1</v>
      </c>
      <c r="I47" s="29">
        <v>1</v>
      </c>
      <c r="J47" s="29">
        <v>1</v>
      </c>
      <c r="K47" s="29">
        <v>1.5</v>
      </c>
      <c r="L47" s="29">
        <v>1</v>
      </c>
      <c r="M47" s="29">
        <v>1.6</v>
      </c>
      <c r="N47" s="29">
        <v>1.6</v>
      </c>
      <c r="O47" s="29">
        <v>0</v>
      </c>
      <c r="P47" s="29">
        <v>0</v>
      </c>
      <c r="Q47" s="31">
        <v>0</v>
      </c>
      <c r="R47" s="32">
        <v>9.6999999999999993</v>
      </c>
      <c r="S47" s="44" t="str">
        <f t="shared" si="0"/>
        <v>No aprobado</v>
      </c>
    </row>
    <row r="48" spans="1:19" x14ac:dyDescent="0.25">
      <c r="A48" s="28">
        <v>37</v>
      </c>
      <c r="B48" s="29">
        <v>202530613</v>
      </c>
      <c r="C48" s="30" t="s">
        <v>69</v>
      </c>
      <c r="D48" s="28">
        <v>0</v>
      </c>
      <c r="E48" s="29">
        <v>0.5</v>
      </c>
      <c r="F48" s="29">
        <v>0</v>
      </c>
      <c r="G48" s="54">
        <v>0</v>
      </c>
      <c r="H48" s="28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31">
        <v>0</v>
      </c>
      <c r="R48" s="32">
        <v>0.5</v>
      </c>
      <c r="S48" s="44" t="str">
        <f t="shared" si="0"/>
        <v>No aprobado</v>
      </c>
    </row>
    <row r="49" spans="1:19" x14ac:dyDescent="0.25">
      <c r="A49" s="28">
        <v>38</v>
      </c>
      <c r="B49" s="29">
        <v>202530621</v>
      </c>
      <c r="C49" s="30" t="s">
        <v>70</v>
      </c>
      <c r="D49" s="28">
        <v>0.5</v>
      </c>
      <c r="E49" s="29">
        <v>0</v>
      </c>
      <c r="F49" s="29">
        <v>0.5</v>
      </c>
      <c r="G49" s="54">
        <v>0.45</v>
      </c>
      <c r="H49" s="28">
        <v>0.7</v>
      </c>
      <c r="I49" s="29">
        <v>1</v>
      </c>
      <c r="J49" s="29">
        <v>1</v>
      </c>
      <c r="K49" s="29">
        <v>1.5</v>
      </c>
      <c r="L49" s="29">
        <v>1.4</v>
      </c>
      <c r="M49" s="29">
        <v>1.2</v>
      </c>
      <c r="N49" s="29">
        <v>1.3</v>
      </c>
      <c r="O49" s="29">
        <v>0.8</v>
      </c>
      <c r="P49" s="29">
        <v>1.5</v>
      </c>
      <c r="Q49" s="31">
        <v>5</v>
      </c>
      <c r="R49" s="32">
        <v>16.850000000000001</v>
      </c>
      <c r="S49" s="44" t="str">
        <f t="shared" si="0"/>
        <v>Aprobado</v>
      </c>
    </row>
    <row r="50" spans="1:19" x14ac:dyDescent="0.25">
      <c r="A50" s="28">
        <v>39</v>
      </c>
      <c r="B50" s="29">
        <v>202530673</v>
      </c>
      <c r="C50" s="30" t="s">
        <v>71</v>
      </c>
      <c r="D50" s="28">
        <v>0</v>
      </c>
      <c r="E50" s="29">
        <v>0</v>
      </c>
      <c r="F50" s="29">
        <v>0</v>
      </c>
      <c r="G50" s="54">
        <v>0.5</v>
      </c>
      <c r="H50" s="28">
        <v>0</v>
      </c>
      <c r="I50" s="29">
        <v>1</v>
      </c>
      <c r="J50" s="29">
        <v>1</v>
      </c>
      <c r="K50" s="29">
        <v>1.5</v>
      </c>
      <c r="L50" s="29">
        <v>1.4</v>
      </c>
      <c r="M50" s="29">
        <v>1.9</v>
      </c>
      <c r="N50" s="29">
        <v>0</v>
      </c>
      <c r="O50" s="29">
        <v>0.5</v>
      </c>
      <c r="P50" s="29">
        <v>0</v>
      </c>
      <c r="Q50" s="31">
        <v>5</v>
      </c>
      <c r="R50" s="32">
        <v>12.8</v>
      </c>
      <c r="S50" s="44" t="str">
        <f t="shared" si="0"/>
        <v>Aprobado</v>
      </c>
    </row>
    <row r="51" spans="1:19" x14ac:dyDescent="0.25">
      <c r="A51" s="28">
        <v>40</v>
      </c>
      <c r="B51" s="29">
        <v>202530674</v>
      </c>
      <c r="C51" s="30" t="s">
        <v>72</v>
      </c>
      <c r="D51" s="28">
        <v>0</v>
      </c>
      <c r="E51" s="29">
        <v>0</v>
      </c>
      <c r="F51" s="29">
        <v>0.25</v>
      </c>
      <c r="G51" s="54">
        <v>0</v>
      </c>
      <c r="H51" s="28">
        <v>1</v>
      </c>
      <c r="I51" s="29">
        <v>1</v>
      </c>
      <c r="J51" s="29">
        <v>0.9</v>
      </c>
      <c r="K51" s="29">
        <v>1.5</v>
      </c>
      <c r="L51" s="29">
        <v>1</v>
      </c>
      <c r="M51" s="29">
        <v>1.7</v>
      </c>
      <c r="N51" s="29">
        <v>1.4</v>
      </c>
      <c r="O51" s="29">
        <v>0</v>
      </c>
      <c r="P51" s="29">
        <v>0</v>
      </c>
      <c r="Q51" s="31">
        <v>0</v>
      </c>
      <c r="R51" s="32">
        <v>8.75</v>
      </c>
      <c r="S51" s="44" t="str">
        <f t="shared" si="0"/>
        <v>No aprobado</v>
      </c>
    </row>
    <row r="52" spans="1:19" x14ac:dyDescent="0.25">
      <c r="A52" s="28">
        <v>41</v>
      </c>
      <c r="B52" s="29">
        <v>202530677</v>
      </c>
      <c r="C52" s="30" t="s">
        <v>73</v>
      </c>
      <c r="D52" s="28">
        <v>0.5</v>
      </c>
      <c r="E52" s="29">
        <v>0</v>
      </c>
      <c r="F52" s="29">
        <v>0.5</v>
      </c>
      <c r="G52" s="54">
        <v>0</v>
      </c>
      <c r="H52" s="28">
        <v>1</v>
      </c>
      <c r="I52" s="29">
        <v>0</v>
      </c>
      <c r="J52" s="29">
        <v>1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31">
        <v>0</v>
      </c>
      <c r="R52" s="32">
        <v>3</v>
      </c>
      <c r="S52" s="44" t="str">
        <f t="shared" si="0"/>
        <v>No aprobado</v>
      </c>
    </row>
    <row r="53" spans="1:19" x14ac:dyDescent="0.25">
      <c r="A53" s="28">
        <v>42</v>
      </c>
      <c r="B53" s="29">
        <v>202530728</v>
      </c>
      <c r="C53" s="30" t="s">
        <v>74</v>
      </c>
      <c r="D53" s="28">
        <v>0.5</v>
      </c>
      <c r="E53" s="29">
        <v>0</v>
      </c>
      <c r="F53" s="29">
        <v>0.5</v>
      </c>
      <c r="G53" s="54">
        <v>0</v>
      </c>
      <c r="H53" s="28">
        <v>1</v>
      </c>
      <c r="I53" s="29">
        <v>1</v>
      </c>
      <c r="J53" s="29">
        <v>0</v>
      </c>
      <c r="K53" s="29">
        <v>1.5</v>
      </c>
      <c r="L53" s="29">
        <v>1.4</v>
      </c>
      <c r="M53" s="29">
        <v>1.7</v>
      </c>
      <c r="N53" s="29">
        <v>1</v>
      </c>
      <c r="O53" s="29">
        <v>0.8</v>
      </c>
      <c r="P53" s="29">
        <v>1.5</v>
      </c>
      <c r="Q53" s="31">
        <v>5</v>
      </c>
      <c r="R53" s="32">
        <v>15.900000000000002</v>
      </c>
      <c r="S53" s="44" t="str">
        <f t="shared" si="0"/>
        <v>Aprobado</v>
      </c>
    </row>
    <row r="54" spans="1:19" x14ac:dyDescent="0.25">
      <c r="A54" s="28">
        <v>43</v>
      </c>
      <c r="B54" s="29">
        <v>202530843</v>
      </c>
      <c r="C54" s="30" t="s">
        <v>75</v>
      </c>
      <c r="D54" s="28">
        <v>0</v>
      </c>
      <c r="E54" s="29">
        <v>0</v>
      </c>
      <c r="F54" s="29">
        <v>0</v>
      </c>
      <c r="G54" s="54">
        <v>0</v>
      </c>
      <c r="H54" s="28">
        <v>1</v>
      </c>
      <c r="I54" s="29">
        <v>1</v>
      </c>
      <c r="J54" s="29">
        <v>0</v>
      </c>
      <c r="K54" s="29">
        <v>1.5</v>
      </c>
      <c r="L54" s="29">
        <v>1.4</v>
      </c>
      <c r="M54" s="29">
        <v>1.7</v>
      </c>
      <c r="N54" s="29">
        <v>1.7</v>
      </c>
      <c r="O54" s="29">
        <v>0.8</v>
      </c>
      <c r="P54" s="29">
        <v>1.5</v>
      </c>
      <c r="Q54" s="31">
        <v>5</v>
      </c>
      <c r="R54" s="32">
        <v>15.600000000000001</v>
      </c>
      <c r="S54" s="44" t="str">
        <f t="shared" si="0"/>
        <v>Aprobado</v>
      </c>
    </row>
    <row r="55" spans="1:19" x14ac:dyDescent="0.25">
      <c r="A55" s="28">
        <v>44</v>
      </c>
      <c r="B55" s="29">
        <v>202530866</v>
      </c>
      <c r="C55" s="30" t="s">
        <v>76</v>
      </c>
      <c r="D55" s="28">
        <v>0.5</v>
      </c>
      <c r="E55" s="29">
        <v>0</v>
      </c>
      <c r="F55" s="29">
        <v>0.5</v>
      </c>
      <c r="G55" s="54">
        <v>0.45</v>
      </c>
      <c r="H55" s="28">
        <v>1</v>
      </c>
      <c r="I55" s="29">
        <v>1</v>
      </c>
      <c r="J55" s="29">
        <v>0.9</v>
      </c>
      <c r="K55" s="29">
        <v>1.5</v>
      </c>
      <c r="L55" s="29">
        <v>1</v>
      </c>
      <c r="M55" s="29">
        <v>1.7</v>
      </c>
      <c r="N55" s="29">
        <v>1.1000000000000001</v>
      </c>
      <c r="O55" s="29">
        <v>1</v>
      </c>
      <c r="P55" s="29">
        <v>1.5</v>
      </c>
      <c r="Q55" s="31">
        <v>5</v>
      </c>
      <c r="R55" s="32">
        <v>17.149999999999999</v>
      </c>
      <c r="S55" s="44" t="str">
        <f t="shared" si="0"/>
        <v>Aprobado</v>
      </c>
    </row>
    <row r="56" spans="1:19" x14ac:dyDescent="0.25">
      <c r="A56" s="28">
        <v>45</v>
      </c>
      <c r="B56" s="29">
        <v>202530917</v>
      </c>
      <c r="C56" s="30" t="s">
        <v>77</v>
      </c>
      <c r="D56" s="28">
        <v>0</v>
      </c>
      <c r="E56" s="29">
        <v>0</v>
      </c>
      <c r="F56" s="29">
        <v>0.25</v>
      </c>
      <c r="G56" s="54">
        <v>0.5</v>
      </c>
      <c r="H56" s="28">
        <v>0.75</v>
      </c>
      <c r="I56" s="29">
        <v>1</v>
      </c>
      <c r="J56" s="29">
        <v>1</v>
      </c>
      <c r="K56" s="29">
        <v>1.5</v>
      </c>
      <c r="L56" s="29">
        <v>1.8</v>
      </c>
      <c r="M56" s="29">
        <v>1.9</v>
      </c>
      <c r="N56" s="29">
        <v>1.3</v>
      </c>
      <c r="O56" s="29">
        <v>1</v>
      </c>
      <c r="P56" s="29">
        <v>1.5</v>
      </c>
      <c r="Q56" s="31">
        <v>5</v>
      </c>
      <c r="R56" s="32">
        <v>17.5</v>
      </c>
      <c r="S56" s="44" t="str">
        <f t="shared" si="0"/>
        <v>Aprobado</v>
      </c>
    </row>
    <row r="57" spans="1:19" x14ac:dyDescent="0.25">
      <c r="A57" s="28">
        <v>46</v>
      </c>
      <c r="B57" s="29">
        <v>202531013</v>
      </c>
      <c r="C57" s="30" t="s">
        <v>78</v>
      </c>
      <c r="D57" s="28">
        <v>0.5</v>
      </c>
      <c r="E57" s="29">
        <v>0</v>
      </c>
      <c r="F57" s="29">
        <v>0.5</v>
      </c>
      <c r="G57" s="54">
        <v>0.45</v>
      </c>
      <c r="H57" s="28">
        <v>1</v>
      </c>
      <c r="I57" s="29">
        <v>0.75</v>
      </c>
      <c r="J57" s="29">
        <v>1</v>
      </c>
      <c r="K57" s="29">
        <v>1.5</v>
      </c>
      <c r="L57" s="29">
        <v>2</v>
      </c>
      <c r="M57" s="29">
        <v>1.8</v>
      </c>
      <c r="N57" s="29">
        <v>1.4</v>
      </c>
      <c r="O57" s="29">
        <v>1</v>
      </c>
      <c r="P57" s="29">
        <v>1.5</v>
      </c>
      <c r="Q57" s="31">
        <v>5</v>
      </c>
      <c r="R57" s="32">
        <v>18.399999999999999</v>
      </c>
      <c r="S57" s="44" t="str">
        <f t="shared" si="0"/>
        <v>Aprobado</v>
      </c>
    </row>
    <row r="58" spans="1:19" x14ac:dyDescent="0.25">
      <c r="A58" s="28">
        <v>47</v>
      </c>
      <c r="B58" s="29">
        <v>202531019</v>
      </c>
      <c r="C58" s="30" t="s">
        <v>79</v>
      </c>
      <c r="D58" s="28">
        <v>0</v>
      </c>
      <c r="E58" s="29">
        <v>0</v>
      </c>
      <c r="F58" s="29">
        <v>0.5</v>
      </c>
      <c r="G58" s="54">
        <v>0.45</v>
      </c>
      <c r="H58" s="28">
        <v>1</v>
      </c>
      <c r="I58" s="29">
        <v>0.55000000000000004</v>
      </c>
      <c r="J58" s="29">
        <v>1</v>
      </c>
      <c r="K58" s="29">
        <v>1.5</v>
      </c>
      <c r="L58" s="29">
        <v>1.9</v>
      </c>
      <c r="M58" s="29">
        <v>0</v>
      </c>
      <c r="N58" s="29">
        <v>1.1000000000000001</v>
      </c>
      <c r="O58" s="29">
        <v>1</v>
      </c>
      <c r="P58" s="29">
        <v>1.5</v>
      </c>
      <c r="Q58" s="31">
        <v>5</v>
      </c>
      <c r="R58" s="32">
        <v>15.5</v>
      </c>
      <c r="S58" s="44" t="str">
        <f t="shared" si="0"/>
        <v>Aprobado</v>
      </c>
    </row>
    <row r="59" spans="1:19" x14ac:dyDescent="0.25">
      <c r="A59" s="28">
        <v>48</v>
      </c>
      <c r="B59" s="29">
        <v>202531089</v>
      </c>
      <c r="C59" s="30" t="s">
        <v>80</v>
      </c>
      <c r="D59" s="28">
        <v>0.5</v>
      </c>
      <c r="E59" s="29">
        <v>0</v>
      </c>
      <c r="F59" s="29">
        <v>0.5</v>
      </c>
      <c r="G59" s="54">
        <v>0.45</v>
      </c>
      <c r="H59" s="28">
        <v>0.7</v>
      </c>
      <c r="I59" s="29">
        <v>1</v>
      </c>
      <c r="J59" s="29">
        <v>0.9</v>
      </c>
      <c r="K59" s="29">
        <v>1.5</v>
      </c>
      <c r="L59" s="29">
        <v>1</v>
      </c>
      <c r="M59" s="29">
        <v>1.7</v>
      </c>
      <c r="N59" s="29">
        <v>1.1000000000000001</v>
      </c>
      <c r="O59" s="29">
        <v>1</v>
      </c>
      <c r="P59" s="29">
        <v>1.5</v>
      </c>
      <c r="Q59" s="31">
        <v>5</v>
      </c>
      <c r="R59" s="32">
        <v>16.850000000000001</v>
      </c>
      <c r="S59" s="44" t="str">
        <f t="shared" si="0"/>
        <v>Aprobado</v>
      </c>
    </row>
    <row r="60" spans="1:19" x14ac:dyDescent="0.25">
      <c r="A60" s="28">
        <v>49</v>
      </c>
      <c r="B60" s="29">
        <v>202531127</v>
      </c>
      <c r="C60" s="30" t="s">
        <v>81</v>
      </c>
      <c r="D60" s="28">
        <v>0</v>
      </c>
      <c r="E60" s="29">
        <v>0</v>
      </c>
      <c r="F60" s="29">
        <v>0.5</v>
      </c>
      <c r="G60" s="54">
        <v>0</v>
      </c>
      <c r="H60" s="28">
        <v>0</v>
      </c>
      <c r="I60" s="29">
        <v>1</v>
      </c>
      <c r="J60" s="29">
        <v>0</v>
      </c>
      <c r="K60" s="29">
        <v>1.5</v>
      </c>
      <c r="L60" s="29">
        <v>1.4</v>
      </c>
      <c r="M60" s="29">
        <v>1.7</v>
      </c>
      <c r="N60" s="29">
        <v>1.7</v>
      </c>
      <c r="O60" s="29">
        <v>0.8</v>
      </c>
      <c r="P60" s="29">
        <v>1.5</v>
      </c>
      <c r="Q60" s="31">
        <v>5</v>
      </c>
      <c r="R60" s="32">
        <v>15.100000000000001</v>
      </c>
      <c r="S60" s="44" t="str">
        <f t="shared" si="0"/>
        <v>Aprobado</v>
      </c>
    </row>
    <row r="61" spans="1:19" x14ac:dyDescent="0.25">
      <c r="A61" s="28">
        <v>50</v>
      </c>
      <c r="B61" s="29">
        <v>202531213</v>
      </c>
      <c r="C61" s="30" t="s">
        <v>82</v>
      </c>
      <c r="D61" s="28">
        <v>0.5</v>
      </c>
      <c r="E61" s="29">
        <v>0.5</v>
      </c>
      <c r="F61" s="29">
        <v>0.5</v>
      </c>
      <c r="G61" s="54">
        <v>0.45</v>
      </c>
      <c r="H61" s="28">
        <v>1</v>
      </c>
      <c r="I61" s="29">
        <v>0.9</v>
      </c>
      <c r="J61" s="29">
        <v>1</v>
      </c>
      <c r="K61" s="29">
        <v>1.5</v>
      </c>
      <c r="L61" s="29">
        <v>1.6</v>
      </c>
      <c r="M61" s="29">
        <v>2</v>
      </c>
      <c r="N61" s="29">
        <v>2</v>
      </c>
      <c r="O61" s="29">
        <v>0.9</v>
      </c>
      <c r="P61" s="29">
        <v>1.5</v>
      </c>
      <c r="Q61" s="31">
        <v>5</v>
      </c>
      <c r="R61" s="32">
        <v>19.350000000000001</v>
      </c>
      <c r="S61" s="44" t="str">
        <f t="shared" si="0"/>
        <v>Aprobado</v>
      </c>
    </row>
    <row r="62" spans="1:19" x14ac:dyDescent="0.25">
      <c r="A62" s="28">
        <v>51</v>
      </c>
      <c r="B62" s="29">
        <v>202531219</v>
      </c>
      <c r="C62" s="30" t="s">
        <v>83</v>
      </c>
      <c r="D62" s="28">
        <v>0</v>
      </c>
      <c r="E62" s="29">
        <v>0</v>
      </c>
      <c r="F62" s="29">
        <v>0.5</v>
      </c>
      <c r="G62" s="54">
        <v>0.5</v>
      </c>
      <c r="H62" s="28">
        <v>0.75</v>
      </c>
      <c r="I62" s="29">
        <v>0.9</v>
      </c>
      <c r="J62" s="29">
        <v>1</v>
      </c>
      <c r="K62" s="29">
        <v>1.2000000000000002</v>
      </c>
      <c r="L62" s="29">
        <v>1.4</v>
      </c>
      <c r="M62" s="29">
        <v>0.9</v>
      </c>
      <c r="N62" s="29">
        <v>0</v>
      </c>
      <c r="O62" s="29">
        <v>0.8</v>
      </c>
      <c r="P62" s="29">
        <v>1.5</v>
      </c>
      <c r="Q62" s="31">
        <v>5</v>
      </c>
      <c r="R62" s="32">
        <v>14.45</v>
      </c>
      <c r="S62" s="44" t="str">
        <f t="shared" si="0"/>
        <v>Aprobado</v>
      </c>
    </row>
    <row r="63" spans="1:19" x14ac:dyDescent="0.25">
      <c r="A63" s="28">
        <v>52</v>
      </c>
      <c r="B63" s="29">
        <v>202531289</v>
      </c>
      <c r="C63" s="30" t="s">
        <v>84</v>
      </c>
      <c r="D63" s="28">
        <v>0.5</v>
      </c>
      <c r="E63" s="29">
        <v>0</v>
      </c>
      <c r="F63" s="29">
        <v>0.5</v>
      </c>
      <c r="G63" s="54">
        <v>0.5</v>
      </c>
      <c r="H63" s="28">
        <v>0.85</v>
      </c>
      <c r="I63" s="29">
        <v>1</v>
      </c>
      <c r="J63" s="29">
        <v>1</v>
      </c>
      <c r="K63" s="29">
        <v>1.5</v>
      </c>
      <c r="L63" s="29">
        <v>2</v>
      </c>
      <c r="M63" s="29">
        <v>1.9</v>
      </c>
      <c r="N63" s="29">
        <v>1.7</v>
      </c>
      <c r="O63" s="29">
        <v>0.95</v>
      </c>
      <c r="P63" s="29">
        <v>0</v>
      </c>
      <c r="Q63" s="31">
        <v>5</v>
      </c>
      <c r="R63" s="32">
        <v>17.399999999999999</v>
      </c>
      <c r="S63" s="44" t="str">
        <f t="shared" si="0"/>
        <v>Aprobado</v>
      </c>
    </row>
    <row r="64" spans="1:19" x14ac:dyDescent="0.25">
      <c r="A64" s="28">
        <v>53</v>
      </c>
      <c r="B64" s="29">
        <v>202531319</v>
      </c>
      <c r="C64" s="30" t="s">
        <v>85</v>
      </c>
      <c r="D64" s="28">
        <v>0.5</v>
      </c>
      <c r="E64" s="29">
        <v>0</v>
      </c>
      <c r="F64" s="29">
        <v>0.25</v>
      </c>
      <c r="G64" s="54">
        <v>0.5</v>
      </c>
      <c r="H64" s="28">
        <v>0.75</v>
      </c>
      <c r="I64" s="29">
        <v>1</v>
      </c>
      <c r="J64" s="29">
        <v>1</v>
      </c>
      <c r="K64" s="29">
        <v>1.5</v>
      </c>
      <c r="L64" s="29">
        <v>1</v>
      </c>
      <c r="M64" s="29">
        <v>0</v>
      </c>
      <c r="N64" s="29">
        <v>1</v>
      </c>
      <c r="O64" s="29">
        <v>1</v>
      </c>
      <c r="P64" s="29">
        <v>1.5</v>
      </c>
      <c r="Q64" s="31">
        <v>5</v>
      </c>
      <c r="R64" s="32">
        <v>15</v>
      </c>
      <c r="S64" s="44" t="str">
        <f t="shared" si="0"/>
        <v>Aprobado</v>
      </c>
    </row>
    <row r="65" spans="1:19" x14ac:dyDescent="0.25">
      <c r="A65" s="28">
        <v>54</v>
      </c>
      <c r="B65" s="29">
        <v>202531351</v>
      </c>
      <c r="C65" s="30" t="s">
        <v>86</v>
      </c>
      <c r="D65" s="28">
        <v>0.5</v>
      </c>
      <c r="E65" s="29">
        <v>0.5</v>
      </c>
      <c r="F65" s="29">
        <v>0.5</v>
      </c>
      <c r="G65" s="54">
        <v>0.45</v>
      </c>
      <c r="H65" s="28">
        <v>1</v>
      </c>
      <c r="I65" s="29">
        <v>1</v>
      </c>
      <c r="J65" s="29">
        <v>1</v>
      </c>
      <c r="K65" s="29">
        <v>1.5</v>
      </c>
      <c r="L65" s="29">
        <v>1.6</v>
      </c>
      <c r="M65" s="29">
        <v>1.8</v>
      </c>
      <c r="N65" s="29">
        <v>2</v>
      </c>
      <c r="O65" s="29">
        <v>0.9</v>
      </c>
      <c r="P65" s="29">
        <v>1.5</v>
      </c>
      <c r="Q65" s="31">
        <v>5</v>
      </c>
      <c r="R65" s="32">
        <v>19.25</v>
      </c>
      <c r="S65" s="44" t="str">
        <f t="shared" si="0"/>
        <v>Aprobado</v>
      </c>
    </row>
    <row r="66" spans="1:19" x14ac:dyDescent="0.25">
      <c r="A66" s="28">
        <v>55</v>
      </c>
      <c r="B66" s="29">
        <v>202531352</v>
      </c>
      <c r="C66" s="30" t="s">
        <v>87</v>
      </c>
      <c r="D66" s="28">
        <v>0.5</v>
      </c>
      <c r="E66" s="29">
        <v>0</v>
      </c>
      <c r="F66" s="29">
        <v>0.5</v>
      </c>
      <c r="G66" s="54">
        <v>0.5</v>
      </c>
      <c r="H66" s="28">
        <v>1</v>
      </c>
      <c r="I66" s="29">
        <v>1</v>
      </c>
      <c r="J66" s="29">
        <v>1</v>
      </c>
      <c r="K66" s="29">
        <v>1.5</v>
      </c>
      <c r="L66" s="29">
        <v>1.4</v>
      </c>
      <c r="M66" s="29">
        <v>0</v>
      </c>
      <c r="N66" s="29">
        <v>1.5</v>
      </c>
      <c r="O66" s="29">
        <v>0.8</v>
      </c>
      <c r="P66" s="29">
        <v>0</v>
      </c>
      <c r="Q66" s="31">
        <v>5</v>
      </c>
      <c r="R66" s="32">
        <v>14.700000000000001</v>
      </c>
      <c r="S66" s="44" t="str">
        <f t="shared" si="0"/>
        <v>Aprobado</v>
      </c>
    </row>
    <row r="67" spans="1:19" x14ac:dyDescent="0.25">
      <c r="A67" s="28">
        <v>56</v>
      </c>
      <c r="B67" s="29">
        <v>202531384</v>
      </c>
      <c r="C67" s="30" t="s">
        <v>88</v>
      </c>
      <c r="D67" s="28">
        <v>0.5</v>
      </c>
      <c r="E67" s="29">
        <v>0.5</v>
      </c>
      <c r="F67" s="29">
        <v>0.25</v>
      </c>
      <c r="G67" s="54">
        <v>0.45</v>
      </c>
      <c r="H67" s="28">
        <v>1</v>
      </c>
      <c r="I67" s="29">
        <v>1</v>
      </c>
      <c r="J67" s="29">
        <v>1</v>
      </c>
      <c r="K67" s="29">
        <v>1.5</v>
      </c>
      <c r="L67" s="29">
        <v>1.4</v>
      </c>
      <c r="M67" s="29">
        <v>2</v>
      </c>
      <c r="N67" s="29">
        <v>1.8</v>
      </c>
      <c r="O67" s="29">
        <v>0.8</v>
      </c>
      <c r="P67" s="29">
        <v>1.5</v>
      </c>
      <c r="Q67" s="31">
        <v>5</v>
      </c>
      <c r="R67" s="32">
        <v>18.700000000000003</v>
      </c>
      <c r="S67" s="44" t="str">
        <f t="shared" si="0"/>
        <v>Aprobado</v>
      </c>
    </row>
    <row r="68" spans="1:19" x14ac:dyDescent="0.25">
      <c r="A68" s="28">
        <v>57</v>
      </c>
      <c r="B68" s="29">
        <v>202531399</v>
      </c>
      <c r="C68" s="30" t="s">
        <v>89</v>
      </c>
      <c r="D68" s="28">
        <v>0</v>
      </c>
      <c r="E68" s="29">
        <v>0</v>
      </c>
      <c r="F68" s="29">
        <v>0.25</v>
      </c>
      <c r="G68" s="54">
        <v>0</v>
      </c>
      <c r="H68" s="28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31">
        <v>0</v>
      </c>
      <c r="R68" s="32">
        <v>0.25</v>
      </c>
      <c r="S68" s="44" t="str">
        <f t="shared" si="0"/>
        <v>No aprobado</v>
      </c>
    </row>
    <row r="69" spans="1:19" x14ac:dyDescent="0.25">
      <c r="A69" s="28">
        <v>58</v>
      </c>
      <c r="B69" s="29">
        <v>202531441</v>
      </c>
      <c r="C69" s="30" t="s">
        <v>90</v>
      </c>
      <c r="D69" s="28">
        <v>0</v>
      </c>
      <c r="E69" s="29">
        <v>0</v>
      </c>
      <c r="F69" s="29">
        <v>0</v>
      </c>
      <c r="G69" s="54">
        <v>0</v>
      </c>
      <c r="H69" s="28">
        <v>0</v>
      </c>
      <c r="I69" s="29">
        <v>0</v>
      </c>
      <c r="J69" s="29">
        <v>0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31">
        <v>0</v>
      </c>
      <c r="R69" s="32">
        <v>0</v>
      </c>
      <c r="S69" s="44" t="str">
        <f t="shared" si="0"/>
        <v>No aprobado</v>
      </c>
    </row>
    <row r="70" spans="1:19" x14ac:dyDescent="0.25">
      <c r="A70" s="28">
        <v>59</v>
      </c>
      <c r="B70" s="29">
        <v>202531444</v>
      </c>
      <c r="C70" s="30" t="s">
        <v>91</v>
      </c>
      <c r="D70" s="28">
        <v>0.5</v>
      </c>
      <c r="E70" s="29">
        <v>0</v>
      </c>
      <c r="F70" s="29">
        <v>0.5</v>
      </c>
      <c r="G70" s="54">
        <v>0.45</v>
      </c>
      <c r="H70" s="28">
        <v>1</v>
      </c>
      <c r="I70" s="29">
        <v>0.95</v>
      </c>
      <c r="J70" s="29">
        <v>1</v>
      </c>
      <c r="K70" s="29">
        <v>1.5</v>
      </c>
      <c r="L70" s="29">
        <v>1</v>
      </c>
      <c r="M70" s="29">
        <v>0</v>
      </c>
      <c r="N70" s="29">
        <v>1.3</v>
      </c>
      <c r="O70" s="29">
        <v>1</v>
      </c>
      <c r="P70" s="29">
        <v>1.5</v>
      </c>
      <c r="Q70" s="31">
        <v>5</v>
      </c>
      <c r="R70" s="32">
        <v>15.700000000000001</v>
      </c>
      <c r="S70" s="44" t="str">
        <f t="shared" si="0"/>
        <v>Aprobado</v>
      </c>
    </row>
    <row r="71" spans="1:19" x14ac:dyDescent="0.25">
      <c r="A71" s="28">
        <v>60</v>
      </c>
      <c r="B71" s="29">
        <v>202531566</v>
      </c>
      <c r="C71" s="30" t="s">
        <v>92</v>
      </c>
      <c r="D71" s="28">
        <v>0.5</v>
      </c>
      <c r="E71" s="29">
        <v>0</v>
      </c>
      <c r="F71" s="29">
        <v>0.5</v>
      </c>
      <c r="G71" s="54">
        <v>0.45</v>
      </c>
      <c r="H71" s="28">
        <v>1</v>
      </c>
      <c r="I71" s="29">
        <v>0.85</v>
      </c>
      <c r="J71" s="29">
        <v>1</v>
      </c>
      <c r="K71" s="29">
        <v>1.5</v>
      </c>
      <c r="L71" s="29">
        <v>1.4</v>
      </c>
      <c r="M71" s="29">
        <v>1.5</v>
      </c>
      <c r="N71" s="29">
        <v>1.1000000000000001</v>
      </c>
      <c r="O71" s="29">
        <v>0.95</v>
      </c>
      <c r="P71" s="29">
        <v>1.5</v>
      </c>
      <c r="Q71" s="31">
        <v>5</v>
      </c>
      <c r="R71" s="32">
        <v>17.25</v>
      </c>
      <c r="S71" s="44" t="str">
        <f t="shared" si="0"/>
        <v>Aprobado</v>
      </c>
    </row>
    <row r="72" spans="1:19" x14ac:dyDescent="0.25">
      <c r="A72" s="28">
        <v>61</v>
      </c>
      <c r="B72" s="29">
        <v>202531611</v>
      </c>
      <c r="C72" s="30" t="s">
        <v>93</v>
      </c>
      <c r="D72" s="28">
        <v>0.5</v>
      </c>
      <c r="E72" s="29">
        <v>0</v>
      </c>
      <c r="F72" s="29">
        <v>0.5</v>
      </c>
      <c r="G72" s="54">
        <v>0</v>
      </c>
      <c r="H72" s="28">
        <v>0.75</v>
      </c>
      <c r="I72" s="29">
        <v>1</v>
      </c>
      <c r="J72" s="29">
        <v>1</v>
      </c>
      <c r="K72" s="29">
        <v>1.5</v>
      </c>
      <c r="L72" s="29">
        <v>1.4</v>
      </c>
      <c r="M72" s="29">
        <v>0.9</v>
      </c>
      <c r="N72" s="29">
        <v>1.5</v>
      </c>
      <c r="O72" s="29">
        <v>0</v>
      </c>
      <c r="P72" s="29">
        <v>0</v>
      </c>
      <c r="Q72" s="31">
        <v>5</v>
      </c>
      <c r="R72" s="32">
        <v>14.05</v>
      </c>
      <c r="S72" s="44" t="str">
        <f t="shared" si="0"/>
        <v>Aprobado</v>
      </c>
    </row>
    <row r="73" spans="1:19" x14ac:dyDescent="0.25">
      <c r="A73" s="28">
        <v>62</v>
      </c>
      <c r="B73" s="29">
        <v>202531645</v>
      </c>
      <c r="C73" s="30" t="s">
        <v>94</v>
      </c>
      <c r="D73" s="28">
        <v>0.5</v>
      </c>
      <c r="E73" s="29">
        <v>0.5</v>
      </c>
      <c r="F73" s="29">
        <v>0.5</v>
      </c>
      <c r="G73" s="54">
        <v>0.45</v>
      </c>
      <c r="H73" s="28">
        <v>1</v>
      </c>
      <c r="I73" s="29">
        <v>1</v>
      </c>
      <c r="J73" s="29">
        <v>1</v>
      </c>
      <c r="K73" s="29">
        <v>0</v>
      </c>
      <c r="L73" s="29">
        <v>0.8</v>
      </c>
      <c r="M73" s="29">
        <v>1.8</v>
      </c>
      <c r="N73" s="29">
        <v>2</v>
      </c>
      <c r="O73" s="29">
        <v>0.9</v>
      </c>
      <c r="P73" s="29">
        <v>1.5</v>
      </c>
      <c r="Q73" s="31">
        <v>5</v>
      </c>
      <c r="R73" s="32">
        <v>16.950000000000003</v>
      </c>
      <c r="S73" s="44" t="str">
        <f t="shared" si="0"/>
        <v>Aprobado</v>
      </c>
    </row>
    <row r="74" spans="1:19" x14ac:dyDescent="0.25">
      <c r="A74" s="28">
        <v>63</v>
      </c>
      <c r="B74" s="29">
        <v>202531663</v>
      </c>
      <c r="C74" s="30" t="s">
        <v>95</v>
      </c>
      <c r="D74" s="28">
        <v>0.5</v>
      </c>
      <c r="E74" s="29">
        <v>0</v>
      </c>
      <c r="F74" s="29">
        <v>0</v>
      </c>
      <c r="G74" s="54">
        <v>0</v>
      </c>
      <c r="H74" s="28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31">
        <v>0</v>
      </c>
      <c r="R74" s="32">
        <v>0.5</v>
      </c>
      <c r="S74" s="44" t="str">
        <f t="shared" si="0"/>
        <v>No aprobado</v>
      </c>
    </row>
    <row r="75" spans="1:19" x14ac:dyDescent="0.25">
      <c r="A75" s="28">
        <v>64</v>
      </c>
      <c r="B75" s="29">
        <v>202531724</v>
      </c>
      <c r="C75" s="30" t="s">
        <v>96</v>
      </c>
      <c r="D75" s="28">
        <v>0.5</v>
      </c>
      <c r="E75" s="29">
        <v>0</v>
      </c>
      <c r="F75" s="29">
        <v>0.25</v>
      </c>
      <c r="G75" s="54">
        <v>0.45</v>
      </c>
      <c r="H75" s="28">
        <v>0.4</v>
      </c>
      <c r="I75" s="29">
        <v>0.85</v>
      </c>
      <c r="J75" s="29">
        <v>1</v>
      </c>
      <c r="K75" s="29">
        <v>1.5</v>
      </c>
      <c r="L75" s="29">
        <v>1.4</v>
      </c>
      <c r="M75" s="29">
        <v>1.5</v>
      </c>
      <c r="N75" s="29">
        <v>1.4</v>
      </c>
      <c r="O75" s="29">
        <v>1</v>
      </c>
      <c r="P75" s="29">
        <v>1.5</v>
      </c>
      <c r="Q75" s="31">
        <v>5</v>
      </c>
      <c r="R75" s="32">
        <v>16.75</v>
      </c>
      <c r="S75" s="44" t="str">
        <f t="shared" si="0"/>
        <v>Aprobado</v>
      </c>
    </row>
    <row r="76" spans="1:19" x14ac:dyDescent="0.25">
      <c r="A76" s="28">
        <v>65</v>
      </c>
      <c r="B76" s="29">
        <v>202531736</v>
      </c>
      <c r="C76" s="30" t="s">
        <v>97</v>
      </c>
      <c r="D76" s="28">
        <v>0.5</v>
      </c>
      <c r="E76" s="29">
        <v>0</v>
      </c>
      <c r="F76" s="29">
        <v>0.5</v>
      </c>
      <c r="G76" s="54">
        <v>0</v>
      </c>
      <c r="H76" s="28">
        <v>0</v>
      </c>
      <c r="I76" s="29">
        <v>1</v>
      </c>
      <c r="J76" s="29">
        <v>1</v>
      </c>
      <c r="K76" s="29">
        <v>1.5</v>
      </c>
      <c r="L76" s="29">
        <v>0</v>
      </c>
      <c r="M76" s="29">
        <v>1.2</v>
      </c>
      <c r="N76" s="29">
        <v>1.3</v>
      </c>
      <c r="O76" s="29">
        <v>0.8</v>
      </c>
      <c r="P76" s="29">
        <v>1.5</v>
      </c>
      <c r="Q76" s="31">
        <v>5</v>
      </c>
      <c r="R76" s="32">
        <v>14.3</v>
      </c>
      <c r="S76" s="44" t="str">
        <f t="shared" si="0"/>
        <v>Aprobado</v>
      </c>
    </row>
    <row r="77" spans="1:19" x14ac:dyDescent="0.25">
      <c r="A77" s="28">
        <v>66</v>
      </c>
      <c r="B77" s="29">
        <v>202531778</v>
      </c>
      <c r="C77" s="30" t="s">
        <v>98</v>
      </c>
      <c r="D77" s="28">
        <v>0.5</v>
      </c>
      <c r="E77" s="29">
        <v>0</v>
      </c>
      <c r="F77" s="29">
        <v>0.5</v>
      </c>
      <c r="G77" s="54">
        <v>0.45</v>
      </c>
      <c r="H77" s="28">
        <v>0.75</v>
      </c>
      <c r="I77" s="29">
        <v>0.85</v>
      </c>
      <c r="J77" s="29">
        <v>1</v>
      </c>
      <c r="K77" s="29">
        <v>1.5</v>
      </c>
      <c r="L77" s="29">
        <v>1.4</v>
      </c>
      <c r="M77" s="29">
        <v>1.8</v>
      </c>
      <c r="N77" s="29">
        <v>2</v>
      </c>
      <c r="O77" s="29">
        <v>1</v>
      </c>
      <c r="P77" s="29">
        <v>1.5</v>
      </c>
      <c r="Q77" s="31">
        <v>5</v>
      </c>
      <c r="R77" s="32">
        <v>18.25</v>
      </c>
      <c r="S77" s="44" t="str">
        <f t="shared" ref="S77:S84" si="1">IF(R77&lt;12,"No aprobado","Aprobado")</f>
        <v>Aprobado</v>
      </c>
    </row>
    <row r="78" spans="1:19" x14ac:dyDescent="0.25">
      <c r="A78" s="28">
        <v>67</v>
      </c>
      <c r="B78" s="29">
        <v>202531844</v>
      </c>
      <c r="C78" s="30" t="s">
        <v>99</v>
      </c>
      <c r="D78" s="28">
        <v>0.5</v>
      </c>
      <c r="E78" s="29">
        <v>0</v>
      </c>
      <c r="F78" s="29">
        <v>0.5</v>
      </c>
      <c r="G78" s="54">
        <v>0.5</v>
      </c>
      <c r="H78" s="28">
        <v>1</v>
      </c>
      <c r="I78" s="29">
        <v>1</v>
      </c>
      <c r="J78" s="29">
        <v>1</v>
      </c>
      <c r="K78" s="29">
        <v>1.5</v>
      </c>
      <c r="L78" s="29">
        <v>2</v>
      </c>
      <c r="M78" s="29">
        <v>0</v>
      </c>
      <c r="N78" s="29">
        <v>2</v>
      </c>
      <c r="O78" s="29">
        <v>0</v>
      </c>
      <c r="P78" s="29">
        <v>0</v>
      </c>
      <c r="Q78" s="31">
        <v>0</v>
      </c>
      <c r="R78" s="32">
        <v>10</v>
      </c>
      <c r="S78" s="44" t="str">
        <f t="shared" si="1"/>
        <v>No aprobado</v>
      </c>
    </row>
    <row r="79" spans="1:19" x14ac:dyDescent="0.25">
      <c r="A79" s="28">
        <v>68</v>
      </c>
      <c r="B79" s="29">
        <v>202531883</v>
      </c>
      <c r="C79" s="30" t="s">
        <v>100</v>
      </c>
      <c r="D79" s="28">
        <v>0.5</v>
      </c>
      <c r="E79" s="29">
        <v>0</v>
      </c>
      <c r="F79" s="29">
        <v>0.5</v>
      </c>
      <c r="G79" s="54">
        <v>0.5</v>
      </c>
      <c r="H79" s="28">
        <v>0.85</v>
      </c>
      <c r="I79" s="29">
        <v>1</v>
      </c>
      <c r="J79" s="29">
        <v>1</v>
      </c>
      <c r="K79" s="29">
        <v>1.5</v>
      </c>
      <c r="L79" s="29">
        <v>1.8</v>
      </c>
      <c r="M79" s="29">
        <v>1.9</v>
      </c>
      <c r="N79" s="29">
        <v>1.7</v>
      </c>
      <c r="O79" s="29">
        <v>0.95</v>
      </c>
      <c r="P79" s="29">
        <v>0</v>
      </c>
      <c r="Q79" s="31">
        <v>5</v>
      </c>
      <c r="R79" s="32">
        <v>17.199999999999996</v>
      </c>
      <c r="S79" s="44" t="str">
        <f t="shared" si="1"/>
        <v>Aprobado</v>
      </c>
    </row>
    <row r="80" spans="1:19" x14ac:dyDescent="0.25">
      <c r="A80" s="28">
        <v>69</v>
      </c>
      <c r="B80" s="29">
        <v>202531947</v>
      </c>
      <c r="C80" s="30" t="s">
        <v>101</v>
      </c>
      <c r="D80" s="28">
        <v>0.5</v>
      </c>
      <c r="E80" s="29">
        <v>0</v>
      </c>
      <c r="F80" s="29">
        <v>0.5</v>
      </c>
      <c r="G80" s="54">
        <v>0</v>
      </c>
      <c r="H80" s="28">
        <v>0.85</v>
      </c>
      <c r="I80" s="29">
        <v>0.75</v>
      </c>
      <c r="J80" s="29">
        <v>1</v>
      </c>
      <c r="K80" s="29">
        <v>1.5</v>
      </c>
      <c r="L80" s="29">
        <v>1</v>
      </c>
      <c r="M80" s="29">
        <v>1.8</v>
      </c>
      <c r="N80" s="29">
        <v>1.4</v>
      </c>
      <c r="O80" s="29">
        <v>0</v>
      </c>
      <c r="P80" s="29">
        <v>0</v>
      </c>
      <c r="Q80" s="31">
        <v>0</v>
      </c>
      <c r="R80" s="32">
        <v>9.2999999999999989</v>
      </c>
      <c r="S80" s="44" t="str">
        <f t="shared" si="1"/>
        <v>No aprobado</v>
      </c>
    </row>
    <row r="81" spans="1:19" x14ac:dyDescent="0.25">
      <c r="A81" s="28">
        <v>70</v>
      </c>
      <c r="B81" s="29">
        <v>202532062</v>
      </c>
      <c r="C81" s="30" t="s">
        <v>102</v>
      </c>
      <c r="D81" s="28">
        <v>0</v>
      </c>
      <c r="E81" s="29">
        <v>0</v>
      </c>
      <c r="F81" s="29">
        <v>0.5</v>
      </c>
      <c r="G81" s="54">
        <v>0</v>
      </c>
      <c r="H81" s="28">
        <v>0.85</v>
      </c>
      <c r="I81" s="29">
        <v>1</v>
      </c>
      <c r="J81" s="29">
        <v>1</v>
      </c>
      <c r="K81" s="29">
        <v>1.5</v>
      </c>
      <c r="L81" s="29">
        <v>1</v>
      </c>
      <c r="M81" s="29">
        <v>0</v>
      </c>
      <c r="N81" s="29">
        <v>0.4</v>
      </c>
      <c r="O81" s="29">
        <v>1</v>
      </c>
      <c r="P81" s="29">
        <v>1.5</v>
      </c>
      <c r="Q81" s="31">
        <v>5</v>
      </c>
      <c r="R81" s="32">
        <v>13.75</v>
      </c>
      <c r="S81" s="44" t="str">
        <f t="shared" si="1"/>
        <v>Aprobado</v>
      </c>
    </row>
    <row r="82" spans="1:19" x14ac:dyDescent="0.25">
      <c r="A82" s="28">
        <v>71</v>
      </c>
      <c r="B82" s="29">
        <v>202532079</v>
      </c>
      <c r="C82" s="30" t="s">
        <v>103</v>
      </c>
      <c r="D82" s="28">
        <v>0</v>
      </c>
      <c r="E82" s="29">
        <v>0</v>
      </c>
      <c r="F82" s="29">
        <v>0.5</v>
      </c>
      <c r="G82" s="54">
        <v>0</v>
      </c>
      <c r="H82" s="28">
        <v>0</v>
      </c>
      <c r="I82" s="29">
        <v>0.5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31">
        <v>0</v>
      </c>
      <c r="R82" s="32">
        <v>1</v>
      </c>
      <c r="S82" s="44" t="str">
        <f t="shared" si="1"/>
        <v>No aprobado</v>
      </c>
    </row>
    <row r="83" spans="1:19" x14ac:dyDescent="0.25">
      <c r="A83" s="28">
        <v>72</v>
      </c>
      <c r="B83" s="29">
        <v>202530466</v>
      </c>
      <c r="C83" s="30" t="s">
        <v>104</v>
      </c>
      <c r="D83" s="28">
        <v>0.5</v>
      </c>
      <c r="E83" s="29">
        <v>0</v>
      </c>
      <c r="F83" s="29">
        <v>0.5</v>
      </c>
      <c r="G83" s="54">
        <v>0.5</v>
      </c>
      <c r="H83" s="28">
        <v>1</v>
      </c>
      <c r="I83" s="29">
        <v>1</v>
      </c>
      <c r="J83" s="29">
        <v>1</v>
      </c>
      <c r="K83" s="29">
        <v>1.5</v>
      </c>
      <c r="L83" s="29">
        <v>2</v>
      </c>
      <c r="M83" s="29">
        <v>2</v>
      </c>
      <c r="N83" s="29">
        <v>2</v>
      </c>
      <c r="O83" s="29">
        <v>1</v>
      </c>
      <c r="P83" s="29">
        <v>1.5</v>
      </c>
      <c r="Q83" s="31">
        <v>5</v>
      </c>
      <c r="R83" s="32">
        <v>19.5</v>
      </c>
      <c r="S83" s="44" t="str">
        <f t="shared" si="1"/>
        <v>Aprobado</v>
      </c>
    </row>
    <row r="84" spans="1:19" ht="11" thickBot="1" x14ac:dyDescent="0.3">
      <c r="A84" s="33">
        <v>73</v>
      </c>
      <c r="B84" s="34">
        <v>202030192</v>
      </c>
      <c r="C84" s="35" t="s">
        <v>105</v>
      </c>
      <c r="D84" s="33">
        <v>0</v>
      </c>
      <c r="E84" s="34">
        <v>0</v>
      </c>
      <c r="F84" s="34">
        <v>0.25</v>
      </c>
      <c r="G84" s="55">
        <v>0.375</v>
      </c>
      <c r="H84" s="33">
        <v>0</v>
      </c>
      <c r="I84" s="34">
        <v>1</v>
      </c>
      <c r="J84" s="34">
        <v>1</v>
      </c>
      <c r="K84" s="34">
        <v>1.5</v>
      </c>
      <c r="L84" s="34">
        <v>2</v>
      </c>
      <c r="M84" s="34">
        <v>1.7</v>
      </c>
      <c r="N84" s="34">
        <v>0</v>
      </c>
      <c r="O84" s="34">
        <v>0</v>
      </c>
      <c r="P84" s="34">
        <v>0</v>
      </c>
      <c r="Q84" s="36">
        <v>0</v>
      </c>
      <c r="R84" s="37">
        <v>7.8250000000000002</v>
      </c>
      <c r="S84" s="45" t="str">
        <f t="shared" si="1"/>
        <v>No aprobado</v>
      </c>
    </row>
    <row r="85" spans="1:19" ht="11" thickTop="1" x14ac:dyDescent="0.25"/>
    <row r="86" spans="1:19" x14ac:dyDescent="0.25">
      <c r="C86" s="40"/>
    </row>
    <row r="87" spans="1:19" x14ac:dyDescent="0.25">
      <c r="C87" s="40"/>
    </row>
    <row r="88" spans="1:19" x14ac:dyDescent="0.25">
      <c r="C88" s="40"/>
    </row>
    <row r="89" spans="1:19" x14ac:dyDescent="0.25">
      <c r="C89" s="46"/>
    </row>
    <row r="90" spans="1:19" x14ac:dyDescent="0.25">
      <c r="C90" s="46"/>
    </row>
    <row r="91" spans="1:19" x14ac:dyDescent="0.25">
      <c r="C91" s="40"/>
    </row>
    <row r="92" spans="1:19" x14ac:dyDescent="0.25">
      <c r="C92" s="40"/>
    </row>
    <row r="93" spans="1:19" x14ac:dyDescent="0.25">
      <c r="C93" s="40"/>
    </row>
    <row r="94" spans="1:19" x14ac:dyDescent="0.25">
      <c r="C94" s="40"/>
    </row>
    <row r="95" spans="1:19" x14ac:dyDescent="0.25">
      <c r="C95" s="46"/>
    </row>
    <row r="96" spans="1:19" x14ac:dyDescent="0.25">
      <c r="C96" s="46"/>
    </row>
    <row r="97" spans="3:3" x14ac:dyDescent="0.25">
      <c r="C97" s="40"/>
    </row>
    <row r="98" spans="3:3" x14ac:dyDescent="0.25">
      <c r="C98" s="40"/>
    </row>
    <row r="99" spans="3:3" x14ac:dyDescent="0.25">
      <c r="C99" s="40"/>
    </row>
  </sheetData>
  <mergeCells count="1">
    <mergeCell ref="D5:H5"/>
  </mergeCells>
  <conditionalFormatting sqref="S12:S84">
    <cfRule type="top10" dxfId="0" priority="1" stopIfTrue="1" rank="3"/>
  </conditionalFormatting>
  <pageMargins left="0.25" right="0.25" top="0.75" bottom="0.75" header="0.3" footer="0.3"/>
  <pageSetup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cp:lastPrinted>2025-10-28T22:24:41Z</cp:lastPrinted>
  <dcterms:created xsi:type="dcterms:W3CDTF">2025-10-28T16:56:43Z</dcterms:created>
  <dcterms:modified xsi:type="dcterms:W3CDTF">2025-10-28T22:27:43Z</dcterms:modified>
</cp:coreProperties>
</file>