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LISTADO COMPLETO MACROS\NOTAS CORREGIDAS\"/>
    </mc:Choice>
  </mc:AlternateContent>
  <xr:revisionPtr revIDLastSave="0" documentId="13_ncr:1_{3AEB1CC2-8643-41D0-96BD-3DD124FE3E2B}" xr6:coauthVersionLast="47" xr6:coauthVersionMax="47" xr10:uidLastSave="{00000000-0000-0000-0000-000000000000}"/>
  <bookViews>
    <workbookView xWindow="-110" yWindow="-110" windowWidth="19420" windowHeight="10420" xr2:uid="{B120FE9F-51A9-4E3A-8CF4-53BECC398D17}"/>
  </bookViews>
  <sheets>
    <sheet name="NOTAS FINALES" sheetId="3" r:id="rId1"/>
    <sheet name="Porcentaje de Nota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S10" i="3" l="1"/>
  <c r="G13" i="3"/>
  <c r="H13" i="3"/>
  <c r="I13" i="3"/>
  <c r="J13" i="3"/>
  <c r="K13" i="3"/>
  <c r="L13" i="3"/>
  <c r="M13" i="3"/>
  <c r="N13" i="3"/>
  <c r="O13" i="3"/>
  <c r="G14" i="3"/>
  <c r="H14" i="3"/>
  <c r="I14" i="3"/>
  <c r="J14" i="3"/>
  <c r="K14" i="3"/>
  <c r="L14" i="3"/>
  <c r="M14" i="3"/>
  <c r="N14" i="3"/>
  <c r="O14" i="3"/>
  <c r="G15" i="3"/>
  <c r="H15" i="3"/>
  <c r="I15" i="3"/>
  <c r="J15" i="3"/>
  <c r="K15" i="3"/>
  <c r="L15" i="3"/>
  <c r="M15" i="3"/>
  <c r="N15" i="3"/>
  <c r="O15" i="3"/>
  <c r="G16" i="3"/>
  <c r="H16" i="3"/>
  <c r="I16" i="3"/>
  <c r="J16" i="3"/>
  <c r="K16" i="3"/>
  <c r="L16" i="3"/>
  <c r="M16" i="3"/>
  <c r="N16" i="3"/>
  <c r="O16" i="3"/>
  <c r="G17" i="3"/>
  <c r="H17" i="3"/>
  <c r="I17" i="3"/>
  <c r="J17" i="3"/>
  <c r="K17" i="3"/>
  <c r="L17" i="3"/>
  <c r="M17" i="3"/>
  <c r="N17" i="3"/>
  <c r="O17" i="3"/>
  <c r="G18" i="3"/>
  <c r="H18" i="3"/>
  <c r="I18" i="3"/>
  <c r="J18" i="3"/>
  <c r="K18" i="3"/>
  <c r="L18" i="3"/>
  <c r="M18" i="3"/>
  <c r="N18" i="3"/>
  <c r="O18" i="3"/>
  <c r="G19" i="3"/>
  <c r="H19" i="3"/>
  <c r="I19" i="3"/>
  <c r="J19" i="3"/>
  <c r="K19" i="3"/>
  <c r="L19" i="3"/>
  <c r="M19" i="3"/>
  <c r="N19" i="3"/>
  <c r="O19" i="3"/>
  <c r="G20" i="3"/>
  <c r="H20" i="3"/>
  <c r="I20" i="3"/>
  <c r="J20" i="3"/>
  <c r="K20" i="3"/>
  <c r="L20" i="3"/>
  <c r="M20" i="3"/>
  <c r="N20" i="3"/>
  <c r="O20" i="3"/>
  <c r="G21" i="3"/>
  <c r="H21" i="3"/>
  <c r="I21" i="3"/>
  <c r="J21" i="3"/>
  <c r="K21" i="3"/>
  <c r="L21" i="3"/>
  <c r="M21" i="3"/>
  <c r="N21" i="3"/>
  <c r="O21" i="3"/>
  <c r="G22" i="3"/>
  <c r="H22" i="3"/>
  <c r="I22" i="3"/>
  <c r="J22" i="3"/>
  <c r="K22" i="3"/>
  <c r="L22" i="3"/>
  <c r="M22" i="3"/>
  <c r="N22" i="3"/>
  <c r="O22" i="3"/>
  <c r="G23" i="3"/>
  <c r="H23" i="3"/>
  <c r="I23" i="3"/>
  <c r="J23" i="3"/>
  <c r="K23" i="3"/>
  <c r="L23" i="3"/>
  <c r="M23" i="3"/>
  <c r="N23" i="3"/>
  <c r="O23" i="3"/>
  <c r="G24" i="3"/>
  <c r="H24" i="3"/>
  <c r="I24" i="3"/>
  <c r="J24" i="3"/>
  <c r="K24" i="3"/>
  <c r="L24" i="3"/>
  <c r="M24" i="3"/>
  <c r="N24" i="3"/>
  <c r="O24" i="3"/>
  <c r="G25" i="3"/>
  <c r="H25" i="3"/>
  <c r="I25" i="3"/>
  <c r="J25" i="3"/>
  <c r="K25" i="3"/>
  <c r="L25" i="3"/>
  <c r="M25" i="3"/>
  <c r="N25" i="3"/>
  <c r="O25" i="3"/>
  <c r="G26" i="3"/>
  <c r="H26" i="3"/>
  <c r="I26" i="3"/>
  <c r="J26" i="3"/>
  <c r="K26" i="3"/>
  <c r="L26" i="3"/>
  <c r="M26" i="3"/>
  <c r="N26" i="3"/>
  <c r="O26" i="3"/>
  <c r="G27" i="3"/>
  <c r="H27" i="3"/>
  <c r="I27" i="3"/>
  <c r="J27" i="3"/>
  <c r="K27" i="3"/>
  <c r="L27" i="3"/>
  <c r="M27" i="3"/>
  <c r="N27" i="3"/>
  <c r="O27" i="3"/>
  <c r="G28" i="3"/>
  <c r="H28" i="3"/>
  <c r="I28" i="3"/>
  <c r="J28" i="3"/>
  <c r="K28" i="3"/>
  <c r="L28" i="3"/>
  <c r="M28" i="3"/>
  <c r="N28" i="3"/>
  <c r="O28" i="3"/>
  <c r="G29" i="3"/>
  <c r="H29" i="3"/>
  <c r="I29" i="3"/>
  <c r="J29" i="3"/>
  <c r="K29" i="3"/>
  <c r="L29" i="3"/>
  <c r="M29" i="3"/>
  <c r="N29" i="3"/>
  <c r="O29" i="3"/>
  <c r="G30" i="3"/>
  <c r="H30" i="3"/>
  <c r="I30" i="3"/>
  <c r="J30" i="3"/>
  <c r="K30" i="3"/>
  <c r="L30" i="3"/>
  <c r="M30" i="3"/>
  <c r="N30" i="3"/>
  <c r="O30" i="3"/>
  <c r="G31" i="3"/>
  <c r="H31" i="3"/>
  <c r="I31" i="3"/>
  <c r="J31" i="3"/>
  <c r="K31" i="3"/>
  <c r="L31" i="3"/>
  <c r="M31" i="3"/>
  <c r="N31" i="3"/>
  <c r="O31" i="3"/>
  <c r="G32" i="3"/>
  <c r="H32" i="3"/>
  <c r="I32" i="3"/>
  <c r="J32" i="3"/>
  <c r="K32" i="3"/>
  <c r="L32" i="3"/>
  <c r="M32" i="3"/>
  <c r="N32" i="3"/>
  <c r="O32" i="3"/>
  <c r="G33" i="3"/>
  <c r="H33" i="3"/>
  <c r="I33" i="3"/>
  <c r="J33" i="3"/>
  <c r="K33" i="3"/>
  <c r="L33" i="3"/>
  <c r="M33" i="3"/>
  <c r="N33" i="3"/>
  <c r="O33" i="3"/>
  <c r="G34" i="3"/>
  <c r="H34" i="3"/>
  <c r="I34" i="3"/>
  <c r="J34" i="3"/>
  <c r="K34" i="3"/>
  <c r="L34" i="3"/>
  <c r="M34" i="3"/>
  <c r="N34" i="3"/>
  <c r="O34" i="3"/>
  <c r="G35" i="3"/>
  <c r="H35" i="3"/>
  <c r="I35" i="3"/>
  <c r="J35" i="3"/>
  <c r="K35" i="3"/>
  <c r="L35" i="3"/>
  <c r="M35" i="3"/>
  <c r="N35" i="3"/>
  <c r="O35" i="3"/>
  <c r="G36" i="3"/>
  <c r="H36" i="3"/>
  <c r="I36" i="3"/>
  <c r="J36" i="3"/>
  <c r="K36" i="3"/>
  <c r="L36" i="3"/>
  <c r="M36" i="3"/>
  <c r="N36" i="3"/>
  <c r="O36" i="3"/>
  <c r="G37" i="3"/>
  <c r="H37" i="3"/>
  <c r="I37" i="3"/>
  <c r="J37" i="3"/>
  <c r="K37" i="3"/>
  <c r="L37" i="3"/>
  <c r="M37" i="3"/>
  <c r="N37" i="3"/>
  <c r="O37" i="3"/>
  <c r="G38" i="3"/>
  <c r="H38" i="3"/>
  <c r="I38" i="3"/>
  <c r="J38" i="3"/>
  <c r="K38" i="3"/>
  <c r="L38" i="3"/>
  <c r="M38" i="3"/>
  <c r="N38" i="3"/>
  <c r="O38" i="3"/>
  <c r="G39" i="3"/>
  <c r="H39" i="3"/>
  <c r="I39" i="3"/>
  <c r="J39" i="3"/>
  <c r="K39" i="3"/>
  <c r="L39" i="3"/>
  <c r="M39" i="3"/>
  <c r="N39" i="3"/>
  <c r="O39" i="3"/>
  <c r="G40" i="3"/>
  <c r="H40" i="3"/>
  <c r="I40" i="3"/>
  <c r="J40" i="3"/>
  <c r="K40" i="3"/>
  <c r="L40" i="3"/>
  <c r="M40" i="3"/>
  <c r="N40" i="3"/>
  <c r="O40" i="3"/>
  <c r="G41" i="3"/>
  <c r="H41" i="3"/>
  <c r="I41" i="3"/>
  <c r="J41" i="3"/>
  <c r="K41" i="3"/>
  <c r="L41" i="3"/>
  <c r="M41" i="3"/>
  <c r="N41" i="3"/>
  <c r="O41" i="3"/>
  <c r="G42" i="3"/>
  <c r="H42" i="3"/>
  <c r="I42" i="3"/>
  <c r="J42" i="3"/>
  <c r="K42" i="3"/>
  <c r="L42" i="3"/>
  <c r="M42" i="3"/>
  <c r="N42" i="3"/>
  <c r="O42" i="3"/>
  <c r="G43" i="3"/>
  <c r="H43" i="3"/>
  <c r="I43" i="3"/>
  <c r="J43" i="3"/>
  <c r="K43" i="3"/>
  <c r="L43" i="3"/>
  <c r="M43" i="3"/>
  <c r="N43" i="3"/>
  <c r="O43" i="3"/>
  <c r="G44" i="3"/>
  <c r="H44" i="3"/>
  <c r="I44" i="3"/>
  <c r="J44" i="3"/>
  <c r="K44" i="3"/>
  <c r="L44" i="3"/>
  <c r="M44" i="3"/>
  <c r="N44" i="3"/>
  <c r="O44" i="3"/>
  <c r="G45" i="3"/>
  <c r="H45" i="3"/>
  <c r="I45" i="3"/>
  <c r="J45" i="3"/>
  <c r="K45" i="3"/>
  <c r="L45" i="3"/>
  <c r="M45" i="3"/>
  <c r="N45" i="3"/>
  <c r="O45" i="3"/>
  <c r="G46" i="3"/>
  <c r="H46" i="3"/>
  <c r="I46" i="3"/>
  <c r="J46" i="3"/>
  <c r="K46" i="3"/>
  <c r="L46" i="3"/>
  <c r="M46" i="3"/>
  <c r="N46" i="3"/>
  <c r="O46" i="3"/>
  <c r="G47" i="3"/>
  <c r="H47" i="3"/>
  <c r="I47" i="3"/>
  <c r="J47" i="3"/>
  <c r="K47" i="3"/>
  <c r="L47" i="3"/>
  <c r="M47" i="3"/>
  <c r="N47" i="3"/>
  <c r="O47" i="3"/>
  <c r="G48" i="3"/>
  <c r="H48" i="3"/>
  <c r="I48" i="3"/>
  <c r="J48" i="3"/>
  <c r="K48" i="3"/>
  <c r="L48" i="3"/>
  <c r="M48" i="3"/>
  <c r="N48" i="3"/>
  <c r="O48" i="3"/>
  <c r="G49" i="3"/>
  <c r="H49" i="3"/>
  <c r="I49" i="3"/>
  <c r="J49" i="3"/>
  <c r="K49" i="3"/>
  <c r="L49" i="3"/>
  <c r="M49" i="3"/>
  <c r="N49" i="3"/>
  <c r="O49" i="3"/>
  <c r="G50" i="3"/>
  <c r="H50" i="3"/>
  <c r="I50" i="3"/>
  <c r="J50" i="3"/>
  <c r="K50" i="3"/>
  <c r="L50" i="3"/>
  <c r="M50" i="3"/>
  <c r="N50" i="3"/>
  <c r="O50" i="3"/>
  <c r="G51" i="3"/>
  <c r="H51" i="3"/>
  <c r="I51" i="3"/>
  <c r="J51" i="3"/>
  <c r="K51" i="3"/>
  <c r="L51" i="3"/>
  <c r="M51" i="3"/>
  <c r="N51" i="3"/>
  <c r="O51" i="3"/>
  <c r="G52" i="3"/>
  <c r="H52" i="3"/>
  <c r="I52" i="3"/>
  <c r="J52" i="3"/>
  <c r="K52" i="3"/>
  <c r="L52" i="3"/>
  <c r="M52" i="3"/>
  <c r="N52" i="3"/>
  <c r="O52" i="3"/>
  <c r="G53" i="3"/>
  <c r="H53" i="3"/>
  <c r="I53" i="3"/>
  <c r="J53" i="3"/>
  <c r="K53" i="3"/>
  <c r="L53" i="3"/>
  <c r="M53" i="3"/>
  <c r="N53" i="3"/>
  <c r="O53" i="3"/>
  <c r="G54" i="3"/>
  <c r="H54" i="3"/>
  <c r="I54" i="3"/>
  <c r="J54" i="3"/>
  <c r="K54" i="3"/>
  <c r="L54" i="3"/>
  <c r="M54" i="3"/>
  <c r="N54" i="3"/>
  <c r="O54" i="3"/>
  <c r="G55" i="3"/>
  <c r="H55" i="3"/>
  <c r="I55" i="3"/>
  <c r="J55" i="3"/>
  <c r="K55" i="3"/>
  <c r="L55" i="3"/>
  <c r="M55" i="3"/>
  <c r="N55" i="3"/>
  <c r="O55" i="3"/>
  <c r="G56" i="3"/>
  <c r="H56" i="3"/>
  <c r="I56" i="3"/>
  <c r="J56" i="3"/>
  <c r="K56" i="3"/>
  <c r="L56" i="3"/>
  <c r="M56" i="3"/>
  <c r="N56" i="3"/>
  <c r="O56" i="3"/>
  <c r="G57" i="3"/>
  <c r="H57" i="3"/>
  <c r="I57" i="3"/>
  <c r="J57" i="3"/>
  <c r="K57" i="3"/>
  <c r="L57" i="3"/>
  <c r="M57" i="3"/>
  <c r="N57" i="3"/>
  <c r="O57" i="3"/>
  <c r="G58" i="3"/>
  <c r="H58" i="3"/>
  <c r="I58" i="3"/>
  <c r="J58" i="3"/>
  <c r="K58" i="3"/>
  <c r="L58" i="3"/>
  <c r="M58" i="3"/>
  <c r="N58" i="3"/>
  <c r="O58" i="3"/>
  <c r="G59" i="3"/>
  <c r="H59" i="3"/>
  <c r="I59" i="3"/>
  <c r="J59" i="3"/>
  <c r="K59" i="3"/>
  <c r="L59" i="3"/>
  <c r="M59" i="3"/>
  <c r="N59" i="3"/>
  <c r="O59" i="3"/>
  <c r="G60" i="3"/>
  <c r="H60" i="3"/>
  <c r="I60" i="3"/>
  <c r="J60" i="3"/>
  <c r="K60" i="3"/>
  <c r="L60" i="3"/>
  <c r="M60" i="3"/>
  <c r="N60" i="3"/>
  <c r="O60" i="3"/>
  <c r="G61" i="3"/>
  <c r="H61" i="3"/>
  <c r="I61" i="3"/>
  <c r="J61" i="3"/>
  <c r="K61" i="3"/>
  <c r="L61" i="3"/>
  <c r="M61" i="3"/>
  <c r="N61" i="3"/>
  <c r="O61" i="3"/>
  <c r="G62" i="3"/>
  <c r="H62" i="3"/>
  <c r="I62" i="3"/>
  <c r="J62" i="3"/>
  <c r="K62" i="3"/>
  <c r="L62" i="3"/>
  <c r="M62" i="3"/>
  <c r="N62" i="3"/>
  <c r="O62" i="3"/>
  <c r="G63" i="3"/>
  <c r="H63" i="3"/>
  <c r="I63" i="3"/>
  <c r="J63" i="3"/>
  <c r="K63" i="3"/>
  <c r="L63" i="3"/>
  <c r="M63" i="3"/>
  <c r="N63" i="3"/>
  <c r="O63" i="3"/>
  <c r="G64" i="3"/>
  <c r="H64" i="3"/>
  <c r="I64" i="3"/>
  <c r="J64" i="3"/>
  <c r="K64" i="3"/>
  <c r="L64" i="3"/>
  <c r="M64" i="3"/>
  <c r="N64" i="3"/>
  <c r="O64" i="3"/>
  <c r="G65" i="3"/>
  <c r="H65" i="3"/>
  <c r="I65" i="3"/>
  <c r="J65" i="3"/>
  <c r="K65" i="3"/>
  <c r="L65" i="3"/>
  <c r="M65" i="3"/>
  <c r="N65" i="3"/>
  <c r="O65" i="3"/>
  <c r="G66" i="3"/>
  <c r="H66" i="3"/>
  <c r="I66" i="3"/>
  <c r="J66" i="3"/>
  <c r="K66" i="3"/>
  <c r="L66" i="3"/>
  <c r="M66" i="3"/>
  <c r="N66" i="3"/>
  <c r="O66" i="3"/>
  <c r="G67" i="3"/>
  <c r="H67" i="3"/>
  <c r="I67" i="3"/>
  <c r="J67" i="3"/>
  <c r="K67" i="3"/>
  <c r="L67" i="3"/>
  <c r="M67" i="3"/>
  <c r="N67" i="3"/>
  <c r="O67" i="3"/>
  <c r="G68" i="3"/>
  <c r="H68" i="3"/>
  <c r="I68" i="3"/>
  <c r="J68" i="3"/>
  <c r="K68" i="3"/>
  <c r="L68" i="3"/>
  <c r="M68" i="3"/>
  <c r="N68" i="3"/>
  <c r="O68" i="3"/>
  <c r="G69" i="3"/>
  <c r="H69" i="3"/>
  <c r="I69" i="3"/>
  <c r="J69" i="3"/>
  <c r="K69" i="3"/>
  <c r="L69" i="3"/>
  <c r="M69" i="3"/>
  <c r="N69" i="3"/>
  <c r="O69" i="3"/>
  <c r="G70" i="3"/>
  <c r="H70" i="3"/>
  <c r="I70" i="3"/>
  <c r="J70" i="3"/>
  <c r="K70" i="3"/>
  <c r="L70" i="3"/>
  <c r="M70" i="3"/>
  <c r="N70" i="3"/>
  <c r="O70" i="3"/>
  <c r="G71" i="3"/>
  <c r="H71" i="3"/>
  <c r="I71" i="3"/>
  <c r="J71" i="3"/>
  <c r="K71" i="3"/>
  <c r="L71" i="3"/>
  <c r="M71" i="3"/>
  <c r="N71" i="3"/>
  <c r="O71" i="3"/>
  <c r="G72" i="3"/>
  <c r="H72" i="3"/>
  <c r="I72" i="3"/>
  <c r="J72" i="3"/>
  <c r="K72" i="3"/>
  <c r="L72" i="3"/>
  <c r="M72" i="3"/>
  <c r="N72" i="3"/>
  <c r="O72" i="3"/>
  <c r="G73" i="3"/>
  <c r="H73" i="3"/>
  <c r="I73" i="3"/>
  <c r="J73" i="3"/>
  <c r="K73" i="3"/>
  <c r="L73" i="3"/>
  <c r="M73" i="3"/>
  <c r="N73" i="3"/>
  <c r="O73" i="3"/>
  <c r="G74" i="3"/>
  <c r="H74" i="3"/>
  <c r="I74" i="3"/>
  <c r="J74" i="3"/>
  <c r="K74" i="3"/>
  <c r="L74" i="3"/>
  <c r="M74" i="3"/>
  <c r="N74" i="3"/>
  <c r="O74" i="3"/>
  <c r="G75" i="3"/>
  <c r="H75" i="3"/>
  <c r="I75" i="3"/>
  <c r="J75" i="3"/>
  <c r="K75" i="3"/>
  <c r="L75" i="3"/>
  <c r="M75" i="3"/>
  <c r="N75" i="3"/>
  <c r="O75" i="3"/>
  <c r="G76" i="3"/>
  <c r="H76" i="3"/>
  <c r="I76" i="3"/>
  <c r="J76" i="3"/>
  <c r="K76" i="3"/>
  <c r="L76" i="3"/>
  <c r="M76" i="3"/>
  <c r="N76" i="3"/>
  <c r="O76" i="3"/>
  <c r="G77" i="3"/>
  <c r="H77" i="3"/>
  <c r="I77" i="3"/>
  <c r="J77" i="3"/>
  <c r="K77" i="3"/>
  <c r="L77" i="3"/>
  <c r="M77" i="3"/>
  <c r="N77" i="3"/>
  <c r="O77" i="3"/>
  <c r="G78" i="3"/>
  <c r="H78" i="3"/>
  <c r="I78" i="3"/>
  <c r="J78" i="3"/>
  <c r="K78" i="3"/>
  <c r="L78" i="3"/>
  <c r="M78" i="3"/>
  <c r="N78" i="3"/>
  <c r="O78" i="3"/>
  <c r="G79" i="3"/>
  <c r="H79" i="3"/>
  <c r="I79" i="3"/>
  <c r="J79" i="3"/>
  <c r="K79" i="3"/>
  <c r="L79" i="3"/>
  <c r="M79" i="3"/>
  <c r="N79" i="3"/>
  <c r="O79" i="3"/>
  <c r="G80" i="3"/>
  <c r="H80" i="3"/>
  <c r="I80" i="3"/>
  <c r="J80" i="3"/>
  <c r="K80" i="3"/>
  <c r="L80" i="3"/>
  <c r="M80" i="3"/>
  <c r="N80" i="3"/>
  <c r="O80" i="3"/>
  <c r="G81" i="3"/>
  <c r="H81" i="3"/>
  <c r="I81" i="3"/>
  <c r="J81" i="3"/>
  <c r="K81" i="3"/>
  <c r="L81" i="3"/>
  <c r="M81" i="3"/>
  <c r="N81" i="3"/>
  <c r="O81" i="3"/>
  <c r="G82" i="3"/>
  <c r="H82" i="3"/>
  <c r="I82" i="3"/>
  <c r="J82" i="3"/>
  <c r="K82" i="3"/>
  <c r="L82" i="3"/>
  <c r="M82" i="3"/>
  <c r="N82" i="3"/>
  <c r="O82" i="3"/>
  <c r="G83" i="3"/>
  <c r="H83" i="3"/>
  <c r="I83" i="3"/>
  <c r="J83" i="3"/>
  <c r="K83" i="3"/>
  <c r="L83" i="3"/>
  <c r="M83" i="3"/>
  <c r="N83" i="3"/>
  <c r="O83" i="3"/>
  <c r="G84" i="3"/>
  <c r="H84" i="3"/>
  <c r="I84" i="3"/>
  <c r="J84" i="3"/>
  <c r="K84" i="3"/>
  <c r="L84" i="3"/>
  <c r="M84" i="3"/>
  <c r="N84" i="3"/>
  <c r="O84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O12" i="3"/>
  <c r="N12" i="3"/>
  <c r="M12" i="3"/>
  <c r="L12" i="3"/>
  <c r="K12" i="3"/>
  <c r="J12" i="3"/>
  <c r="I12" i="3"/>
  <c r="H12" i="3"/>
  <c r="G12" i="3"/>
  <c r="F12" i="3"/>
  <c r="E12" i="3"/>
  <c r="R13" i="3" l="1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12" i="3" l="1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12" i="3" l="1"/>
  <c r="P33" i="3"/>
  <c r="S33" i="3" s="1"/>
  <c r="P13" i="3"/>
  <c r="S13" i="3" s="1"/>
  <c r="P14" i="3"/>
  <c r="S14" i="3" s="1"/>
  <c r="P15" i="3"/>
  <c r="S15" i="3" s="1"/>
  <c r="P16" i="3"/>
  <c r="S16" i="3" s="1"/>
  <c r="P17" i="3"/>
  <c r="S17" i="3" s="1"/>
  <c r="P18" i="3"/>
  <c r="S18" i="3" s="1"/>
  <c r="P19" i="3"/>
  <c r="S19" i="3" s="1"/>
  <c r="P20" i="3"/>
  <c r="S20" i="3" s="1"/>
  <c r="P21" i="3"/>
  <c r="S21" i="3" s="1"/>
  <c r="P22" i="3"/>
  <c r="S22" i="3" s="1"/>
  <c r="P23" i="3"/>
  <c r="S23" i="3" s="1"/>
  <c r="P24" i="3"/>
  <c r="S24" i="3" s="1"/>
  <c r="P25" i="3"/>
  <c r="S25" i="3" s="1"/>
  <c r="P26" i="3"/>
  <c r="S26" i="3" s="1"/>
  <c r="P27" i="3"/>
  <c r="S27" i="3" s="1"/>
  <c r="P28" i="3"/>
  <c r="S28" i="3" s="1"/>
  <c r="P29" i="3"/>
  <c r="S29" i="3" s="1"/>
  <c r="P30" i="3"/>
  <c r="S30" i="3" s="1"/>
  <c r="P31" i="3"/>
  <c r="S31" i="3" s="1"/>
  <c r="P32" i="3"/>
  <c r="S32" i="3" s="1"/>
  <c r="P34" i="3"/>
  <c r="S34" i="3" s="1"/>
  <c r="P35" i="3"/>
  <c r="S35" i="3" s="1"/>
  <c r="P36" i="3"/>
  <c r="S36" i="3" s="1"/>
  <c r="P37" i="3"/>
  <c r="S37" i="3" s="1"/>
  <c r="P38" i="3"/>
  <c r="S38" i="3" s="1"/>
  <c r="P39" i="3"/>
  <c r="S39" i="3" s="1"/>
  <c r="P40" i="3"/>
  <c r="S40" i="3" s="1"/>
  <c r="P41" i="3"/>
  <c r="S41" i="3" s="1"/>
  <c r="P42" i="3"/>
  <c r="S42" i="3" s="1"/>
  <c r="P43" i="3"/>
  <c r="S43" i="3" s="1"/>
  <c r="P44" i="3"/>
  <c r="S44" i="3" s="1"/>
  <c r="P45" i="3"/>
  <c r="S45" i="3" s="1"/>
  <c r="P46" i="3"/>
  <c r="S46" i="3" s="1"/>
  <c r="P47" i="3"/>
  <c r="S47" i="3" s="1"/>
  <c r="P48" i="3"/>
  <c r="S48" i="3" s="1"/>
  <c r="P49" i="3"/>
  <c r="S49" i="3" s="1"/>
  <c r="P50" i="3"/>
  <c r="S50" i="3" s="1"/>
  <c r="P51" i="3"/>
  <c r="S51" i="3" s="1"/>
  <c r="P52" i="3"/>
  <c r="S52" i="3" s="1"/>
  <c r="P53" i="3"/>
  <c r="S53" i="3" s="1"/>
  <c r="P54" i="3"/>
  <c r="S54" i="3" s="1"/>
  <c r="P55" i="3"/>
  <c r="S55" i="3" s="1"/>
  <c r="P56" i="3"/>
  <c r="S56" i="3" s="1"/>
  <c r="P57" i="3"/>
  <c r="S57" i="3" s="1"/>
  <c r="P58" i="3"/>
  <c r="S58" i="3" s="1"/>
  <c r="P59" i="3"/>
  <c r="S59" i="3" s="1"/>
  <c r="P60" i="3"/>
  <c r="S60" i="3" s="1"/>
  <c r="P61" i="3"/>
  <c r="S61" i="3" s="1"/>
  <c r="P62" i="3"/>
  <c r="S62" i="3" s="1"/>
  <c r="P63" i="3"/>
  <c r="S63" i="3" s="1"/>
  <c r="P64" i="3"/>
  <c r="S64" i="3" s="1"/>
  <c r="P65" i="3"/>
  <c r="S65" i="3" s="1"/>
  <c r="P66" i="3"/>
  <c r="S66" i="3" s="1"/>
  <c r="P67" i="3"/>
  <c r="S67" i="3" s="1"/>
  <c r="P68" i="3"/>
  <c r="S68" i="3" s="1"/>
  <c r="P69" i="3"/>
  <c r="S69" i="3" s="1"/>
  <c r="P70" i="3"/>
  <c r="S70" i="3" s="1"/>
  <c r="P71" i="3"/>
  <c r="S71" i="3" s="1"/>
  <c r="P72" i="3"/>
  <c r="S72" i="3" s="1"/>
  <c r="P73" i="3"/>
  <c r="S73" i="3" s="1"/>
  <c r="P74" i="3"/>
  <c r="S74" i="3" s="1"/>
  <c r="P75" i="3"/>
  <c r="S75" i="3" s="1"/>
  <c r="P76" i="3"/>
  <c r="S76" i="3" s="1"/>
  <c r="P77" i="3"/>
  <c r="S77" i="3" s="1"/>
  <c r="P78" i="3"/>
  <c r="S78" i="3" s="1"/>
  <c r="P79" i="3"/>
  <c r="S79" i="3" s="1"/>
  <c r="P80" i="3"/>
  <c r="S80" i="3" s="1"/>
  <c r="P81" i="3"/>
  <c r="S81" i="3" s="1"/>
  <c r="P82" i="3"/>
  <c r="S82" i="3" s="1"/>
  <c r="P83" i="3"/>
  <c r="S83" i="3" s="1"/>
  <c r="P84" i="3"/>
  <c r="S84" i="3" s="1"/>
  <c r="P12" i="3" l="1"/>
  <c r="S12" i="3" s="1"/>
</calcChain>
</file>

<file path=xl/sharedStrings.xml><?xml version="1.0" encoding="utf-8"?>
<sst xmlns="http://schemas.openxmlformats.org/spreadsheetml/2006/main" count="226" uniqueCount="117">
  <si>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</si>
  <si>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</si>
  <si>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</si>
  <si>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</si>
  <si>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</si>
  <si>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</si>
  <si>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</si>
  <si>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</si>
  <si>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</si>
  <si>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</si>
  <si>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</si>
  <si>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</si>
  <si>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</si>
  <si>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</si>
  <si>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</si>
  <si>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</si>
  <si>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</si>
  <si>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</si>
  <si>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</si>
  <si>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</si>
  <si>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</si>
  <si>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</si>
  <si>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</si>
  <si>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</si>
  <si>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</si>
  <si>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</si>
  <si>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</si>
  <si>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</si>
  <si>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</si>
  <si>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</si>
  <si>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</si>
  <si>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</si>
  <si>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</si>
  <si>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</si>
  <si>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</si>
  <si>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</si>
  <si>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</si>
  <si>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</si>
  <si>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</si>
  <si>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</si>
  <si>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</si>
  <si>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</si>
  <si>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</si>
  <si>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</si>
  <si>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</si>
  <si>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</si>
  <si>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</si>
  <si>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</si>
  <si>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</si>
  <si>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</si>
  <si>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</si>
  <si>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</si>
  <si>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</si>
  <si>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</si>
  <si>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</si>
  <si>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</si>
  <si>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</si>
  <si>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</si>
  <si>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</si>
  <si>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</si>
  <si>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</si>
  <si>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</si>
  <si>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</si>
  <si>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</si>
  <si>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</si>
  <si>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</si>
  <si>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</si>
  <si>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</si>
  <si>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</si>
  <si>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</si>
  <si>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</si>
  <si>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</si>
  <si>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</si>
  <si>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</si>
  <si>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</si>
  <si>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</si>
  <si>
    <t>HT1</t>
  </si>
  <si>
    <t xml:space="preserve">HT2 </t>
  </si>
  <si>
    <t xml:space="preserve">HT3 </t>
  </si>
  <si>
    <t xml:space="preserve">HT4  </t>
  </si>
  <si>
    <t xml:space="preserve">TAREA </t>
  </si>
  <si>
    <t>HT Ingeniero  (29/07/2025)</t>
  </si>
  <si>
    <t>HT Ingeniero   (1/08/2025)</t>
  </si>
  <si>
    <t>HT Ingeniero  (13/08/2025)</t>
  </si>
  <si>
    <t>HT Ingeniero  (29/08/2025)</t>
  </si>
  <si>
    <t>Geometria y ecuaciones (12/08/2025)</t>
  </si>
  <si>
    <t>Evaluar Funciones (19/08/2025)</t>
  </si>
  <si>
    <t>Dominio Funciones (28/08/2025)</t>
  </si>
  <si>
    <t>Graficas   (2/09/2025)</t>
  </si>
  <si>
    <t>Representación Polinomios (11/09/2025)</t>
  </si>
  <si>
    <t>Division de Polinomios (23/09/2025)</t>
  </si>
  <si>
    <t>Funciones Racionales, Asintotas (9/10/2025)</t>
  </si>
  <si>
    <t>Funciones Exp, N, Log      (16/10/2025)</t>
  </si>
  <si>
    <t>Proyecto Final      (23/10/2025)</t>
  </si>
  <si>
    <t>PF</t>
  </si>
  <si>
    <t>NTF</t>
  </si>
  <si>
    <t>NOTAS FINALES</t>
  </si>
  <si>
    <t>Investigacion T. Polinomios (2/09/2025)</t>
  </si>
  <si>
    <t>Puntaje asignado por actividad</t>
  </si>
  <si>
    <t>HT2</t>
  </si>
  <si>
    <t>HT 3</t>
  </si>
  <si>
    <t>HT4</t>
  </si>
  <si>
    <t xml:space="preserve">HT5 </t>
  </si>
  <si>
    <t xml:space="preserve">HT6 </t>
  </si>
  <si>
    <t>HT7</t>
  </si>
  <si>
    <t>HT8</t>
  </si>
  <si>
    <t>Universidad de San Carlos de Guatemala</t>
  </si>
  <si>
    <t>Centro Universitario de Occidente</t>
  </si>
  <si>
    <t>División de Ciencias de la Ingeniería</t>
  </si>
  <si>
    <t>Segundo Semestre 2025</t>
  </si>
  <si>
    <t>Laboratorio de Matemática Básica 1</t>
  </si>
  <si>
    <t>Sección B</t>
  </si>
  <si>
    <t>Ing. Erick Adolfo Coti Sac</t>
  </si>
  <si>
    <t>Marlon Ivan Carreto Rivera, Carnet 201230088</t>
  </si>
  <si>
    <t xml:space="preserve">Docente </t>
  </si>
  <si>
    <t>Auxiliar de Laboratorio</t>
  </si>
  <si>
    <t>Aux. Marlon Ivan Carreto Rivera, Carnet 201230088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</si>
</sst>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0" fillId="0" borderId="6" xfId="0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right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textRotation="90" wrapText="1"/>
    </xf>
    <xf numFmtId="2" fontId="1" fillId="0" borderId="0" xfId="0" applyNumberFormat="1" applyFont="1"/>
    <xf numFmtId="2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2" fontId="3" fillId="0" borderId="0" xfId="0" applyNumberFormat="1" applyFont="1"/>
    <xf numFmtId="0" fontId="5" fillId="0" borderId="0" xfId="0" applyFont="1"/>
    <xf numFmtId="0" fontId="4" fillId="0" borderId="1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0" xfId="0" applyFill="1"/>
    <xf numFmtId="0" fontId="4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2" fontId="2" fillId="0" borderId="5" xfId="0" applyNumberFormat="1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6" xfId="0" applyFont="1" applyBorder="1"/>
    <xf numFmtId="2" fontId="6" fillId="0" borderId="7" xfId="0" applyNumberFormat="1" applyFont="1" applyBorder="1"/>
    <xf numFmtId="2" fontId="2" fillId="0" borderId="7" xfId="0" applyNumberFormat="1" applyFont="1" applyBorder="1"/>
    <xf numFmtId="0" fontId="6" fillId="0" borderId="8" xfId="0" applyFont="1" applyBorder="1"/>
    <xf numFmtId="0" fontId="6" fillId="0" borderId="9" xfId="0" applyFont="1" applyBorder="1"/>
    <xf numFmtId="2" fontId="6" fillId="0" borderId="10" xfId="0" applyNumberFormat="1" applyFont="1" applyBorder="1"/>
    <xf numFmtId="0" fontId="6" fillId="0" borderId="0" xfId="0" applyFont="1" applyBorder="1"/>
    <xf numFmtId="2" fontId="2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5CC2-11E2-4B97-8653-2071B7EFBC48}">
  <sheetPr>
    <tabColor rgb="FFFF0000"/>
  </sheetPr>
  <dimension ref="B1:V84"/>
  <sheetViews>
    <sheetView tabSelected="1" zoomScale="70" zoomScaleNormal="70" workbookViewId="0">
      <selection activeCell="C4" sqref="C4"/>
    </sheetView>
  </sheetViews>
  <sheetFormatPr baseColWidth="10" defaultRowHeight="14.5" x14ac:dyDescent="0.35"/>
  <cols>
    <col min="2" max="2" width="4.90625" customWidth="1"/>
    <col min="3" max="3" width="12.6328125" customWidth="1"/>
    <col min="4" max="4" width="25.7265625" customWidth="1"/>
    <col min="5" max="7" width="5.7265625" customWidth="1"/>
    <col min="8" max="8" width="5.7265625" style="25" customWidth="1"/>
    <col min="9" max="18" width="4.54296875" customWidth="1"/>
    <col min="19" max="19" width="9.6328125" style="24" customWidth="1"/>
  </cols>
  <sheetData>
    <row r="1" spans="2:22" x14ac:dyDescent="0.35">
      <c r="B1" s="39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</row>
    <row r="2" spans="2:22" x14ac:dyDescent="0.35">
      <c r="B2" s="39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</row>
    <row r="3" spans="2:22" x14ac:dyDescent="0.35">
      <c r="B3" s="39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2"/>
    </row>
    <row r="4" spans="2:22" x14ac:dyDescent="0.35">
      <c r="B4" s="39"/>
      <c r="C4" s="4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</row>
    <row r="5" spans="2:22" x14ac:dyDescent="0.35">
      <c r="B5" s="39"/>
      <c r="C5" s="40"/>
      <c r="D5" s="66"/>
      <c r="E5" s="68"/>
      <c r="F5" s="68"/>
      <c r="G5" s="68"/>
      <c r="H5" s="68"/>
      <c r="I5" s="68"/>
      <c r="J5" s="66"/>
      <c r="K5" s="66"/>
      <c r="L5" s="66"/>
      <c r="M5" s="66"/>
      <c r="N5" s="66"/>
      <c r="O5" s="66"/>
      <c r="P5" s="66"/>
      <c r="Q5" s="66"/>
      <c r="R5" s="66"/>
      <c r="S5" s="67"/>
    </row>
    <row r="6" spans="2:22" x14ac:dyDescent="0.35">
      <c r="B6" s="39"/>
      <c r="C6" s="40"/>
      <c r="D6" s="66"/>
      <c r="E6" s="69"/>
      <c r="F6" s="69"/>
      <c r="G6" s="70"/>
      <c r="H6" s="69"/>
      <c r="I6" s="69"/>
      <c r="J6" s="66"/>
      <c r="K6" s="66"/>
      <c r="L6" s="69"/>
      <c r="M6" s="69"/>
      <c r="N6" s="69"/>
      <c r="O6" s="70"/>
      <c r="P6" s="69"/>
      <c r="Q6" s="69"/>
      <c r="R6" s="69"/>
      <c r="S6" s="67"/>
    </row>
    <row r="7" spans="2:22" x14ac:dyDescent="0.35">
      <c r="B7" s="39"/>
      <c r="C7" s="40"/>
      <c r="D7" s="41"/>
      <c r="E7" s="43"/>
      <c r="F7" s="43"/>
      <c r="G7" s="44"/>
      <c r="H7" s="43"/>
      <c r="I7" s="43"/>
      <c r="J7" s="41"/>
      <c r="K7" s="41"/>
      <c r="L7" s="43"/>
      <c r="M7" s="43"/>
      <c r="N7" s="43"/>
      <c r="O7" s="44"/>
      <c r="P7" s="43"/>
      <c r="Q7" s="43"/>
      <c r="R7" s="43"/>
      <c r="S7" s="42"/>
    </row>
    <row r="8" spans="2:22" ht="15" thickBot="1" x14ac:dyDescent="0.4">
      <c r="B8" s="39"/>
      <c r="C8" s="4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2"/>
    </row>
    <row r="9" spans="2:22" s="1" customFormat="1" ht="96.5" customHeight="1" x14ac:dyDescent="0.35">
      <c r="B9" s="45"/>
      <c r="C9" s="45"/>
      <c r="D9" s="46"/>
      <c r="E9" s="47" t="s">
        <v>81</v>
      </c>
      <c r="F9" s="48" t="s">
        <v>82</v>
      </c>
      <c r="G9" s="48" t="s">
        <v>83</v>
      </c>
      <c r="H9" s="49" t="s">
        <v>84</v>
      </c>
      <c r="I9" s="47" t="s">
        <v>85</v>
      </c>
      <c r="J9" s="48" t="s">
        <v>86</v>
      </c>
      <c r="K9" s="48" t="s">
        <v>87</v>
      </c>
      <c r="L9" s="48" t="s">
        <v>97</v>
      </c>
      <c r="M9" s="48" t="s">
        <v>88</v>
      </c>
      <c r="N9" s="48" t="s">
        <v>89</v>
      </c>
      <c r="O9" s="48" t="s">
        <v>90</v>
      </c>
      <c r="P9" s="48" t="s">
        <v>91</v>
      </c>
      <c r="Q9" s="48" t="s">
        <v>92</v>
      </c>
      <c r="R9" s="48" t="s">
        <v>93</v>
      </c>
      <c r="S9" s="49" t="s">
        <v>96</v>
      </c>
      <c r="T9" s="4"/>
      <c r="U9" s="3"/>
      <c r="V9" s="3"/>
    </row>
    <row r="10" spans="2:22" s="2" customFormat="1" ht="10.5" customHeight="1" x14ac:dyDescent="0.35">
      <c r="B10" s="50"/>
      <c r="C10" s="50"/>
      <c r="D10" s="51" t="s">
        <v>98</v>
      </c>
      <c r="E10" s="52">
        <v>0.5</v>
      </c>
      <c r="F10" s="53">
        <v>0.5</v>
      </c>
      <c r="G10" s="53">
        <v>0.5</v>
      </c>
      <c r="H10" s="54">
        <v>0.5</v>
      </c>
      <c r="I10" s="52">
        <v>1</v>
      </c>
      <c r="J10" s="53">
        <v>1</v>
      </c>
      <c r="K10" s="53">
        <v>1</v>
      </c>
      <c r="L10" s="53">
        <v>1.5</v>
      </c>
      <c r="M10" s="53">
        <v>2</v>
      </c>
      <c r="N10" s="53">
        <v>2</v>
      </c>
      <c r="O10" s="53">
        <v>2</v>
      </c>
      <c r="P10" s="53">
        <v>1</v>
      </c>
      <c r="Q10" s="53">
        <v>1.5</v>
      </c>
      <c r="R10" s="53">
        <v>5</v>
      </c>
      <c r="S10" s="54">
        <f>SUM(E10:R10)</f>
        <v>20</v>
      </c>
    </row>
    <row r="11" spans="2:22" s="1" customFormat="1" ht="10.5" customHeight="1" x14ac:dyDescent="0.35">
      <c r="B11" s="45" t="s">
        <v>0</v>
      </c>
      <c r="C11" s="45" t="s">
        <v>1</v>
      </c>
      <c r="D11" s="46" t="s">
        <v>2</v>
      </c>
      <c r="E11" s="55" t="s">
        <v>76</v>
      </c>
      <c r="F11" s="56" t="s">
        <v>77</v>
      </c>
      <c r="G11" s="56" t="s">
        <v>78</v>
      </c>
      <c r="H11" s="57" t="s">
        <v>79</v>
      </c>
      <c r="I11" s="55" t="s">
        <v>76</v>
      </c>
      <c r="J11" s="56" t="s">
        <v>99</v>
      </c>
      <c r="K11" s="56" t="s">
        <v>100</v>
      </c>
      <c r="L11" s="56" t="s">
        <v>101</v>
      </c>
      <c r="M11" s="56" t="s">
        <v>80</v>
      </c>
      <c r="N11" s="56" t="s">
        <v>102</v>
      </c>
      <c r="O11" s="56" t="s">
        <v>103</v>
      </c>
      <c r="P11" s="56" t="s">
        <v>104</v>
      </c>
      <c r="Q11" s="56" t="s">
        <v>105</v>
      </c>
      <c r="R11" s="56" t="s">
        <v>94</v>
      </c>
      <c r="S11" s="57" t="s">
        <v>95</v>
      </c>
    </row>
    <row r="12" spans="2:22" ht="10.5" customHeight="1" x14ac:dyDescent="0.35">
      <c r="B12" s="58">
        <v>1</v>
      </c>
      <c r="C12" s="58">
        <v>202030174</v>
      </c>
      <c r="D12" s="59" t="s">
        <v>3</v>
      </c>
      <c r="E12" s="60">
        <f>IF('Porcentaje de Notas'!D12="","",('Porcentaje de Notas'!D12/100)*$E$10)</f>
        <v>0</v>
      </c>
      <c r="F12" s="58">
        <f>IF('Porcentaje de Notas'!E12="","",('Porcentaje de Notas'!E12/100)*$F$10)</f>
        <v>0.25</v>
      </c>
      <c r="G12" s="58">
        <f>IF('Porcentaje de Notas'!F12="","",('Porcentaje de Notas'!F12/100)*$G$10)</f>
        <v>0.25</v>
      </c>
      <c r="H12" s="61">
        <f>IF('Porcentaje de Notas'!G12="","",('Porcentaje de Notas'!G12/100)*$H$10)</f>
        <v>0</v>
      </c>
      <c r="I12" s="60">
        <f>IF('Porcentaje de Notas'!H12="","",('Porcentaje de Notas'!H12/100)*$I$10)</f>
        <v>0</v>
      </c>
      <c r="J12" s="58">
        <f>IF('Porcentaje de Notas'!I12="","",('Porcentaje de Notas'!I12/100)*$J$10)</f>
        <v>0</v>
      </c>
      <c r="K12" s="58">
        <f>IF('Porcentaje de Notas'!J12="","",('Porcentaje de Notas'!J12/100)*$K$10)</f>
        <v>0</v>
      </c>
      <c r="L12" s="58">
        <f>IF('Porcentaje de Notas'!K12="","",('Porcentaje de Notas'!K12/100)*$L$10)</f>
        <v>1.5</v>
      </c>
      <c r="M12" s="58">
        <f>IF('Porcentaje de Notas'!L12="","",('Porcentaje de Notas'!L12/100)*$M$10)</f>
        <v>0</v>
      </c>
      <c r="N12" s="58">
        <f>IF('Porcentaje de Notas'!M12="","",('Porcentaje de Notas'!M12/100)*$N$10)</f>
        <v>0</v>
      </c>
      <c r="O12" s="58">
        <f>IF('Porcentaje de Notas'!N12="","",('Porcentaje de Notas'!N12/100)*$O$10)</f>
        <v>2</v>
      </c>
      <c r="P12" s="58">
        <f>IF('Porcentaje de Notas'!O12="","",('Porcentaje de Notas'!O12/100)*$P$10)</f>
        <v>0</v>
      </c>
      <c r="Q12" s="58">
        <f>IF('Porcentaje de Notas'!P12="","",('Porcentaje de Notas'!P12/100)*$Q$10)</f>
        <v>0</v>
      </c>
      <c r="R12" s="58">
        <f>IF('Porcentaje de Notas'!Q12="","",('Porcentaje de Notas'!Q12/100)*$R$10)</f>
        <v>0</v>
      </c>
      <c r="S12" s="62">
        <f>SUM(E12:R12)</f>
        <v>4</v>
      </c>
    </row>
    <row r="13" spans="2:22" ht="10.5" customHeight="1" x14ac:dyDescent="0.35">
      <c r="B13" s="58">
        <v>2</v>
      </c>
      <c r="C13" s="58">
        <v>202032032</v>
      </c>
      <c r="D13" s="59" t="s">
        <v>4</v>
      </c>
      <c r="E13" s="60">
        <f>IF('Porcentaje de Notas'!D13="","",('Porcentaje de Notas'!D13/100)*$E$10)</f>
        <v>0.5</v>
      </c>
      <c r="F13" s="58">
        <f>IF('Porcentaje de Notas'!E13="","",('Porcentaje de Notas'!E13/100)*$F$10)</f>
        <v>0.25</v>
      </c>
      <c r="G13" s="58">
        <f>IF('Porcentaje de Notas'!F13="","",('Porcentaje de Notas'!F13/100)*$G$10)</f>
        <v>0.25</v>
      </c>
      <c r="H13" s="61">
        <f>IF('Porcentaje de Notas'!G13="","",('Porcentaje de Notas'!G13/100)*$H$10)</f>
        <v>0.5</v>
      </c>
      <c r="I13" s="60">
        <f>IF('Porcentaje de Notas'!H13="","",('Porcentaje de Notas'!H13/100)*$I$10)</f>
        <v>1</v>
      </c>
      <c r="J13" s="58">
        <f>IF('Porcentaje de Notas'!I13="","",('Porcentaje de Notas'!I13/100)*$J$10)</f>
        <v>1</v>
      </c>
      <c r="K13" s="58">
        <f>IF('Porcentaje de Notas'!J13="","",('Porcentaje de Notas'!J13/100)*$K$10)</f>
        <v>1</v>
      </c>
      <c r="L13" s="58">
        <f>IF('Porcentaje de Notas'!K13="","",('Porcentaje de Notas'!K13/100)*$L$10)</f>
        <v>1.5</v>
      </c>
      <c r="M13" s="58">
        <f>IF('Porcentaje de Notas'!L13="","",('Porcentaje de Notas'!L13/100)*$M$10)</f>
        <v>1.6</v>
      </c>
      <c r="N13" s="58">
        <f>IF('Porcentaje de Notas'!M13="","",('Porcentaje de Notas'!M13/100)*$N$10)</f>
        <v>2</v>
      </c>
      <c r="O13" s="58">
        <f>IF('Porcentaje de Notas'!N13="","",('Porcentaje de Notas'!N13/100)*$O$10)</f>
        <v>2</v>
      </c>
      <c r="P13" s="58">
        <f>IF('Porcentaje de Notas'!O13="","",('Porcentaje de Notas'!O13/100)*$P$10)</f>
        <v>1</v>
      </c>
      <c r="Q13" s="58">
        <f>IF('Porcentaje de Notas'!P13="","",('Porcentaje de Notas'!P13/100)*$Q$10)</f>
        <v>1.5</v>
      </c>
      <c r="R13" s="58">
        <f>IF('Porcentaje de Notas'!Q13="","",('Porcentaje de Notas'!Q13/100)*$R$10)</f>
        <v>5</v>
      </c>
      <c r="S13" s="62">
        <f t="shared" ref="S13:S76" si="0">SUM(E13:R13)</f>
        <v>19.100000000000001</v>
      </c>
    </row>
    <row r="14" spans="2:22" ht="10.5" customHeight="1" x14ac:dyDescent="0.35">
      <c r="B14" s="58">
        <v>3</v>
      </c>
      <c r="C14" s="58">
        <v>202231116</v>
      </c>
      <c r="D14" s="59" t="s">
        <v>5</v>
      </c>
      <c r="E14" s="60">
        <f>IF('Porcentaje de Notas'!D14="","",('Porcentaje de Notas'!D14/100)*$E$10)</f>
        <v>0.5</v>
      </c>
      <c r="F14" s="58">
        <f>IF('Porcentaje de Notas'!E14="","",('Porcentaje de Notas'!E14/100)*$F$10)</f>
        <v>0.25</v>
      </c>
      <c r="G14" s="58">
        <f>IF('Porcentaje de Notas'!F14="","",('Porcentaje de Notas'!F14/100)*$G$10)</f>
        <v>0.5</v>
      </c>
      <c r="H14" s="61">
        <f>IF('Porcentaje de Notas'!G14="","",('Porcentaje de Notas'!G14/100)*$H$10)</f>
        <v>0</v>
      </c>
      <c r="I14" s="60">
        <f>IF('Porcentaje de Notas'!H14="","",('Porcentaje de Notas'!H14/100)*$I$10)</f>
        <v>0.85</v>
      </c>
      <c r="J14" s="58">
        <f>IF('Porcentaje de Notas'!I14="","",('Porcentaje de Notas'!I14/100)*$J$10)</f>
        <v>1</v>
      </c>
      <c r="K14" s="58">
        <f>IF('Porcentaje de Notas'!J14="","",('Porcentaje de Notas'!J14/100)*$K$10)</f>
        <v>1</v>
      </c>
      <c r="L14" s="58">
        <f>IF('Porcentaje de Notas'!K14="","",('Porcentaje de Notas'!K14/100)*$L$10)</f>
        <v>1.5</v>
      </c>
      <c r="M14" s="58">
        <f>IF('Porcentaje de Notas'!L14="","",('Porcentaje de Notas'!L14/100)*$M$10)</f>
        <v>1.4</v>
      </c>
      <c r="N14" s="58">
        <f>IF('Porcentaje de Notas'!M14="","",('Porcentaje de Notas'!M14/100)*$N$10)</f>
        <v>0</v>
      </c>
      <c r="O14" s="58">
        <f>IF('Porcentaje de Notas'!N14="","",('Porcentaje de Notas'!N14/100)*$O$10)</f>
        <v>1.7</v>
      </c>
      <c r="P14" s="58">
        <f>IF('Porcentaje de Notas'!O14="","",('Porcentaje de Notas'!O14/100)*$P$10)</f>
        <v>0.8</v>
      </c>
      <c r="Q14" s="58">
        <f>IF('Porcentaje de Notas'!P14="","",('Porcentaje de Notas'!P14/100)*$Q$10)</f>
        <v>0</v>
      </c>
      <c r="R14" s="58">
        <f>IF('Porcentaje de Notas'!Q14="","",('Porcentaje de Notas'!Q14/100)*$R$10)</f>
        <v>5</v>
      </c>
      <c r="S14" s="62">
        <f t="shared" si="0"/>
        <v>14.5</v>
      </c>
    </row>
    <row r="15" spans="2:22" ht="10.5" customHeight="1" x14ac:dyDescent="0.35">
      <c r="B15" s="58">
        <v>4</v>
      </c>
      <c r="C15" s="58">
        <v>202330276</v>
      </c>
      <c r="D15" s="59" t="s">
        <v>6</v>
      </c>
      <c r="E15" s="60">
        <f>IF('Porcentaje de Notas'!D15="","",('Porcentaje de Notas'!D15/100)*$E$10)</f>
        <v>0</v>
      </c>
      <c r="F15" s="58">
        <f>IF('Porcentaje de Notas'!E15="","",('Porcentaje de Notas'!E15/100)*$F$10)</f>
        <v>0.25</v>
      </c>
      <c r="G15" s="58">
        <f>IF('Porcentaje de Notas'!F15="","",('Porcentaje de Notas'!F15/100)*$G$10)</f>
        <v>0</v>
      </c>
      <c r="H15" s="61">
        <f>IF('Porcentaje de Notas'!G15="","",('Porcentaje de Notas'!G15/100)*$H$10)</f>
        <v>0</v>
      </c>
      <c r="I15" s="60">
        <f>IF('Porcentaje de Notas'!H15="","",('Porcentaje de Notas'!H15/100)*$I$10)</f>
        <v>0</v>
      </c>
      <c r="J15" s="58">
        <f>IF('Porcentaje de Notas'!I15="","",('Porcentaje de Notas'!I15/100)*$J$10)</f>
        <v>0</v>
      </c>
      <c r="K15" s="58">
        <f>IF('Porcentaje de Notas'!J15="","",('Porcentaje de Notas'!J15/100)*$K$10)</f>
        <v>0</v>
      </c>
      <c r="L15" s="58">
        <f>IF('Porcentaje de Notas'!K15="","",('Porcentaje de Notas'!K15/100)*$L$10)</f>
        <v>0</v>
      </c>
      <c r="M15" s="58">
        <f>IF('Porcentaje de Notas'!L15="","",('Porcentaje de Notas'!L15/100)*$M$10)</f>
        <v>0</v>
      </c>
      <c r="N15" s="58">
        <f>IF('Porcentaje de Notas'!M15="","",('Porcentaje de Notas'!M15/100)*$N$10)</f>
        <v>0</v>
      </c>
      <c r="O15" s="58">
        <f>IF('Porcentaje de Notas'!N15="","",('Porcentaje de Notas'!N15/100)*$O$10)</f>
        <v>0</v>
      </c>
      <c r="P15" s="58">
        <f>IF('Porcentaje de Notas'!O15="","",('Porcentaje de Notas'!O15/100)*$P$10)</f>
        <v>0</v>
      </c>
      <c r="Q15" s="58">
        <f>IF('Porcentaje de Notas'!P15="","",('Porcentaje de Notas'!P15/100)*$Q$10)</f>
        <v>0</v>
      </c>
      <c r="R15" s="58">
        <f>IF('Porcentaje de Notas'!Q15="","",('Porcentaje de Notas'!Q15/100)*$R$10)</f>
        <v>0</v>
      </c>
      <c r="S15" s="62">
        <f t="shared" si="0"/>
        <v>0.25</v>
      </c>
    </row>
    <row r="16" spans="2:22" ht="10.5" customHeight="1" x14ac:dyDescent="0.35">
      <c r="B16" s="58">
        <v>5</v>
      </c>
      <c r="C16" s="58">
        <v>202331587</v>
      </c>
      <c r="D16" s="59" t="s">
        <v>7</v>
      </c>
      <c r="E16" s="60">
        <f>IF('Porcentaje de Notas'!D16="","",('Porcentaje de Notas'!D16/100)*$E$10)</f>
        <v>0</v>
      </c>
      <c r="F16" s="58">
        <f>IF('Porcentaje de Notas'!E16="","",('Porcentaje de Notas'!E16/100)*$F$10)</f>
        <v>0.25</v>
      </c>
      <c r="G16" s="58">
        <f>IF('Porcentaje de Notas'!F16="","",('Porcentaje de Notas'!F16/100)*$G$10)</f>
        <v>0.5</v>
      </c>
      <c r="H16" s="61">
        <f>IF('Porcentaje de Notas'!G16="","",('Porcentaje de Notas'!G16/100)*$H$10)</f>
        <v>0.45</v>
      </c>
      <c r="I16" s="60">
        <f>IF('Porcentaje de Notas'!H16="","",('Porcentaje de Notas'!H16/100)*$I$10)</f>
        <v>0</v>
      </c>
      <c r="J16" s="58">
        <f>IF('Porcentaje de Notas'!I16="","",('Porcentaje de Notas'!I16/100)*$J$10)</f>
        <v>0.5</v>
      </c>
      <c r="K16" s="58">
        <f>IF('Porcentaje de Notas'!J16="","",('Porcentaje de Notas'!J16/100)*$K$10)</f>
        <v>0.9</v>
      </c>
      <c r="L16" s="58">
        <f>IF('Porcentaje de Notas'!K16="","",('Porcentaje de Notas'!K16/100)*$L$10)</f>
        <v>1.2000000000000002</v>
      </c>
      <c r="M16" s="58">
        <f>IF('Porcentaje de Notas'!L16="","",('Porcentaje de Notas'!L16/100)*$M$10)</f>
        <v>1.5</v>
      </c>
      <c r="N16" s="58">
        <f>IF('Porcentaje de Notas'!M16="","",('Porcentaje de Notas'!M16/100)*$N$10)</f>
        <v>1.7</v>
      </c>
      <c r="O16" s="58">
        <f>IF('Porcentaje de Notas'!N16="","",('Porcentaje de Notas'!N16/100)*$O$10)</f>
        <v>0</v>
      </c>
      <c r="P16" s="58">
        <f>IF('Porcentaje de Notas'!O16="","",('Porcentaje de Notas'!O16/100)*$P$10)</f>
        <v>1</v>
      </c>
      <c r="Q16" s="58">
        <f>IF('Porcentaje de Notas'!P16="","",('Porcentaje de Notas'!P16/100)*$Q$10)</f>
        <v>1.5</v>
      </c>
      <c r="R16" s="58">
        <f>IF('Porcentaje de Notas'!Q16="","",('Porcentaje de Notas'!Q16/100)*$R$10)</f>
        <v>5</v>
      </c>
      <c r="S16" s="62">
        <f t="shared" si="0"/>
        <v>14.5</v>
      </c>
    </row>
    <row r="17" spans="2:19" ht="10.5" customHeight="1" x14ac:dyDescent="0.35">
      <c r="B17" s="58">
        <v>6</v>
      </c>
      <c r="C17" s="58">
        <v>202332049</v>
      </c>
      <c r="D17" s="59" t="s">
        <v>8</v>
      </c>
      <c r="E17" s="60">
        <f>IF('Porcentaje de Notas'!D17="","",('Porcentaje de Notas'!D17/100)*$E$10)</f>
        <v>0</v>
      </c>
      <c r="F17" s="58">
        <f>IF('Porcentaje de Notas'!E17="","",('Porcentaje de Notas'!E17/100)*$F$10)</f>
        <v>0.25</v>
      </c>
      <c r="G17" s="58">
        <f>IF('Porcentaje de Notas'!F17="","",('Porcentaje de Notas'!F17/100)*$G$10)</f>
        <v>0</v>
      </c>
      <c r="H17" s="61">
        <f>IF('Porcentaje de Notas'!G17="","",('Porcentaje de Notas'!G17/100)*$H$10)</f>
        <v>0</v>
      </c>
      <c r="I17" s="60">
        <f>IF('Porcentaje de Notas'!H17="","",('Porcentaje de Notas'!H17/100)*$I$10)</f>
        <v>0</v>
      </c>
      <c r="J17" s="58">
        <f>IF('Porcentaje de Notas'!I17="","",('Porcentaje de Notas'!I17/100)*$J$10)</f>
        <v>0</v>
      </c>
      <c r="K17" s="58">
        <f>IF('Porcentaje de Notas'!J17="","",('Porcentaje de Notas'!J17/100)*$K$10)</f>
        <v>0</v>
      </c>
      <c r="L17" s="58">
        <f>IF('Porcentaje de Notas'!K17="","",('Porcentaje de Notas'!K17/100)*$L$10)</f>
        <v>0</v>
      </c>
      <c r="M17" s="58">
        <f>IF('Porcentaje de Notas'!L17="","",('Porcentaje de Notas'!L17/100)*$M$10)</f>
        <v>0</v>
      </c>
      <c r="N17" s="58">
        <f>IF('Porcentaje de Notas'!M17="","",('Porcentaje de Notas'!M17/100)*$N$10)</f>
        <v>0</v>
      </c>
      <c r="O17" s="58">
        <f>IF('Porcentaje de Notas'!N17="","",('Porcentaje de Notas'!N17/100)*$O$10)</f>
        <v>0</v>
      </c>
      <c r="P17" s="58">
        <f>IF('Porcentaje de Notas'!O17="","",('Porcentaje de Notas'!O17/100)*$P$10)</f>
        <v>0</v>
      </c>
      <c r="Q17" s="58">
        <f>IF('Porcentaje de Notas'!P17="","",('Porcentaje de Notas'!P17/100)*$Q$10)</f>
        <v>0</v>
      </c>
      <c r="R17" s="58">
        <f>IF('Porcentaje de Notas'!Q17="","",('Porcentaje de Notas'!Q17/100)*$R$10)</f>
        <v>0</v>
      </c>
      <c r="S17" s="62">
        <f t="shared" si="0"/>
        <v>0.25</v>
      </c>
    </row>
    <row r="18" spans="2:19" ht="10.5" customHeight="1" x14ac:dyDescent="0.35">
      <c r="B18" s="58">
        <v>7</v>
      </c>
      <c r="C18" s="58">
        <v>202402553</v>
      </c>
      <c r="D18" s="59" t="s">
        <v>9</v>
      </c>
      <c r="E18" s="60">
        <f>IF('Porcentaje de Notas'!D18="","",('Porcentaje de Notas'!D18/100)*$E$10)</f>
        <v>0.5</v>
      </c>
      <c r="F18" s="58">
        <f>IF('Porcentaje de Notas'!E18="","",('Porcentaje de Notas'!E18/100)*$F$10)</f>
        <v>0.25</v>
      </c>
      <c r="G18" s="58">
        <f>IF('Porcentaje de Notas'!F18="","",('Porcentaje de Notas'!F18/100)*$G$10)</f>
        <v>0.5</v>
      </c>
      <c r="H18" s="61">
        <f>IF('Porcentaje de Notas'!G18="","",('Porcentaje de Notas'!G18/100)*$H$10)</f>
        <v>0.45</v>
      </c>
      <c r="I18" s="60">
        <f>IF('Porcentaje de Notas'!H18="","",('Porcentaje de Notas'!H18/100)*$I$10)</f>
        <v>0.6</v>
      </c>
      <c r="J18" s="58">
        <f>IF('Porcentaje de Notas'!I18="","",('Porcentaje de Notas'!I18/100)*$J$10)</f>
        <v>0</v>
      </c>
      <c r="K18" s="58">
        <f>IF('Porcentaje de Notas'!J18="","",('Porcentaje de Notas'!J18/100)*$K$10)</f>
        <v>1</v>
      </c>
      <c r="L18" s="58">
        <f>IF('Porcentaje de Notas'!K18="","",('Porcentaje de Notas'!K18/100)*$L$10)</f>
        <v>1.5</v>
      </c>
      <c r="M18" s="58">
        <f>IF('Porcentaje de Notas'!L18="","",('Porcentaje de Notas'!L18/100)*$M$10)</f>
        <v>1</v>
      </c>
      <c r="N18" s="58">
        <f>IF('Porcentaje de Notas'!M18="","",('Porcentaje de Notas'!M18/100)*$N$10)</f>
        <v>0</v>
      </c>
      <c r="O18" s="58">
        <f>IF('Porcentaje de Notas'!N18="","",('Porcentaje de Notas'!N18/100)*$O$10)</f>
        <v>1.3</v>
      </c>
      <c r="P18" s="58">
        <f>IF('Porcentaje de Notas'!O18="","",('Porcentaje de Notas'!O18/100)*$P$10)</f>
        <v>0.8</v>
      </c>
      <c r="Q18" s="58">
        <f>IF('Porcentaje de Notas'!P18="","",('Porcentaje de Notas'!P18/100)*$Q$10)</f>
        <v>1.5</v>
      </c>
      <c r="R18" s="58">
        <f>IF('Porcentaje de Notas'!Q18="","",('Porcentaje de Notas'!Q18/100)*$R$10)</f>
        <v>0</v>
      </c>
      <c r="S18" s="62">
        <f t="shared" si="0"/>
        <v>9.3999999999999986</v>
      </c>
    </row>
    <row r="19" spans="2:19" ht="10.5" customHeight="1" x14ac:dyDescent="0.35">
      <c r="B19" s="58">
        <v>8</v>
      </c>
      <c r="C19" s="58">
        <v>202430271</v>
      </c>
      <c r="D19" s="59" t="s">
        <v>10</v>
      </c>
      <c r="E19" s="60">
        <f>IF('Porcentaje de Notas'!D19="","",('Porcentaje de Notas'!D19/100)*$E$10)</f>
        <v>0</v>
      </c>
      <c r="F19" s="58">
        <f>IF('Porcentaje de Notas'!E19="","",('Porcentaje de Notas'!E19/100)*$F$10)</f>
        <v>0.5</v>
      </c>
      <c r="G19" s="58">
        <f>IF('Porcentaje de Notas'!F19="","",('Porcentaje de Notas'!F19/100)*$G$10)</f>
        <v>0</v>
      </c>
      <c r="H19" s="61">
        <f>IF('Porcentaje de Notas'!G19="","",('Porcentaje de Notas'!G19/100)*$H$10)</f>
        <v>0</v>
      </c>
      <c r="I19" s="60">
        <f>IF('Porcentaje de Notas'!H19="","",('Porcentaje de Notas'!H19/100)*$I$10)</f>
        <v>1</v>
      </c>
      <c r="J19" s="58">
        <f>IF('Porcentaje de Notas'!I19="","",('Porcentaje de Notas'!I19/100)*$J$10)</f>
        <v>1</v>
      </c>
      <c r="K19" s="58">
        <f>IF('Porcentaje de Notas'!J19="","",('Porcentaje de Notas'!J19/100)*$K$10)</f>
        <v>0</v>
      </c>
      <c r="L19" s="58">
        <f>IF('Porcentaje de Notas'!K19="","",('Porcentaje de Notas'!K19/100)*$L$10)</f>
        <v>0</v>
      </c>
      <c r="M19" s="58">
        <f>IF('Porcentaje de Notas'!L19="","",('Porcentaje de Notas'!L19/100)*$M$10)</f>
        <v>0</v>
      </c>
      <c r="N19" s="58">
        <f>IF('Porcentaje de Notas'!M19="","",('Porcentaje de Notas'!M19/100)*$N$10)</f>
        <v>0</v>
      </c>
      <c r="O19" s="58">
        <f>IF('Porcentaje de Notas'!N19="","",('Porcentaje de Notas'!N19/100)*$O$10)</f>
        <v>1.4</v>
      </c>
      <c r="P19" s="58">
        <f>IF('Porcentaje de Notas'!O19="","",('Porcentaje de Notas'!O19/100)*$P$10)</f>
        <v>0.8</v>
      </c>
      <c r="Q19" s="58">
        <f>IF('Porcentaje de Notas'!P19="","",('Porcentaje de Notas'!P19/100)*$Q$10)</f>
        <v>0</v>
      </c>
      <c r="R19" s="58">
        <f>IF('Porcentaje de Notas'!Q19="","",('Porcentaje de Notas'!Q19/100)*$R$10)</f>
        <v>5</v>
      </c>
      <c r="S19" s="62">
        <f t="shared" si="0"/>
        <v>9.6999999999999993</v>
      </c>
    </row>
    <row r="20" spans="2:19" ht="10.5" customHeight="1" x14ac:dyDescent="0.35">
      <c r="B20" s="58">
        <v>9</v>
      </c>
      <c r="C20" s="58">
        <v>202430532</v>
      </c>
      <c r="D20" s="59" t="s">
        <v>11</v>
      </c>
      <c r="E20" s="60">
        <f>IF('Porcentaje de Notas'!D20="","",('Porcentaje de Notas'!D20/100)*$E$10)</f>
        <v>0.5</v>
      </c>
      <c r="F20" s="58">
        <f>IF('Porcentaje de Notas'!E20="","",('Porcentaje de Notas'!E20/100)*$F$10)</f>
        <v>0.25</v>
      </c>
      <c r="G20" s="58">
        <f>IF('Porcentaje de Notas'!F20="","",('Porcentaje de Notas'!F20/100)*$G$10)</f>
        <v>0.5</v>
      </c>
      <c r="H20" s="61">
        <f>IF('Porcentaje de Notas'!G20="","",('Porcentaje de Notas'!G20/100)*$H$10)</f>
        <v>0.5</v>
      </c>
      <c r="I20" s="60">
        <f>IF('Porcentaje de Notas'!H20="","",('Porcentaje de Notas'!H20/100)*$I$10)</f>
        <v>1</v>
      </c>
      <c r="J20" s="58">
        <f>IF('Porcentaje de Notas'!I20="","",('Porcentaje de Notas'!I20/100)*$J$10)</f>
        <v>1</v>
      </c>
      <c r="K20" s="58">
        <f>IF('Porcentaje de Notas'!J20="","",('Porcentaje de Notas'!J20/100)*$K$10)</f>
        <v>1</v>
      </c>
      <c r="L20" s="58">
        <f>IF('Porcentaje de Notas'!K20="","",('Porcentaje de Notas'!K20/100)*$L$10)</f>
        <v>1.5</v>
      </c>
      <c r="M20" s="58">
        <f>IF('Porcentaje de Notas'!L20="","",('Porcentaje de Notas'!L20/100)*$M$10)</f>
        <v>2</v>
      </c>
      <c r="N20" s="58">
        <f>IF('Porcentaje de Notas'!M20="","",('Porcentaje de Notas'!M20/100)*$N$10)</f>
        <v>1.3</v>
      </c>
      <c r="O20" s="58">
        <f>IF('Porcentaje de Notas'!N20="","",('Porcentaje de Notas'!N20/100)*$O$10)</f>
        <v>1.6</v>
      </c>
      <c r="P20" s="58">
        <f>IF('Porcentaje de Notas'!O20="","",('Porcentaje de Notas'!O20/100)*$P$10)</f>
        <v>1</v>
      </c>
      <c r="Q20" s="58">
        <f>IF('Porcentaje de Notas'!P20="","",('Porcentaje de Notas'!P20/100)*$Q$10)</f>
        <v>1.5</v>
      </c>
      <c r="R20" s="58">
        <f>IF('Porcentaje de Notas'!Q20="","",('Porcentaje de Notas'!Q20/100)*$R$10)</f>
        <v>5</v>
      </c>
      <c r="S20" s="62">
        <f t="shared" si="0"/>
        <v>18.649999999999999</v>
      </c>
    </row>
    <row r="21" spans="2:19" ht="10.5" customHeight="1" x14ac:dyDescent="0.35">
      <c r="B21" s="58">
        <v>10</v>
      </c>
      <c r="C21" s="58">
        <v>202430589</v>
      </c>
      <c r="D21" s="59" t="s">
        <v>12</v>
      </c>
      <c r="E21" s="60">
        <f>IF('Porcentaje de Notas'!D21="","",('Porcentaje de Notas'!D21/100)*$E$10)</f>
        <v>0</v>
      </c>
      <c r="F21" s="58">
        <f>IF('Porcentaje de Notas'!E21="","",('Porcentaje de Notas'!E21/100)*$F$10)</f>
        <v>0.25</v>
      </c>
      <c r="G21" s="58">
        <f>IF('Porcentaje de Notas'!F21="","",('Porcentaje de Notas'!F21/100)*$G$10)</f>
        <v>0</v>
      </c>
      <c r="H21" s="61">
        <f>IF('Porcentaje de Notas'!G21="","",('Porcentaje de Notas'!G21/100)*$H$10)</f>
        <v>0.5</v>
      </c>
      <c r="I21" s="60">
        <f>IF('Porcentaje de Notas'!H21="","",('Porcentaje de Notas'!H21/100)*$I$10)</f>
        <v>0.75</v>
      </c>
      <c r="J21" s="58">
        <f>IF('Porcentaje de Notas'!I21="","",('Porcentaje de Notas'!I21/100)*$J$10)</f>
        <v>0.9</v>
      </c>
      <c r="K21" s="58">
        <f>IF('Porcentaje de Notas'!J21="","",('Porcentaje de Notas'!J21/100)*$K$10)</f>
        <v>1</v>
      </c>
      <c r="L21" s="58">
        <f>IF('Porcentaje de Notas'!K21="","",('Porcentaje de Notas'!K21/100)*$L$10)</f>
        <v>1.2000000000000002</v>
      </c>
      <c r="M21" s="58">
        <f>IF('Porcentaje de Notas'!L21="","",('Porcentaje de Notas'!L21/100)*$M$10)</f>
        <v>1.4</v>
      </c>
      <c r="N21" s="58">
        <f>IF('Porcentaje de Notas'!M21="","",('Porcentaje de Notas'!M21/100)*$N$10)</f>
        <v>0</v>
      </c>
      <c r="O21" s="58">
        <f>IF('Porcentaje de Notas'!N21="","",('Porcentaje de Notas'!N21/100)*$O$10)</f>
        <v>0</v>
      </c>
      <c r="P21" s="58">
        <f>IF('Porcentaje de Notas'!O21="","",('Porcentaje de Notas'!O21/100)*$P$10)</f>
        <v>0</v>
      </c>
      <c r="Q21" s="58">
        <f>IF('Porcentaje de Notas'!P21="","",('Porcentaje de Notas'!P21/100)*$Q$10)</f>
        <v>0</v>
      </c>
      <c r="R21" s="58">
        <f>IF('Porcentaje de Notas'!Q21="","",('Porcentaje de Notas'!Q21/100)*$R$10)</f>
        <v>5</v>
      </c>
      <c r="S21" s="62">
        <f t="shared" si="0"/>
        <v>11</v>
      </c>
    </row>
    <row r="22" spans="2:19" ht="10.5" customHeight="1" x14ac:dyDescent="0.35">
      <c r="B22" s="58">
        <v>11</v>
      </c>
      <c r="C22" s="58">
        <v>202430602</v>
      </c>
      <c r="D22" s="59" t="s">
        <v>13</v>
      </c>
      <c r="E22" s="60">
        <f>IF('Porcentaje de Notas'!D22="","",('Porcentaje de Notas'!D22/100)*$E$10)</f>
        <v>0</v>
      </c>
      <c r="F22" s="58">
        <f>IF('Porcentaje de Notas'!E22="","",('Porcentaje de Notas'!E22/100)*$F$10)</f>
        <v>0.25</v>
      </c>
      <c r="G22" s="58">
        <f>IF('Porcentaje de Notas'!F22="","",('Porcentaje de Notas'!F22/100)*$G$10)</f>
        <v>0.5</v>
      </c>
      <c r="H22" s="61">
        <f>IF('Porcentaje de Notas'!G22="","",('Porcentaje de Notas'!G22/100)*$H$10)</f>
        <v>0</v>
      </c>
      <c r="I22" s="60">
        <f>IF('Porcentaje de Notas'!H22="","",('Porcentaje de Notas'!H22/100)*$I$10)</f>
        <v>0.6</v>
      </c>
      <c r="J22" s="58">
        <f>IF('Porcentaje de Notas'!I22="","",('Porcentaje de Notas'!I22/100)*$J$10)</f>
        <v>0</v>
      </c>
      <c r="K22" s="58">
        <f>IF('Porcentaje de Notas'!J22="","",('Porcentaje de Notas'!J22/100)*$K$10)</f>
        <v>0.9</v>
      </c>
      <c r="L22" s="58">
        <f>IF('Porcentaje de Notas'!K22="","",('Porcentaje de Notas'!K22/100)*$L$10)</f>
        <v>1.5</v>
      </c>
      <c r="M22" s="58">
        <f>IF('Porcentaje de Notas'!L22="","",('Porcentaje de Notas'!L22/100)*$M$10)</f>
        <v>0</v>
      </c>
      <c r="N22" s="58">
        <f>IF('Porcentaje de Notas'!M22="","",('Porcentaje de Notas'!M22/100)*$N$10)</f>
        <v>0</v>
      </c>
      <c r="O22" s="58">
        <f>IF('Porcentaje de Notas'!N22="","",('Porcentaje de Notas'!N22/100)*$O$10)</f>
        <v>0.6</v>
      </c>
      <c r="P22" s="58">
        <f>IF('Porcentaje de Notas'!O22="","",('Porcentaje de Notas'!O22/100)*$P$10)</f>
        <v>0</v>
      </c>
      <c r="Q22" s="58">
        <f>IF('Porcentaje de Notas'!P22="","",('Porcentaje de Notas'!P22/100)*$Q$10)</f>
        <v>0</v>
      </c>
      <c r="R22" s="58">
        <f>IF('Porcentaje de Notas'!Q22="","",('Porcentaje de Notas'!Q22/100)*$R$10)</f>
        <v>0</v>
      </c>
      <c r="S22" s="62">
        <f t="shared" si="0"/>
        <v>4.3499999999999996</v>
      </c>
    </row>
    <row r="23" spans="2:19" ht="10.5" customHeight="1" x14ac:dyDescent="0.35">
      <c r="B23" s="58">
        <v>12</v>
      </c>
      <c r="C23" s="58">
        <v>202430633</v>
      </c>
      <c r="D23" s="59" t="s">
        <v>14</v>
      </c>
      <c r="E23" s="60">
        <f>IF('Porcentaje de Notas'!D23="","",('Porcentaje de Notas'!D23/100)*$E$10)</f>
        <v>0.5</v>
      </c>
      <c r="F23" s="58">
        <f>IF('Porcentaje de Notas'!E23="","",('Porcentaje de Notas'!E23/100)*$F$10)</f>
        <v>0.25</v>
      </c>
      <c r="G23" s="58">
        <f>IF('Porcentaje de Notas'!F23="","",('Porcentaje de Notas'!F23/100)*$G$10)</f>
        <v>0.5</v>
      </c>
      <c r="H23" s="61">
        <f>IF('Porcentaje de Notas'!G23="","",('Porcentaje de Notas'!G23/100)*$H$10)</f>
        <v>0.5</v>
      </c>
      <c r="I23" s="60">
        <f>IF('Porcentaje de Notas'!H23="","",('Porcentaje de Notas'!H23/100)*$I$10)</f>
        <v>1</v>
      </c>
      <c r="J23" s="58">
        <f>IF('Porcentaje de Notas'!I23="","",('Porcentaje de Notas'!I23/100)*$J$10)</f>
        <v>1</v>
      </c>
      <c r="K23" s="58">
        <f>IF('Porcentaje de Notas'!J23="","",('Porcentaje de Notas'!J23/100)*$K$10)</f>
        <v>1</v>
      </c>
      <c r="L23" s="58">
        <f>IF('Porcentaje de Notas'!K23="","",('Porcentaje de Notas'!K23/100)*$L$10)</f>
        <v>1.5</v>
      </c>
      <c r="M23" s="58">
        <f>IF('Porcentaje de Notas'!L23="","",('Porcentaje de Notas'!L23/100)*$M$10)</f>
        <v>1</v>
      </c>
      <c r="N23" s="58">
        <f>IF('Porcentaje de Notas'!M23="","",('Porcentaje de Notas'!M23/100)*$N$10)</f>
        <v>2</v>
      </c>
      <c r="O23" s="58">
        <f>IF('Porcentaje de Notas'!N23="","",('Porcentaje de Notas'!N23/100)*$O$10)</f>
        <v>1</v>
      </c>
      <c r="P23" s="58">
        <f>IF('Porcentaje de Notas'!O23="","",('Porcentaje de Notas'!O23/100)*$P$10)</f>
        <v>0</v>
      </c>
      <c r="Q23" s="58">
        <f>IF('Porcentaje de Notas'!P23="","",('Porcentaje de Notas'!P23/100)*$Q$10)</f>
        <v>0</v>
      </c>
      <c r="R23" s="58">
        <f>IF('Porcentaje de Notas'!Q23="","",('Porcentaje de Notas'!Q23/100)*$R$10)</f>
        <v>5</v>
      </c>
      <c r="S23" s="62">
        <f t="shared" si="0"/>
        <v>15.25</v>
      </c>
    </row>
    <row r="24" spans="2:19" ht="10.5" customHeight="1" x14ac:dyDescent="0.35">
      <c r="B24" s="58">
        <v>13</v>
      </c>
      <c r="C24" s="58">
        <v>202430645</v>
      </c>
      <c r="D24" s="59" t="s">
        <v>15</v>
      </c>
      <c r="E24" s="60">
        <f>IF('Porcentaje de Notas'!D24="","",('Porcentaje de Notas'!D24/100)*$E$10)</f>
        <v>0.5</v>
      </c>
      <c r="F24" s="58">
        <f>IF('Porcentaje de Notas'!E24="","",('Porcentaje de Notas'!E24/100)*$F$10)</f>
        <v>0.25</v>
      </c>
      <c r="G24" s="58">
        <f>IF('Porcentaje de Notas'!F24="","",('Porcentaje de Notas'!F24/100)*$G$10)</f>
        <v>0.25</v>
      </c>
      <c r="H24" s="61">
        <f>IF('Porcentaje de Notas'!G24="","",('Porcentaje de Notas'!G24/100)*$H$10)</f>
        <v>0.45</v>
      </c>
      <c r="I24" s="60">
        <f>IF('Porcentaje de Notas'!H24="","",('Porcentaje de Notas'!H24/100)*$I$10)</f>
        <v>1</v>
      </c>
      <c r="J24" s="58">
        <f>IF('Porcentaje de Notas'!I24="","",('Porcentaje de Notas'!I24/100)*$J$10)</f>
        <v>0.85</v>
      </c>
      <c r="K24" s="58">
        <f>IF('Porcentaje de Notas'!J24="","",('Porcentaje de Notas'!J24/100)*$K$10)</f>
        <v>1</v>
      </c>
      <c r="L24" s="58">
        <f>IF('Porcentaje de Notas'!K24="","",('Porcentaje de Notas'!K24/100)*$L$10)</f>
        <v>1.5</v>
      </c>
      <c r="M24" s="58">
        <f>IF('Porcentaje de Notas'!L24="","",('Porcentaje de Notas'!L24/100)*$M$10)</f>
        <v>1.4</v>
      </c>
      <c r="N24" s="58">
        <f>IF('Porcentaje de Notas'!M24="","",('Porcentaje de Notas'!M24/100)*$N$10)</f>
        <v>1.5</v>
      </c>
      <c r="O24" s="58">
        <f>IF('Porcentaje de Notas'!N24="","",('Porcentaje de Notas'!N24/100)*$O$10)</f>
        <v>1.4</v>
      </c>
      <c r="P24" s="58">
        <f>IF('Porcentaje de Notas'!O24="","",('Porcentaje de Notas'!O24/100)*$P$10)</f>
        <v>1</v>
      </c>
      <c r="Q24" s="58">
        <f>IF('Porcentaje de Notas'!P24="","",('Porcentaje de Notas'!P24/100)*$Q$10)</f>
        <v>1.5</v>
      </c>
      <c r="R24" s="58">
        <f>IF('Porcentaje de Notas'!Q24="","",('Porcentaje de Notas'!Q24/100)*$R$10)</f>
        <v>5</v>
      </c>
      <c r="S24" s="62">
        <f t="shared" si="0"/>
        <v>17.600000000000001</v>
      </c>
    </row>
    <row r="25" spans="2:19" ht="10.5" customHeight="1" x14ac:dyDescent="0.35">
      <c r="B25" s="58">
        <v>14</v>
      </c>
      <c r="C25" s="58">
        <v>202430733</v>
      </c>
      <c r="D25" s="59" t="s">
        <v>16</v>
      </c>
      <c r="E25" s="60">
        <f>IF('Porcentaje de Notas'!D25="","",('Porcentaje de Notas'!D25/100)*$E$10)</f>
        <v>0.5</v>
      </c>
      <c r="F25" s="58">
        <f>IF('Porcentaje de Notas'!E25="","",('Porcentaje de Notas'!E25/100)*$F$10)</f>
        <v>0.25</v>
      </c>
      <c r="G25" s="58">
        <f>IF('Porcentaje de Notas'!F25="","",('Porcentaje de Notas'!F25/100)*$G$10)</f>
        <v>0.25</v>
      </c>
      <c r="H25" s="61">
        <f>IF('Porcentaje de Notas'!G25="","",('Porcentaje de Notas'!G25/100)*$H$10)</f>
        <v>0.5</v>
      </c>
      <c r="I25" s="60">
        <f>IF('Porcentaje de Notas'!H25="","",('Porcentaje de Notas'!H25/100)*$I$10)</f>
        <v>0.85</v>
      </c>
      <c r="J25" s="58">
        <f>IF('Porcentaje de Notas'!I25="","",('Porcentaje de Notas'!I25/100)*$J$10)</f>
        <v>1</v>
      </c>
      <c r="K25" s="58">
        <f>IF('Porcentaje de Notas'!J25="","",('Porcentaje de Notas'!J25/100)*$K$10)</f>
        <v>1</v>
      </c>
      <c r="L25" s="58">
        <f>IF('Porcentaje de Notas'!K25="","",('Porcentaje de Notas'!K25/100)*$L$10)</f>
        <v>1.5</v>
      </c>
      <c r="M25" s="58">
        <f>IF('Porcentaje de Notas'!L25="","",('Porcentaje de Notas'!L25/100)*$M$10)</f>
        <v>1</v>
      </c>
      <c r="N25" s="58">
        <f>IF('Porcentaje de Notas'!M25="","",('Porcentaje de Notas'!M25/100)*$N$10)</f>
        <v>2</v>
      </c>
      <c r="O25" s="58">
        <f>IF('Porcentaje de Notas'!N25="","",('Porcentaje de Notas'!N25/100)*$O$10)</f>
        <v>2</v>
      </c>
      <c r="P25" s="58">
        <f>IF('Porcentaje de Notas'!O25="","",('Porcentaje de Notas'!O25/100)*$P$10)</f>
        <v>1</v>
      </c>
      <c r="Q25" s="58">
        <f>IF('Porcentaje de Notas'!P25="","",('Porcentaje de Notas'!P25/100)*$Q$10)</f>
        <v>1.5</v>
      </c>
      <c r="R25" s="58">
        <f>IF('Porcentaje de Notas'!Q25="","",('Porcentaje de Notas'!Q25/100)*$R$10)</f>
        <v>5</v>
      </c>
      <c r="S25" s="62">
        <f t="shared" si="0"/>
        <v>18.350000000000001</v>
      </c>
    </row>
    <row r="26" spans="2:19" ht="10.5" customHeight="1" x14ac:dyDescent="0.35">
      <c r="B26" s="58">
        <v>15</v>
      </c>
      <c r="C26" s="58">
        <v>202430804</v>
      </c>
      <c r="D26" s="59" t="s">
        <v>17</v>
      </c>
      <c r="E26" s="60">
        <f>IF('Porcentaje de Notas'!D26="","",('Porcentaje de Notas'!D26/100)*$E$10)</f>
        <v>0.5</v>
      </c>
      <c r="F26" s="58">
        <f>IF('Porcentaje de Notas'!E26="","",('Porcentaje de Notas'!E26/100)*$F$10)</f>
        <v>0.25</v>
      </c>
      <c r="G26" s="58">
        <f>IF('Porcentaje de Notas'!F26="","",('Porcentaje de Notas'!F26/100)*$G$10)</f>
        <v>0</v>
      </c>
      <c r="H26" s="61">
        <f>IF('Porcentaje de Notas'!G26="","",('Porcentaje de Notas'!G26/100)*$H$10)</f>
        <v>0</v>
      </c>
      <c r="I26" s="60">
        <f>IF('Porcentaje de Notas'!H26="","",('Porcentaje de Notas'!H26/100)*$I$10)</f>
        <v>1</v>
      </c>
      <c r="J26" s="58">
        <f>IF('Porcentaje de Notas'!I26="","",('Porcentaje de Notas'!I26/100)*$J$10)</f>
        <v>1</v>
      </c>
      <c r="K26" s="58">
        <f>IF('Porcentaje de Notas'!J26="","",('Porcentaje de Notas'!J26/100)*$K$10)</f>
        <v>1</v>
      </c>
      <c r="L26" s="58">
        <f>IF('Porcentaje de Notas'!K26="","",('Porcentaje de Notas'!K26/100)*$L$10)</f>
        <v>1.5</v>
      </c>
      <c r="M26" s="58">
        <f>IF('Porcentaje de Notas'!L26="","",('Porcentaje de Notas'!L26/100)*$M$10)</f>
        <v>1.6</v>
      </c>
      <c r="N26" s="58">
        <f>IF('Porcentaje de Notas'!M26="","",('Porcentaje de Notas'!M26/100)*$N$10)</f>
        <v>2</v>
      </c>
      <c r="O26" s="58">
        <f>IF('Porcentaje de Notas'!N26="","",('Porcentaje de Notas'!N26/100)*$O$10)</f>
        <v>2</v>
      </c>
      <c r="P26" s="58">
        <f>IF('Porcentaje de Notas'!O26="","",('Porcentaje de Notas'!O26/100)*$P$10)</f>
        <v>0</v>
      </c>
      <c r="Q26" s="58">
        <f>IF('Porcentaje de Notas'!P26="","",('Porcentaje de Notas'!P26/100)*$Q$10)</f>
        <v>0</v>
      </c>
      <c r="R26" s="58">
        <f>IF('Porcentaje de Notas'!Q26="","",('Porcentaje de Notas'!Q26/100)*$R$10)</f>
        <v>0</v>
      </c>
      <c r="S26" s="62">
        <f t="shared" si="0"/>
        <v>10.85</v>
      </c>
    </row>
    <row r="27" spans="2:19" ht="10.5" customHeight="1" x14ac:dyDescent="0.35">
      <c r="B27" s="58">
        <v>16</v>
      </c>
      <c r="C27" s="58">
        <v>202430829</v>
      </c>
      <c r="D27" s="59" t="s">
        <v>18</v>
      </c>
      <c r="E27" s="60">
        <f>IF('Porcentaje de Notas'!D27="","",('Porcentaje de Notas'!D27/100)*$E$10)</f>
        <v>0.5</v>
      </c>
      <c r="F27" s="58">
        <f>IF('Porcentaje de Notas'!E27="","",('Porcentaje de Notas'!E27/100)*$F$10)</f>
        <v>0.5</v>
      </c>
      <c r="G27" s="58">
        <f>IF('Porcentaje de Notas'!F27="","",('Porcentaje de Notas'!F27/100)*$G$10)</f>
        <v>0.5</v>
      </c>
      <c r="H27" s="61">
        <f>IF('Porcentaje de Notas'!G27="","",('Porcentaje de Notas'!G27/100)*$H$10)</f>
        <v>0.45</v>
      </c>
      <c r="I27" s="60">
        <f>IF('Porcentaje de Notas'!H27="","",('Porcentaje de Notas'!H27/100)*$I$10)</f>
        <v>0.85</v>
      </c>
      <c r="J27" s="58">
        <f>IF('Porcentaje de Notas'!I27="","",('Porcentaje de Notas'!I27/100)*$J$10)</f>
        <v>1</v>
      </c>
      <c r="K27" s="58">
        <f>IF('Porcentaje de Notas'!J27="","",('Porcentaje de Notas'!J27/100)*$K$10)</f>
        <v>1</v>
      </c>
      <c r="L27" s="58">
        <f>IF('Porcentaje de Notas'!K27="","",('Porcentaje de Notas'!K27/100)*$L$10)</f>
        <v>1.5</v>
      </c>
      <c r="M27" s="58">
        <f>IF('Porcentaje de Notas'!L27="","",('Porcentaje de Notas'!L27/100)*$M$10)</f>
        <v>1.4</v>
      </c>
      <c r="N27" s="58">
        <f>IF('Porcentaje de Notas'!M27="","",('Porcentaje de Notas'!M27/100)*$N$10)</f>
        <v>1.7</v>
      </c>
      <c r="O27" s="58">
        <f>IF('Porcentaje de Notas'!N27="","",('Porcentaje de Notas'!N27/100)*$O$10)</f>
        <v>1.7</v>
      </c>
      <c r="P27" s="58">
        <f>IF('Porcentaje de Notas'!O27="","",('Porcentaje de Notas'!O27/100)*$P$10)</f>
        <v>0.8</v>
      </c>
      <c r="Q27" s="58">
        <f>IF('Porcentaje de Notas'!P27="","",('Porcentaje de Notas'!P27/100)*$Q$10)</f>
        <v>1.5</v>
      </c>
      <c r="R27" s="58">
        <f>IF('Porcentaje de Notas'!Q27="","",('Porcentaje de Notas'!Q27/100)*$R$10)</f>
        <v>5</v>
      </c>
      <c r="S27" s="62">
        <f t="shared" si="0"/>
        <v>18.399999999999999</v>
      </c>
    </row>
    <row r="28" spans="2:19" ht="10.5" customHeight="1" x14ac:dyDescent="0.35">
      <c r="B28" s="58">
        <v>17</v>
      </c>
      <c r="C28" s="58">
        <v>202431169</v>
      </c>
      <c r="D28" s="59" t="s">
        <v>19</v>
      </c>
      <c r="E28" s="60">
        <f>IF('Porcentaje de Notas'!D28="","",('Porcentaje de Notas'!D28/100)*$E$10)</f>
        <v>0.5</v>
      </c>
      <c r="F28" s="58">
        <f>IF('Porcentaje de Notas'!E28="","",('Porcentaje de Notas'!E28/100)*$F$10)</f>
        <v>0.25</v>
      </c>
      <c r="G28" s="58">
        <f>IF('Porcentaje de Notas'!F28="","",('Porcentaje de Notas'!F28/100)*$G$10)</f>
        <v>0.25</v>
      </c>
      <c r="H28" s="61">
        <f>IF('Porcentaje de Notas'!G28="","",('Porcentaje de Notas'!G28/100)*$H$10)</f>
        <v>0.5</v>
      </c>
      <c r="I28" s="60">
        <f>IF('Porcentaje de Notas'!H28="","",('Porcentaje de Notas'!H28/100)*$I$10)</f>
        <v>0.85</v>
      </c>
      <c r="J28" s="58">
        <f>IF('Porcentaje de Notas'!I28="","",('Porcentaje de Notas'!I28/100)*$J$10)</f>
        <v>1</v>
      </c>
      <c r="K28" s="58">
        <f>IF('Porcentaje de Notas'!J28="","",('Porcentaje de Notas'!J28/100)*$K$10)</f>
        <v>1</v>
      </c>
      <c r="L28" s="58">
        <f>IF('Porcentaje de Notas'!K28="","",('Porcentaje de Notas'!K28/100)*$L$10)</f>
        <v>1.5</v>
      </c>
      <c r="M28" s="58">
        <f>IF('Porcentaje de Notas'!L28="","",('Porcentaje de Notas'!L28/100)*$M$10)</f>
        <v>1</v>
      </c>
      <c r="N28" s="58">
        <f>IF('Porcentaje de Notas'!M28="","",('Porcentaje de Notas'!M28/100)*$N$10)</f>
        <v>2</v>
      </c>
      <c r="O28" s="58">
        <f>IF('Porcentaje de Notas'!N28="","",('Porcentaje de Notas'!N28/100)*$O$10)</f>
        <v>2</v>
      </c>
      <c r="P28" s="58">
        <f>IF('Porcentaje de Notas'!O28="","",('Porcentaje de Notas'!O28/100)*$P$10)</f>
        <v>1</v>
      </c>
      <c r="Q28" s="58">
        <f>IF('Porcentaje de Notas'!P28="","",('Porcentaje de Notas'!P28/100)*$Q$10)</f>
        <v>1.5</v>
      </c>
      <c r="R28" s="58">
        <f>IF('Porcentaje de Notas'!Q28="","",('Porcentaje de Notas'!Q28/100)*$R$10)</f>
        <v>5</v>
      </c>
      <c r="S28" s="62">
        <f t="shared" si="0"/>
        <v>18.350000000000001</v>
      </c>
    </row>
    <row r="29" spans="2:19" ht="10.5" customHeight="1" x14ac:dyDescent="0.35">
      <c r="B29" s="58">
        <v>18</v>
      </c>
      <c r="C29" s="58">
        <v>202431502</v>
      </c>
      <c r="D29" s="59" t="s">
        <v>20</v>
      </c>
      <c r="E29" s="60">
        <f>IF('Porcentaje de Notas'!D29="","",('Porcentaje de Notas'!D29/100)*$E$10)</f>
        <v>0.5</v>
      </c>
      <c r="F29" s="58">
        <f>IF('Porcentaje de Notas'!E29="","",('Porcentaje de Notas'!E29/100)*$F$10)</f>
        <v>0.5</v>
      </c>
      <c r="G29" s="58">
        <f>IF('Porcentaje de Notas'!F29="","",('Porcentaje de Notas'!F29/100)*$G$10)</f>
        <v>0.5</v>
      </c>
      <c r="H29" s="61">
        <f>IF('Porcentaje de Notas'!G29="","",('Porcentaje de Notas'!G29/100)*$H$10)</f>
        <v>0.5</v>
      </c>
      <c r="I29" s="60">
        <f>IF('Porcentaje de Notas'!H29="","",('Porcentaje de Notas'!H29/100)*$I$10)</f>
        <v>1</v>
      </c>
      <c r="J29" s="58">
        <f>IF('Porcentaje de Notas'!I29="","",('Porcentaje de Notas'!I29/100)*$J$10)</f>
        <v>1</v>
      </c>
      <c r="K29" s="58">
        <f>IF('Porcentaje de Notas'!J29="","",('Porcentaje de Notas'!J29/100)*$K$10)</f>
        <v>1</v>
      </c>
      <c r="L29" s="58">
        <f>IF('Porcentaje de Notas'!K29="","",('Porcentaje de Notas'!K29/100)*$L$10)</f>
        <v>1.5</v>
      </c>
      <c r="M29" s="58">
        <f>IF('Porcentaje de Notas'!L29="","",('Porcentaje de Notas'!L29/100)*$M$10)</f>
        <v>1</v>
      </c>
      <c r="N29" s="58">
        <f>IF('Porcentaje de Notas'!M29="","",('Porcentaje de Notas'!M29/100)*$N$10)</f>
        <v>1.8</v>
      </c>
      <c r="O29" s="58">
        <f>IF('Porcentaje de Notas'!N29="","",('Porcentaje de Notas'!N29/100)*$O$10)</f>
        <v>0.9</v>
      </c>
      <c r="P29" s="58">
        <f>IF('Porcentaje de Notas'!O29="","",('Porcentaje de Notas'!O29/100)*$P$10)</f>
        <v>0.8</v>
      </c>
      <c r="Q29" s="58">
        <f>IF('Porcentaje de Notas'!P29="","",('Porcentaje de Notas'!P29/100)*$Q$10)</f>
        <v>1.5</v>
      </c>
      <c r="R29" s="58">
        <f>IF('Porcentaje de Notas'!Q29="","",('Porcentaje de Notas'!Q29/100)*$R$10)</f>
        <v>5</v>
      </c>
      <c r="S29" s="62">
        <f t="shared" si="0"/>
        <v>17.5</v>
      </c>
    </row>
    <row r="30" spans="2:19" ht="10.5" customHeight="1" x14ac:dyDescent="0.35">
      <c r="B30" s="58">
        <v>19</v>
      </c>
      <c r="C30" s="58">
        <v>202431726</v>
      </c>
      <c r="D30" s="59" t="s">
        <v>21</v>
      </c>
      <c r="E30" s="60">
        <f>IF('Porcentaje de Notas'!D30="","",('Porcentaje de Notas'!D30/100)*$E$10)</f>
        <v>0.5</v>
      </c>
      <c r="F30" s="58">
        <f>IF('Porcentaje de Notas'!E30="","",('Porcentaje de Notas'!E30/100)*$F$10)</f>
        <v>0.25</v>
      </c>
      <c r="G30" s="58">
        <f>IF('Porcentaje de Notas'!F30="","",('Porcentaje de Notas'!F30/100)*$G$10)</f>
        <v>0.5</v>
      </c>
      <c r="H30" s="61">
        <f>IF('Porcentaje de Notas'!G30="","",('Porcentaje de Notas'!G30/100)*$H$10)</f>
        <v>0.5</v>
      </c>
      <c r="I30" s="60">
        <f>IF('Porcentaje de Notas'!H30="","",('Porcentaje de Notas'!H30/100)*$I$10)</f>
        <v>0.75</v>
      </c>
      <c r="J30" s="58">
        <f>IF('Porcentaje de Notas'!I30="","",('Porcentaje de Notas'!I30/100)*$J$10)</f>
        <v>1</v>
      </c>
      <c r="K30" s="58">
        <f>IF('Porcentaje de Notas'!J30="","",('Porcentaje de Notas'!J30/100)*$K$10)</f>
        <v>1</v>
      </c>
      <c r="L30" s="58">
        <f>IF('Porcentaje de Notas'!K30="","",('Porcentaje de Notas'!K30/100)*$L$10)</f>
        <v>1.5</v>
      </c>
      <c r="M30" s="58">
        <f>IF('Porcentaje de Notas'!L30="","",('Porcentaje de Notas'!L30/100)*$M$10)</f>
        <v>1.8</v>
      </c>
      <c r="N30" s="58">
        <f>IF('Porcentaje de Notas'!M30="","",('Porcentaje de Notas'!M30/100)*$N$10)</f>
        <v>1.9</v>
      </c>
      <c r="O30" s="58">
        <f>IF('Porcentaje de Notas'!N30="","",('Porcentaje de Notas'!N30/100)*$O$10)</f>
        <v>1.8</v>
      </c>
      <c r="P30" s="58">
        <f>IF('Porcentaje de Notas'!O30="","",('Porcentaje de Notas'!O30/100)*$P$10)</f>
        <v>0</v>
      </c>
      <c r="Q30" s="58">
        <f>IF('Porcentaje de Notas'!P30="","",('Porcentaje de Notas'!P30/100)*$Q$10)</f>
        <v>0</v>
      </c>
      <c r="R30" s="58">
        <f>IF('Porcentaje de Notas'!Q30="","",('Porcentaje de Notas'!Q30/100)*$R$10)</f>
        <v>0</v>
      </c>
      <c r="S30" s="62">
        <f t="shared" si="0"/>
        <v>11.5</v>
      </c>
    </row>
    <row r="31" spans="2:19" ht="10.5" customHeight="1" x14ac:dyDescent="0.35">
      <c r="B31" s="58">
        <v>20</v>
      </c>
      <c r="C31" s="58">
        <v>202431817</v>
      </c>
      <c r="D31" s="59" t="s">
        <v>22</v>
      </c>
      <c r="E31" s="60">
        <f>IF('Porcentaje de Notas'!D31="","",('Porcentaje de Notas'!D31/100)*$E$10)</f>
        <v>0</v>
      </c>
      <c r="F31" s="58">
        <f>IF('Porcentaje de Notas'!E31="","",('Porcentaje de Notas'!E31/100)*$F$10)</f>
        <v>0.25</v>
      </c>
      <c r="G31" s="58">
        <f>IF('Porcentaje de Notas'!F31="","",('Porcentaje de Notas'!F31/100)*$G$10)</f>
        <v>0.5</v>
      </c>
      <c r="H31" s="61">
        <f>IF('Porcentaje de Notas'!G31="","",('Porcentaje de Notas'!G31/100)*$H$10)</f>
        <v>0.5</v>
      </c>
      <c r="I31" s="60">
        <f>IF('Porcentaje de Notas'!H31="","",('Porcentaje de Notas'!H31/100)*$I$10)</f>
        <v>0</v>
      </c>
      <c r="J31" s="58">
        <f>IF('Porcentaje de Notas'!I31="","",('Porcentaje de Notas'!I31/100)*$J$10)</f>
        <v>0</v>
      </c>
      <c r="K31" s="58">
        <f>IF('Porcentaje de Notas'!J31="","",('Porcentaje de Notas'!J31/100)*$K$10)</f>
        <v>1</v>
      </c>
      <c r="L31" s="58">
        <f>IF('Porcentaje de Notas'!K31="","",('Porcentaje de Notas'!K31/100)*$L$10)</f>
        <v>0</v>
      </c>
      <c r="M31" s="58">
        <f>IF('Porcentaje de Notas'!L31="","",('Porcentaje de Notas'!L31/100)*$M$10)</f>
        <v>0</v>
      </c>
      <c r="N31" s="58">
        <f>IF('Porcentaje de Notas'!M31="","",('Porcentaje de Notas'!M31/100)*$N$10)</f>
        <v>0.3</v>
      </c>
      <c r="O31" s="58">
        <f>IF('Porcentaje de Notas'!N31="","",('Porcentaje de Notas'!N31/100)*$O$10)</f>
        <v>1.8</v>
      </c>
      <c r="P31" s="58">
        <f>IF('Porcentaje de Notas'!O31="","",('Porcentaje de Notas'!O31/100)*$P$10)</f>
        <v>1</v>
      </c>
      <c r="Q31" s="58">
        <f>IF('Porcentaje de Notas'!P31="","",('Porcentaje de Notas'!P31/100)*$Q$10)</f>
        <v>0</v>
      </c>
      <c r="R31" s="58">
        <f>IF('Porcentaje de Notas'!Q31="","",('Porcentaje de Notas'!Q31/100)*$R$10)</f>
        <v>5</v>
      </c>
      <c r="S31" s="62">
        <f t="shared" si="0"/>
        <v>10.35</v>
      </c>
    </row>
    <row r="32" spans="2:19" ht="10.5" customHeight="1" x14ac:dyDescent="0.35">
      <c r="B32" s="58">
        <v>21</v>
      </c>
      <c r="C32" s="58">
        <v>202431819</v>
      </c>
      <c r="D32" s="59" t="s">
        <v>23</v>
      </c>
      <c r="E32" s="60">
        <f>IF('Porcentaje de Notas'!D32="","",('Porcentaje de Notas'!D32/100)*$E$10)</f>
        <v>0</v>
      </c>
      <c r="F32" s="58">
        <f>IF('Porcentaje de Notas'!E32="","",('Porcentaje de Notas'!E32/100)*$F$10)</f>
        <v>0.5</v>
      </c>
      <c r="G32" s="58">
        <f>IF('Porcentaje de Notas'!F32="","",('Porcentaje de Notas'!F32/100)*$G$10)</f>
        <v>0</v>
      </c>
      <c r="H32" s="61">
        <f>IF('Porcentaje de Notas'!G32="","",('Porcentaje de Notas'!G32/100)*$H$10)</f>
        <v>0</v>
      </c>
      <c r="I32" s="60">
        <f>IF('Porcentaje de Notas'!H32="","",('Porcentaje de Notas'!H32/100)*$I$10)</f>
        <v>0</v>
      </c>
      <c r="J32" s="58">
        <f>IF('Porcentaje de Notas'!I32="","",('Porcentaje de Notas'!I32/100)*$J$10)</f>
        <v>1</v>
      </c>
      <c r="K32" s="58">
        <f>IF('Porcentaje de Notas'!J32="","",('Porcentaje de Notas'!J32/100)*$K$10)</f>
        <v>0</v>
      </c>
      <c r="L32" s="58">
        <f>IF('Porcentaje de Notas'!K32="","",('Porcentaje de Notas'!K32/100)*$L$10)</f>
        <v>1.5</v>
      </c>
      <c r="M32" s="58">
        <f>IF('Porcentaje de Notas'!L32="","",('Porcentaje de Notas'!L32/100)*$M$10)</f>
        <v>0</v>
      </c>
      <c r="N32" s="58">
        <f>IF('Porcentaje de Notas'!M32="","",('Porcentaje de Notas'!M32/100)*$N$10)</f>
        <v>1.7</v>
      </c>
      <c r="O32" s="58">
        <f>IF('Porcentaje de Notas'!N32="","",('Porcentaje de Notas'!N32/100)*$O$10)</f>
        <v>1.4</v>
      </c>
      <c r="P32" s="58">
        <f>IF('Porcentaje de Notas'!O32="","",('Porcentaje de Notas'!O32/100)*$P$10)</f>
        <v>0.8</v>
      </c>
      <c r="Q32" s="58">
        <f>IF('Porcentaje de Notas'!P32="","",('Porcentaje de Notas'!P32/100)*$Q$10)</f>
        <v>1.5</v>
      </c>
      <c r="R32" s="58">
        <f>IF('Porcentaje de Notas'!Q32="","",('Porcentaje de Notas'!Q32/100)*$R$10)</f>
        <v>5</v>
      </c>
      <c r="S32" s="62">
        <f t="shared" si="0"/>
        <v>13.399999999999999</v>
      </c>
    </row>
    <row r="33" spans="2:19" ht="10.5" customHeight="1" x14ac:dyDescent="0.35">
      <c r="B33" s="58">
        <v>22</v>
      </c>
      <c r="C33" s="58">
        <v>202431863</v>
      </c>
      <c r="D33" s="59" t="s">
        <v>24</v>
      </c>
      <c r="E33" s="60">
        <f>IF('Porcentaje de Notas'!D33="","",('Porcentaje de Notas'!D33/100)*$E$10)</f>
        <v>0.5</v>
      </c>
      <c r="F33" s="58">
        <f>IF('Porcentaje de Notas'!E33="","",('Porcentaje de Notas'!E33/100)*$F$10)</f>
        <v>0.25</v>
      </c>
      <c r="G33" s="58">
        <f>IF('Porcentaje de Notas'!F33="","",('Porcentaje de Notas'!F33/100)*$G$10)</f>
        <v>0</v>
      </c>
      <c r="H33" s="61">
        <f>IF('Porcentaje de Notas'!G33="","",('Porcentaje de Notas'!G33/100)*$H$10)</f>
        <v>0.5</v>
      </c>
      <c r="I33" s="60">
        <f>IF('Porcentaje de Notas'!H33="","",('Porcentaje de Notas'!H33/100)*$I$10)</f>
        <v>0.5</v>
      </c>
      <c r="J33" s="58">
        <f>IF('Porcentaje de Notas'!I33="","",('Porcentaje de Notas'!I33/100)*$J$10)</f>
        <v>0.5</v>
      </c>
      <c r="K33" s="58">
        <f>IF('Porcentaje de Notas'!J33="","",('Porcentaje de Notas'!J33/100)*$K$10)</f>
        <v>0.5</v>
      </c>
      <c r="L33" s="58">
        <f>IF('Porcentaje de Notas'!K33="","",('Porcentaje de Notas'!K33/100)*$L$10)</f>
        <v>1.5</v>
      </c>
      <c r="M33" s="58">
        <f>IF('Porcentaje de Notas'!L33="","",('Porcentaje de Notas'!L33/100)*$M$10)</f>
        <v>0.5</v>
      </c>
      <c r="N33" s="58">
        <f>IF('Porcentaje de Notas'!M33="","",('Porcentaje de Notas'!M33/100)*$N$10)</f>
        <v>0.5</v>
      </c>
      <c r="O33" s="58">
        <f>IF('Porcentaje de Notas'!N33="","",('Porcentaje de Notas'!N33/100)*$O$10)</f>
        <v>2</v>
      </c>
      <c r="P33" s="58">
        <f>IF('Porcentaje de Notas'!O33="","",('Porcentaje de Notas'!O33/100)*$P$10)</f>
        <v>0.8</v>
      </c>
      <c r="Q33" s="58">
        <f>IF('Porcentaje de Notas'!P33="","",('Porcentaje de Notas'!P33/100)*$Q$10)</f>
        <v>0</v>
      </c>
      <c r="R33" s="58">
        <f>IF('Porcentaje de Notas'!Q33="","",('Porcentaje de Notas'!Q33/100)*$R$10)</f>
        <v>5</v>
      </c>
      <c r="S33" s="62">
        <f t="shared" si="0"/>
        <v>13.05</v>
      </c>
    </row>
    <row r="34" spans="2:19" ht="10.5" customHeight="1" x14ac:dyDescent="0.35">
      <c r="B34" s="58">
        <v>23</v>
      </c>
      <c r="C34" s="58">
        <v>202432080</v>
      </c>
      <c r="D34" s="59" t="s">
        <v>25</v>
      </c>
      <c r="E34" s="60">
        <f>IF('Porcentaje de Notas'!D34="","",('Porcentaje de Notas'!D34/100)*$E$10)</f>
        <v>0.5</v>
      </c>
      <c r="F34" s="58">
        <f>IF('Porcentaje de Notas'!E34="","",('Porcentaje de Notas'!E34/100)*$F$10)</f>
        <v>0.25</v>
      </c>
      <c r="G34" s="58">
        <f>IF('Porcentaje de Notas'!F34="","",('Porcentaje de Notas'!F34/100)*$G$10)</f>
        <v>0</v>
      </c>
      <c r="H34" s="61">
        <f>IF('Porcentaje de Notas'!G34="","",('Porcentaje de Notas'!G34/100)*$H$10)</f>
        <v>0</v>
      </c>
      <c r="I34" s="60">
        <f>IF('Porcentaje de Notas'!H34="","",('Porcentaje de Notas'!H34/100)*$I$10)</f>
        <v>0</v>
      </c>
      <c r="J34" s="58">
        <f>IF('Porcentaje de Notas'!I34="","",('Porcentaje de Notas'!I34/100)*$J$10)</f>
        <v>1</v>
      </c>
      <c r="K34" s="58">
        <f>IF('Porcentaje de Notas'!J34="","",('Porcentaje de Notas'!J34/100)*$K$10)</f>
        <v>1</v>
      </c>
      <c r="L34" s="58">
        <f>IF('Porcentaje de Notas'!K34="","",('Porcentaje de Notas'!K34/100)*$L$10)</f>
        <v>1.5</v>
      </c>
      <c r="M34" s="58">
        <f>IF('Porcentaje de Notas'!L34="","",('Porcentaje de Notas'!L34/100)*$M$10)</f>
        <v>1.4</v>
      </c>
      <c r="N34" s="58">
        <f>IF('Porcentaje de Notas'!M34="","",('Porcentaje de Notas'!M34/100)*$N$10)</f>
        <v>2</v>
      </c>
      <c r="O34" s="58">
        <f>IF('Porcentaje de Notas'!N34="","",('Porcentaje de Notas'!N34/100)*$O$10)</f>
        <v>2</v>
      </c>
      <c r="P34" s="58">
        <f>IF('Porcentaje de Notas'!O34="","",('Porcentaje de Notas'!O34/100)*$P$10)</f>
        <v>0</v>
      </c>
      <c r="Q34" s="58">
        <f>IF('Porcentaje de Notas'!P34="","",('Porcentaje de Notas'!P34/100)*$Q$10)</f>
        <v>0</v>
      </c>
      <c r="R34" s="58">
        <f>IF('Porcentaje de Notas'!Q34="","",('Porcentaje de Notas'!Q34/100)*$R$10)</f>
        <v>0</v>
      </c>
      <c r="S34" s="62">
        <f t="shared" si="0"/>
        <v>9.65</v>
      </c>
    </row>
    <row r="35" spans="2:19" ht="10.5" customHeight="1" x14ac:dyDescent="0.35">
      <c r="B35" s="58">
        <v>24</v>
      </c>
      <c r="C35" s="58">
        <v>202432085</v>
      </c>
      <c r="D35" s="59" t="s">
        <v>26</v>
      </c>
      <c r="E35" s="60">
        <f>IF('Porcentaje de Notas'!D35="","",('Porcentaje de Notas'!D35/100)*$E$10)</f>
        <v>0.5</v>
      </c>
      <c r="F35" s="58">
        <f>IF('Porcentaje de Notas'!E35="","",('Porcentaje de Notas'!E35/100)*$F$10)</f>
        <v>0.25</v>
      </c>
      <c r="G35" s="58">
        <f>IF('Porcentaje de Notas'!F35="","",('Porcentaje de Notas'!F35/100)*$G$10)</f>
        <v>0.5</v>
      </c>
      <c r="H35" s="61">
        <f>IF('Porcentaje de Notas'!G35="","",('Porcentaje de Notas'!G35/100)*$H$10)</f>
        <v>0.5</v>
      </c>
      <c r="I35" s="60">
        <f>IF('Porcentaje de Notas'!H35="","",('Porcentaje de Notas'!H35/100)*$I$10)</f>
        <v>0.75</v>
      </c>
      <c r="J35" s="58">
        <f>IF('Porcentaje de Notas'!I35="","",('Porcentaje de Notas'!I35/100)*$J$10)</f>
        <v>1</v>
      </c>
      <c r="K35" s="58">
        <f>IF('Porcentaje de Notas'!J35="","",('Porcentaje de Notas'!J35/100)*$K$10)</f>
        <v>0.9</v>
      </c>
      <c r="L35" s="58">
        <f>IF('Porcentaje de Notas'!K35="","",('Porcentaje de Notas'!K35/100)*$L$10)</f>
        <v>1.5</v>
      </c>
      <c r="M35" s="58">
        <f>IF('Porcentaje de Notas'!L35="","",('Porcentaje de Notas'!L35/100)*$M$10)</f>
        <v>1.4</v>
      </c>
      <c r="N35" s="58">
        <f>IF('Porcentaje de Notas'!M35="","",('Porcentaje de Notas'!M35/100)*$N$10)</f>
        <v>1.9</v>
      </c>
      <c r="O35" s="58">
        <f>IF('Porcentaje de Notas'!N35="","",('Porcentaje de Notas'!N35/100)*$O$10)</f>
        <v>1.8</v>
      </c>
      <c r="P35" s="58">
        <f>IF('Porcentaje de Notas'!O35="","",('Porcentaje de Notas'!O35/100)*$P$10)</f>
        <v>0</v>
      </c>
      <c r="Q35" s="58">
        <f>IF('Porcentaje de Notas'!P35="","",('Porcentaje de Notas'!P35/100)*$Q$10)</f>
        <v>0</v>
      </c>
      <c r="R35" s="58">
        <f>IF('Porcentaje de Notas'!Q35="","",('Porcentaje de Notas'!Q35/100)*$R$10)</f>
        <v>0</v>
      </c>
      <c r="S35" s="62">
        <f t="shared" si="0"/>
        <v>11.000000000000002</v>
      </c>
    </row>
    <row r="36" spans="2:19" ht="10.5" customHeight="1" x14ac:dyDescent="0.35">
      <c r="B36" s="58">
        <v>25</v>
      </c>
      <c r="C36" s="58">
        <v>202432137</v>
      </c>
      <c r="D36" s="59" t="s">
        <v>27</v>
      </c>
      <c r="E36" s="60">
        <f>IF('Porcentaje de Notas'!D36="","",('Porcentaje de Notas'!D36/100)*$E$10)</f>
        <v>0.5</v>
      </c>
      <c r="F36" s="58">
        <f>IF('Porcentaje de Notas'!E36="","",('Porcentaje de Notas'!E36/100)*$F$10)</f>
        <v>0.25</v>
      </c>
      <c r="G36" s="58">
        <f>IF('Porcentaje de Notas'!F36="","",('Porcentaje de Notas'!F36/100)*$G$10)</f>
        <v>0</v>
      </c>
      <c r="H36" s="61">
        <f>IF('Porcentaje de Notas'!G36="","",('Porcentaje de Notas'!G36/100)*$H$10)</f>
        <v>0.5</v>
      </c>
      <c r="I36" s="60">
        <f>IF('Porcentaje de Notas'!H36="","",('Porcentaje de Notas'!H36/100)*$I$10)</f>
        <v>0.5</v>
      </c>
      <c r="J36" s="58">
        <f>IF('Porcentaje de Notas'!I36="","",('Porcentaje de Notas'!I36/100)*$J$10)</f>
        <v>0.5</v>
      </c>
      <c r="K36" s="58">
        <f>IF('Porcentaje de Notas'!J36="","",('Porcentaje de Notas'!J36/100)*$K$10)</f>
        <v>0.5</v>
      </c>
      <c r="L36" s="58">
        <f>IF('Porcentaje de Notas'!K36="","",('Porcentaje de Notas'!K36/100)*$L$10)</f>
        <v>0</v>
      </c>
      <c r="M36" s="58">
        <f>IF('Porcentaje de Notas'!L36="","",('Porcentaje de Notas'!L36/100)*$M$10)</f>
        <v>0.5</v>
      </c>
      <c r="N36" s="58">
        <f>IF('Porcentaje de Notas'!M36="","",('Porcentaje de Notas'!M36/100)*$N$10)</f>
        <v>0.5</v>
      </c>
      <c r="O36" s="58">
        <f>IF('Porcentaje de Notas'!N36="","",('Porcentaje de Notas'!N36/100)*$O$10)</f>
        <v>2</v>
      </c>
      <c r="P36" s="58">
        <f>IF('Porcentaje de Notas'!O36="","",('Porcentaje de Notas'!O36/100)*$P$10)</f>
        <v>0.8</v>
      </c>
      <c r="Q36" s="58">
        <f>IF('Porcentaje de Notas'!P36="","",('Porcentaje de Notas'!P36/100)*$Q$10)</f>
        <v>0</v>
      </c>
      <c r="R36" s="58">
        <f>IF('Porcentaje de Notas'!Q36="","",('Porcentaje de Notas'!Q36/100)*$R$10)</f>
        <v>5</v>
      </c>
      <c r="S36" s="62">
        <f t="shared" si="0"/>
        <v>11.55</v>
      </c>
    </row>
    <row r="37" spans="2:19" ht="10.5" customHeight="1" x14ac:dyDescent="0.35">
      <c r="B37" s="58">
        <v>26</v>
      </c>
      <c r="C37" s="58">
        <v>202530125</v>
      </c>
      <c r="D37" s="59" t="s">
        <v>28</v>
      </c>
      <c r="E37" s="60">
        <f>IF('Porcentaje de Notas'!D37="","",('Porcentaje de Notas'!D37/100)*$E$10)</f>
        <v>0</v>
      </c>
      <c r="F37" s="58">
        <f>IF('Porcentaje de Notas'!E37="","",('Porcentaje de Notas'!E37/100)*$F$10)</f>
        <v>0.25</v>
      </c>
      <c r="G37" s="58">
        <f>IF('Porcentaje de Notas'!F37="","",('Porcentaje de Notas'!F37/100)*$G$10)</f>
        <v>0.5</v>
      </c>
      <c r="H37" s="61">
        <f>IF('Porcentaje de Notas'!G37="","",('Porcentaje de Notas'!G37/100)*$H$10)</f>
        <v>0.5</v>
      </c>
      <c r="I37" s="60">
        <f>IF('Porcentaje de Notas'!H37="","",('Porcentaje de Notas'!H37/100)*$I$10)</f>
        <v>1</v>
      </c>
      <c r="J37" s="58">
        <f>IF('Porcentaje de Notas'!I37="","",('Porcentaje de Notas'!I37/100)*$J$10)</f>
        <v>0.75</v>
      </c>
      <c r="K37" s="58">
        <f>IF('Porcentaje de Notas'!J37="","",('Porcentaje de Notas'!J37/100)*$K$10)</f>
        <v>0.9</v>
      </c>
      <c r="L37" s="58">
        <f>IF('Porcentaje de Notas'!K37="","",('Porcentaje de Notas'!K37/100)*$L$10)</f>
        <v>1.5</v>
      </c>
      <c r="M37" s="58">
        <f>IF('Porcentaje de Notas'!L37="","",('Porcentaje de Notas'!L37/100)*$M$10)</f>
        <v>1.6</v>
      </c>
      <c r="N37" s="58">
        <f>IF('Porcentaje de Notas'!M37="","",('Porcentaje de Notas'!M37/100)*$N$10)</f>
        <v>1.8</v>
      </c>
      <c r="O37" s="58">
        <f>IF('Porcentaje de Notas'!N37="","",('Porcentaje de Notas'!N37/100)*$O$10)</f>
        <v>1.2</v>
      </c>
      <c r="P37" s="58">
        <f>IF('Porcentaje de Notas'!O37="","",('Porcentaje de Notas'!O37/100)*$P$10)</f>
        <v>0</v>
      </c>
      <c r="Q37" s="58">
        <f>IF('Porcentaje de Notas'!P37="","",('Porcentaje de Notas'!P37/100)*$Q$10)</f>
        <v>0</v>
      </c>
      <c r="R37" s="58">
        <f>IF('Porcentaje de Notas'!Q37="","",('Porcentaje de Notas'!Q37/100)*$R$10)</f>
        <v>0</v>
      </c>
      <c r="S37" s="62">
        <f t="shared" si="0"/>
        <v>10</v>
      </c>
    </row>
    <row r="38" spans="2:19" ht="10.5" customHeight="1" x14ac:dyDescent="0.35">
      <c r="B38" s="58">
        <v>27</v>
      </c>
      <c r="C38" s="58">
        <v>202530235</v>
      </c>
      <c r="D38" s="59" t="s">
        <v>29</v>
      </c>
      <c r="E38" s="60">
        <f>IF('Porcentaje de Notas'!D38="","",('Porcentaje de Notas'!D38/100)*$E$10)</f>
        <v>0.5</v>
      </c>
      <c r="F38" s="58">
        <f>IF('Porcentaje de Notas'!E38="","",('Porcentaje de Notas'!E38/100)*$F$10)</f>
        <v>0.25</v>
      </c>
      <c r="G38" s="58">
        <f>IF('Porcentaje de Notas'!F38="","",('Porcentaje de Notas'!F38/100)*$G$10)</f>
        <v>0.5</v>
      </c>
      <c r="H38" s="61">
        <f>IF('Porcentaje de Notas'!G38="","",('Porcentaje de Notas'!G38/100)*$H$10)</f>
        <v>0.5</v>
      </c>
      <c r="I38" s="60">
        <f>IF('Porcentaje de Notas'!H38="","",('Porcentaje de Notas'!H38/100)*$I$10)</f>
        <v>1</v>
      </c>
      <c r="J38" s="58">
        <f>IF('Porcentaje de Notas'!I38="","",('Porcentaje de Notas'!I38/100)*$J$10)</f>
        <v>1</v>
      </c>
      <c r="K38" s="58">
        <f>IF('Porcentaje de Notas'!J38="","",('Porcentaje de Notas'!J38/100)*$K$10)</f>
        <v>1</v>
      </c>
      <c r="L38" s="58">
        <f>IF('Porcentaje de Notas'!K38="","",('Porcentaje de Notas'!K38/100)*$L$10)</f>
        <v>1.5</v>
      </c>
      <c r="M38" s="58">
        <f>IF('Porcentaje de Notas'!L38="","",('Porcentaje de Notas'!L38/100)*$M$10)</f>
        <v>2</v>
      </c>
      <c r="N38" s="58">
        <f>IF('Porcentaje de Notas'!M38="","",('Porcentaje de Notas'!M38/100)*$N$10)</f>
        <v>0</v>
      </c>
      <c r="O38" s="58">
        <f>IF('Porcentaje de Notas'!N38="","",('Porcentaje de Notas'!N38/100)*$O$10)</f>
        <v>2</v>
      </c>
      <c r="P38" s="58">
        <f>IF('Porcentaje de Notas'!O38="","",('Porcentaje de Notas'!O38/100)*$P$10)</f>
        <v>0.8</v>
      </c>
      <c r="Q38" s="58">
        <f>IF('Porcentaje de Notas'!P38="","",('Porcentaje de Notas'!P38/100)*$Q$10)</f>
        <v>1.5</v>
      </c>
      <c r="R38" s="58">
        <f>IF('Porcentaje de Notas'!Q38="","",('Porcentaje de Notas'!Q38/100)*$R$10)</f>
        <v>5</v>
      </c>
      <c r="S38" s="62">
        <f t="shared" si="0"/>
        <v>17.55</v>
      </c>
    </row>
    <row r="39" spans="2:19" ht="10.5" customHeight="1" x14ac:dyDescent="0.35">
      <c r="B39" s="58">
        <v>28</v>
      </c>
      <c r="C39" s="58">
        <v>202530265</v>
      </c>
      <c r="D39" s="59" t="s">
        <v>30</v>
      </c>
      <c r="E39" s="60">
        <f>IF('Porcentaje de Notas'!D39="","",('Porcentaje de Notas'!D39/100)*$E$10)</f>
        <v>0.5</v>
      </c>
      <c r="F39" s="58">
        <f>IF('Porcentaje de Notas'!E39="","",('Porcentaje de Notas'!E39/100)*$F$10)</f>
        <v>0.5</v>
      </c>
      <c r="G39" s="58">
        <f>IF('Porcentaje de Notas'!F39="","",('Porcentaje de Notas'!F39/100)*$G$10)</f>
        <v>0.5</v>
      </c>
      <c r="H39" s="61">
        <f>IF('Porcentaje de Notas'!G39="","",('Porcentaje de Notas'!G39/100)*$H$10)</f>
        <v>0.5</v>
      </c>
      <c r="I39" s="60">
        <f>IF('Porcentaje de Notas'!H39="","",('Porcentaje de Notas'!H39/100)*$I$10)</f>
        <v>1</v>
      </c>
      <c r="J39" s="58">
        <f>IF('Porcentaje de Notas'!I39="","",('Porcentaje de Notas'!I39/100)*$J$10)</f>
        <v>0.9</v>
      </c>
      <c r="K39" s="58">
        <f>IF('Porcentaje de Notas'!J39="","",('Porcentaje de Notas'!J39/100)*$K$10)</f>
        <v>1</v>
      </c>
      <c r="L39" s="58">
        <f>IF('Porcentaje de Notas'!K39="","",('Porcentaje de Notas'!K39/100)*$L$10)</f>
        <v>1.5</v>
      </c>
      <c r="M39" s="58">
        <f>IF('Porcentaje de Notas'!L39="","",('Porcentaje de Notas'!L39/100)*$M$10)</f>
        <v>1.4</v>
      </c>
      <c r="N39" s="58">
        <f>IF('Porcentaje de Notas'!M39="","",('Porcentaje de Notas'!M39/100)*$N$10)</f>
        <v>2</v>
      </c>
      <c r="O39" s="58">
        <f>IF('Porcentaje de Notas'!N39="","",('Porcentaje de Notas'!N39/100)*$O$10)</f>
        <v>2</v>
      </c>
      <c r="P39" s="58">
        <f>IF('Porcentaje de Notas'!O39="","",('Porcentaje de Notas'!O39/100)*$P$10)</f>
        <v>0.9</v>
      </c>
      <c r="Q39" s="58">
        <f>IF('Porcentaje de Notas'!P39="","",('Porcentaje de Notas'!P39/100)*$Q$10)</f>
        <v>1.5</v>
      </c>
      <c r="R39" s="58">
        <f>IF('Porcentaje de Notas'!Q39="","",('Porcentaje de Notas'!Q39/100)*$R$10)</f>
        <v>5</v>
      </c>
      <c r="S39" s="62">
        <f t="shared" si="0"/>
        <v>19.200000000000003</v>
      </c>
    </row>
    <row r="40" spans="2:19" ht="10.5" customHeight="1" x14ac:dyDescent="0.35">
      <c r="B40" s="58">
        <v>29</v>
      </c>
      <c r="C40" s="58">
        <v>202530315</v>
      </c>
      <c r="D40" s="59" t="s">
        <v>31</v>
      </c>
      <c r="E40" s="60">
        <f>IF('Porcentaje de Notas'!D40="","",('Porcentaje de Notas'!D40/100)*$E$10)</f>
        <v>0.5</v>
      </c>
      <c r="F40" s="58">
        <f>IF('Porcentaje de Notas'!E40="","",('Porcentaje de Notas'!E40/100)*$F$10)</f>
        <v>0.25</v>
      </c>
      <c r="G40" s="58">
        <f>IF('Porcentaje de Notas'!F40="","",('Porcentaje de Notas'!F40/100)*$G$10)</f>
        <v>0.5</v>
      </c>
      <c r="H40" s="61">
        <f>IF('Porcentaje de Notas'!G40="","",('Porcentaje de Notas'!G40/100)*$H$10)</f>
        <v>0.5</v>
      </c>
      <c r="I40" s="60">
        <f>IF('Porcentaje de Notas'!H40="","",('Porcentaje de Notas'!H40/100)*$I$10)</f>
        <v>1</v>
      </c>
      <c r="J40" s="58">
        <f>IF('Porcentaje de Notas'!I40="","",('Porcentaje de Notas'!I40/100)*$J$10)</f>
        <v>1</v>
      </c>
      <c r="K40" s="58">
        <f>IF('Porcentaje de Notas'!J40="","",('Porcentaje de Notas'!J40/100)*$K$10)</f>
        <v>1</v>
      </c>
      <c r="L40" s="58">
        <f>IF('Porcentaje de Notas'!K40="","",('Porcentaje de Notas'!K40/100)*$L$10)</f>
        <v>1.5</v>
      </c>
      <c r="M40" s="58">
        <f>IF('Porcentaje de Notas'!L40="","",('Porcentaje de Notas'!L40/100)*$M$10)</f>
        <v>1</v>
      </c>
      <c r="N40" s="58">
        <f>IF('Porcentaje de Notas'!M40="","",('Porcentaje de Notas'!M40/100)*$N$10)</f>
        <v>2</v>
      </c>
      <c r="O40" s="58">
        <f>IF('Porcentaje de Notas'!N40="","",('Porcentaje de Notas'!N40/100)*$O$10)</f>
        <v>1</v>
      </c>
      <c r="P40" s="58">
        <f>IF('Porcentaje de Notas'!O40="","",('Porcentaje de Notas'!O40/100)*$P$10)</f>
        <v>0.8</v>
      </c>
      <c r="Q40" s="58">
        <f>IF('Porcentaje de Notas'!P40="","",('Porcentaje de Notas'!P40/100)*$Q$10)</f>
        <v>1.5</v>
      </c>
      <c r="R40" s="58">
        <f>IF('Porcentaje de Notas'!Q40="","",('Porcentaje de Notas'!Q40/100)*$R$10)</f>
        <v>5</v>
      </c>
      <c r="S40" s="62">
        <f t="shared" si="0"/>
        <v>17.55</v>
      </c>
    </row>
    <row r="41" spans="2:19" ht="10.5" customHeight="1" x14ac:dyDescent="0.35">
      <c r="B41" s="58">
        <v>30</v>
      </c>
      <c r="C41" s="58">
        <v>202530329</v>
      </c>
      <c r="D41" s="59" t="s">
        <v>32</v>
      </c>
      <c r="E41" s="60">
        <f>IF('Porcentaje de Notas'!D41="","",('Porcentaje de Notas'!D41/100)*$E$10)</f>
        <v>0.5</v>
      </c>
      <c r="F41" s="58">
        <f>IF('Porcentaje de Notas'!E41="","",('Porcentaje de Notas'!E41/100)*$F$10)</f>
        <v>0.25</v>
      </c>
      <c r="G41" s="58">
        <f>IF('Porcentaje de Notas'!F41="","",('Porcentaje de Notas'!F41/100)*$G$10)</f>
        <v>0.5</v>
      </c>
      <c r="H41" s="61">
        <f>IF('Porcentaje de Notas'!G41="","",('Porcentaje de Notas'!G41/100)*$H$10)</f>
        <v>0</v>
      </c>
      <c r="I41" s="60">
        <f>IF('Porcentaje de Notas'!H41="","",('Porcentaje de Notas'!H41/100)*$I$10)</f>
        <v>1</v>
      </c>
      <c r="J41" s="58">
        <f>IF('Porcentaje de Notas'!I41="","",('Porcentaje de Notas'!I41/100)*$J$10)</f>
        <v>0.95</v>
      </c>
      <c r="K41" s="58">
        <f>IF('Porcentaje de Notas'!J41="","",('Porcentaje de Notas'!J41/100)*$K$10)</f>
        <v>1</v>
      </c>
      <c r="L41" s="58">
        <f>IF('Porcentaje de Notas'!K41="","",('Porcentaje de Notas'!K41/100)*$L$10)</f>
        <v>1.5</v>
      </c>
      <c r="M41" s="58">
        <f>IF('Porcentaje de Notas'!L41="","",('Porcentaje de Notas'!L41/100)*$M$10)</f>
        <v>1.4</v>
      </c>
      <c r="N41" s="58">
        <f>IF('Porcentaje de Notas'!M41="","",('Porcentaje de Notas'!M41/100)*$N$10)</f>
        <v>1.7</v>
      </c>
      <c r="O41" s="58">
        <f>IF('Porcentaje de Notas'!N41="","",('Porcentaje de Notas'!N41/100)*$O$10)</f>
        <v>1.3</v>
      </c>
      <c r="P41" s="58">
        <f>IF('Porcentaje de Notas'!O41="","",('Porcentaje de Notas'!O41/100)*$P$10)</f>
        <v>0.8</v>
      </c>
      <c r="Q41" s="58">
        <f>IF('Porcentaje de Notas'!P41="","",('Porcentaje de Notas'!P41/100)*$Q$10)</f>
        <v>1.5</v>
      </c>
      <c r="R41" s="58">
        <f>IF('Porcentaje de Notas'!Q41="","",('Porcentaje de Notas'!Q41/100)*$R$10)</f>
        <v>5</v>
      </c>
      <c r="S41" s="62">
        <f t="shared" si="0"/>
        <v>17.399999999999999</v>
      </c>
    </row>
    <row r="42" spans="2:19" ht="10.5" customHeight="1" x14ac:dyDescent="0.35">
      <c r="B42" s="58">
        <v>31</v>
      </c>
      <c r="C42" s="58">
        <v>202530349</v>
      </c>
      <c r="D42" s="59" t="s">
        <v>33</v>
      </c>
      <c r="E42" s="60">
        <f>IF('Porcentaje de Notas'!D42="","",('Porcentaje de Notas'!D42/100)*$E$10)</f>
        <v>0</v>
      </c>
      <c r="F42" s="58">
        <f>IF('Porcentaje de Notas'!E42="","",('Porcentaje de Notas'!E42/100)*$F$10)</f>
        <v>0.25</v>
      </c>
      <c r="G42" s="58">
        <f>IF('Porcentaje de Notas'!F42="","",('Porcentaje de Notas'!F42/100)*$G$10)</f>
        <v>0.5</v>
      </c>
      <c r="H42" s="61">
        <f>IF('Porcentaje de Notas'!G42="","",('Porcentaje de Notas'!G42/100)*$H$10)</f>
        <v>0.5</v>
      </c>
      <c r="I42" s="60">
        <f>IF('Porcentaje de Notas'!H42="","",('Porcentaje de Notas'!H42/100)*$I$10)</f>
        <v>1</v>
      </c>
      <c r="J42" s="58">
        <f>IF('Porcentaje de Notas'!I42="","",('Porcentaje de Notas'!I42/100)*$J$10)</f>
        <v>0.75</v>
      </c>
      <c r="K42" s="58">
        <f>IF('Porcentaje de Notas'!J42="","",('Porcentaje de Notas'!J42/100)*$K$10)</f>
        <v>1</v>
      </c>
      <c r="L42" s="58">
        <f>IF('Porcentaje de Notas'!K42="","",('Porcentaje de Notas'!K42/100)*$L$10)</f>
        <v>1.5</v>
      </c>
      <c r="M42" s="58">
        <f>IF('Porcentaje de Notas'!L42="","",('Porcentaje de Notas'!L42/100)*$M$10)</f>
        <v>1.6</v>
      </c>
      <c r="N42" s="58">
        <f>IF('Porcentaje de Notas'!M42="","",('Porcentaje de Notas'!M42/100)*$N$10)</f>
        <v>1.8</v>
      </c>
      <c r="O42" s="58">
        <f>IF('Porcentaje de Notas'!N42="","",('Porcentaje de Notas'!N42/100)*$O$10)</f>
        <v>1.2</v>
      </c>
      <c r="P42" s="58">
        <f>IF('Porcentaje de Notas'!O42="","",('Porcentaje de Notas'!O42/100)*$P$10)</f>
        <v>1</v>
      </c>
      <c r="Q42" s="58">
        <f>IF('Porcentaje de Notas'!P42="","",('Porcentaje de Notas'!P42/100)*$Q$10)</f>
        <v>1.5</v>
      </c>
      <c r="R42" s="58">
        <f>IF('Porcentaje de Notas'!Q42="","",('Porcentaje de Notas'!Q42/100)*$R$10)</f>
        <v>5</v>
      </c>
      <c r="S42" s="62">
        <f t="shared" si="0"/>
        <v>17.600000000000001</v>
      </c>
    </row>
    <row r="43" spans="2:19" ht="10.5" customHeight="1" x14ac:dyDescent="0.35">
      <c r="B43" s="58">
        <v>32</v>
      </c>
      <c r="C43" s="58">
        <v>202530357</v>
      </c>
      <c r="D43" s="59" t="s">
        <v>34</v>
      </c>
      <c r="E43" s="60">
        <f>IF('Porcentaje de Notas'!D43="","",('Porcentaje de Notas'!D43/100)*$E$10)</f>
        <v>0.5</v>
      </c>
      <c r="F43" s="58">
        <f>IF('Porcentaje de Notas'!E43="","",('Porcentaje de Notas'!E43/100)*$F$10)</f>
        <v>0.25</v>
      </c>
      <c r="G43" s="58">
        <f>IF('Porcentaje de Notas'!F43="","",('Porcentaje de Notas'!F43/100)*$G$10)</f>
        <v>0.5</v>
      </c>
      <c r="H43" s="61">
        <f>IF('Porcentaje de Notas'!G43="","",('Porcentaje de Notas'!G43/100)*$H$10)</f>
        <v>0.5</v>
      </c>
      <c r="I43" s="60">
        <f>IF('Porcentaje de Notas'!H43="","",('Porcentaje de Notas'!H43/100)*$I$10)</f>
        <v>1</v>
      </c>
      <c r="J43" s="58">
        <f>IF('Porcentaje de Notas'!I43="","",('Porcentaje de Notas'!I43/100)*$J$10)</f>
        <v>1</v>
      </c>
      <c r="K43" s="58">
        <f>IF('Porcentaje de Notas'!J43="","",('Porcentaje de Notas'!J43/100)*$K$10)</f>
        <v>1</v>
      </c>
      <c r="L43" s="58">
        <f>IF('Porcentaje de Notas'!K43="","",('Porcentaje de Notas'!K43/100)*$L$10)</f>
        <v>1.5</v>
      </c>
      <c r="M43" s="58">
        <f>IF('Porcentaje de Notas'!L43="","",('Porcentaje de Notas'!L43/100)*$M$10)</f>
        <v>1.6</v>
      </c>
      <c r="N43" s="58">
        <f>IF('Porcentaje de Notas'!M43="","",('Porcentaje de Notas'!M43/100)*$N$10)</f>
        <v>1.3</v>
      </c>
      <c r="O43" s="58">
        <f>IF('Porcentaje de Notas'!N43="","",('Porcentaje de Notas'!N43/100)*$O$10)</f>
        <v>1.6</v>
      </c>
      <c r="P43" s="58">
        <f>IF('Porcentaje de Notas'!O43="","",('Porcentaje de Notas'!O43/100)*$P$10)</f>
        <v>1</v>
      </c>
      <c r="Q43" s="58">
        <f>IF('Porcentaje de Notas'!P43="","",('Porcentaje de Notas'!P43/100)*$Q$10)</f>
        <v>1.5</v>
      </c>
      <c r="R43" s="58">
        <f>IF('Porcentaje de Notas'!Q43="","",('Porcentaje de Notas'!Q43/100)*$R$10)</f>
        <v>5</v>
      </c>
      <c r="S43" s="62">
        <f t="shared" si="0"/>
        <v>18.25</v>
      </c>
    </row>
    <row r="44" spans="2:19" ht="10.5" customHeight="1" x14ac:dyDescent="0.35">
      <c r="B44" s="58">
        <v>33</v>
      </c>
      <c r="C44" s="58">
        <v>202530381</v>
      </c>
      <c r="D44" s="59" t="s">
        <v>35</v>
      </c>
      <c r="E44" s="60">
        <f>IF('Porcentaje de Notas'!D44="","",('Porcentaje de Notas'!D44/100)*$E$10)</f>
        <v>0.5</v>
      </c>
      <c r="F44" s="58">
        <f>IF('Porcentaje de Notas'!E44="","",('Porcentaje de Notas'!E44/100)*$F$10)</f>
        <v>0.5</v>
      </c>
      <c r="G44" s="58">
        <f>IF('Porcentaje de Notas'!F44="","",('Porcentaje de Notas'!F44/100)*$G$10)</f>
        <v>0.5</v>
      </c>
      <c r="H44" s="61">
        <f>IF('Porcentaje de Notas'!G44="","",('Porcentaje de Notas'!G44/100)*$H$10)</f>
        <v>0.5</v>
      </c>
      <c r="I44" s="60">
        <f>IF('Porcentaje de Notas'!H44="","",('Porcentaje de Notas'!H44/100)*$I$10)</f>
        <v>1</v>
      </c>
      <c r="J44" s="58">
        <f>IF('Porcentaje de Notas'!I44="","",('Porcentaje de Notas'!I44/100)*$J$10)</f>
        <v>1</v>
      </c>
      <c r="K44" s="58">
        <f>IF('Porcentaje de Notas'!J44="","",('Porcentaje de Notas'!J44/100)*$K$10)</f>
        <v>1</v>
      </c>
      <c r="L44" s="58">
        <f>IF('Porcentaje de Notas'!K44="","",('Porcentaje de Notas'!K44/100)*$L$10)</f>
        <v>1.5</v>
      </c>
      <c r="M44" s="58">
        <f>IF('Porcentaje de Notas'!L44="","",('Porcentaje de Notas'!L44/100)*$M$10)</f>
        <v>1</v>
      </c>
      <c r="N44" s="58">
        <f>IF('Porcentaje de Notas'!M44="","",('Porcentaje de Notas'!M44/100)*$N$10)</f>
        <v>1.8</v>
      </c>
      <c r="O44" s="58">
        <f>IF('Porcentaje de Notas'!N44="","",('Porcentaje de Notas'!N44/100)*$O$10)</f>
        <v>0.9</v>
      </c>
      <c r="P44" s="58">
        <f>IF('Porcentaje de Notas'!O44="","",('Porcentaje de Notas'!O44/100)*$P$10)</f>
        <v>0.8</v>
      </c>
      <c r="Q44" s="58">
        <f>IF('Porcentaje de Notas'!P44="","",('Porcentaje de Notas'!P44/100)*$Q$10)</f>
        <v>1.5</v>
      </c>
      <c r="R44" s="58">
        <f>IF('Porcentaje de Notas'!Q44="","",('Porcentaje de Notas'!Q44/100)*$R$10)</f>
        <v>5</v>
      </c>
      <c r="S44" s="62">
        <f t="shared" si="0"/>
        <v>17.5</v>
      </c>
    </row>
    <row r="45" spans="2:19" ht="10.5" customHeight="1" x14ac:dyDescent="0.35">
      <c r="B45" s="58">
        <v>34</v>
      </c>
      <c r="C45" s="58">
        <v>202530434</v>
      </c>
      <c r="D45" s="59" t="s">
        <v>36</v>
      </c>
      <c r="E45" s="60">
        <f>IF('Porcentaje de Notas'!D45="","",('Porcentaje de Notas'!D45/100)*$E$10)</f>
        <v>0.5</v>
      </c>
      <c r="F45" s="58">
        <f>IF('Porcentaje de Notas'!E45="","",('Porcentaje de Notas'!E45/100)*$F$10)</f>
        <v>0.25</v>
      </c>
      <c r="G45" s="58">
        <f>IF('Porcentaje de Notas'!F45="","",('Porcentaje de Notas'!F45/100)*$G$10)</f>
        <v>0.5</v>
      </c>
      <c r="H45" s="61">
        <f>IF('Porcentaje de Notas'!G45="","",('Porcentaje de Notas'!G45/100)*$H$10)</f>
        <v>0.45</v>
      </c>
      <c r="I45" s="60">
        <f>IF('Porcentaje de Notas'!H45="","",('Porcentaje de Notas'!H45/100)*$I$10)</f>
        <v>0.75</v>
      </c>
      <c r="J45" s="58">
        <f>IF('Porcentaje de Notas'!I45="","",('Porcentaje de Notas'!I45/100)*$J$10)</f>
        <v>0.55000000000000004</v>
      </c>
      <c r="K45" s="58">
        <f>IF('Porcentaje de Notas'!J45="","",('Porcentaje de Notas'!J45/100)*$K$10)</f>
        <v>1</v>
      </c>
      <c r="L45" s="58">
        <f>IF('Porcentaje de Notas'!K45="","",('Porcentaje de Notas'!K45/100)*$L$10)</f>
        <v>1.5</v>
      </c>
      <c r="M45" s="58">
        <f>IF('Porcentaje de Notas'!L45="","",('Porcentaje de Notas'!L45/100)*$M$10)</f>
        <v>1.8</v>
      </c>
      <c r="N45" s="58">
        <f>IF('Porcentaje de Notas'!M45="","",('Porcentaje de Notas'!M45/100)*$N$10)</f>
        <v>1.5</v>
      </c>
      <c r="O45" s="58">
        <f>IF('Porcentaje de Notas'!N45="","",('Porcentaje de Notas'!N45/100)*$O$10)</f>
        <v>2</v>
      </c>
      <c r="P45" s="58">
        <f>IF('Porcentaje de Notas'!O45="","",('Porcentaje de Notas'!O45/100)*$P$10)</f>
        <v>0.95</v>
      </c>
      <c r="Q45" s="58">
        <f>IF('Porcentaje de Notas'!P45="","",('Porcentaje de Notas'!P45/100)*$Q$10)</f>
        <v>1.5</v>
      </c>
      <c r="R45" s="58">
        <f>IF('Porcentaje de Notas'!Q45="","",('Porcentaje de Notas'!Q45/100)*$R$10)</f>
        <v>5</v>
      </c>
      <c r="S45" s="62">
        <f t="shared" si="0"/>
        <v>18.25</v>
      </c>
    </row>
    <row r="46" spans="2:19" ht="10.5" customHeight="1" x14ac:dyDescent="0.35">
      <c r="B46" s="58">
        <v>35</v>
      </c>
      <c r="C46" s="58">
        <v>202530446</v>
      </c>
      <c r="D46" s="59" t="s">
        <v>37</v>
      </c>
      <c r="E46" s="60">
        <f>IF('Porcentaje de Notas'!D46="","",('Porcentaje de Notas'!D46/100)*$E$10)</f>
        <v>0.5</v>
      </c>
      <c r="F46" s="58">
        <f>IF('Porcentaje de Notas'!E46="","",('Porcentaje de Notas'!E46/100)*$F$10)</f>
        <v>0.25</v>
      </c>
      <c r="G46" s="58">
        <f>IF('Porcentaje de Notas'!F46="","",('Porcentaje de Notas'!F46/100)*$G$10)</f>
        <v>0.5</v>
      </c>
      <c r="H46" s="61">
        <f>IF('Porcentaje de Notas'!G46="","",('Porcentaje de Notas'!G46/100)*$H$10)</f>
        <v>0</v>
      </c>
      <c r="I46" s="60">
        <f>IF('Porcentaje de Notas'!H46="","",('Porcentaje de Notas'!H46/100)*$I$10)</f>
        <v>1</v>
      </c>
      <c r="J46" s="58">
        <f>IF('Porcentaje de Notas'!I46="","",('Porcentaje de Notas'!I46/100)*$J$10)</f>
        <v>1</v>
      </c>
      <c r="K46" s="58">
        <f>IF('Porcentaje de Notas'!J46="","",('Porcentaje de Notas'!J46/100)*$K$10)</f>
        <v>1</v>
      </c>
      <c r="L46" s="58">
        <f>IF('Porcentaje de Notas'!K46="","",('Porcentaje de Notas'!K46/100)*$L$10)</f>
        <v>1.5</v>
      </c>
      <c r="M46" s="58">
        <f>IF('Porcentaje de Notas'!L46="","",('Porcentaje de Notas'!L46/100)*$M$10)</f>
        <v>1</v>
      </c>
      <c r="N46" s="58">
        <f>IF('Porcentaje de Notas'!M46="","",('Porcentaje de Notas'!M46/100)*$N$10)</f>
        <v>1.7</v>
      </c>
      <c r="O46" s="58">
        <f>IF('Porcentaje de Notas'!N46="","",('Porcentaje de Notas'!N46/100)*$O$10)</f>
        <v>1.6</v>
      </c>
      <c r="P46" s="58">
        <f>IF('Porcentaje de Notas'!O46="","",('Porcentaje de Notas'!O46/100)*$P$10)</f>
        <v>1</v>
      </c>
      <c r="Q46" s="58">
        <f>IF('Porcentaje de Notas'!P46="","",('Porcentaje de Notas'!P46/100)*$Q$10)</f>
        <v>1.5</v>
      </c>
      <c r="R46" s="58">
        <f>IF('Porcentaje de Notas'!Q46="","",('Porcentaje de Notas'!Q46/100)*$R$10)</f>
        <v>5</v>
      </c>
      <c r="S46" s="62">
        <f t="shared" si="0"/>
        <v>17.549999999999997</v>
      </c>
    </row>
    <row r="47" spans="2:19" ht="10.5" customHeight="1" x14ac:dyDescent="0.35">
      <c r="B47" s="58">
        <v>36</v>
      </c>
      <c r="C47" s="58">
        <v>202530522</v>
      </c>
      <c r="D47" s="59" t="s">
        <v>38</v>
      </c>
      <c r="E47" s="60">
        <f>IF('Porcentaje de Notas'!D47="","",('Porcentaje de Notas'!D47/100)*$E$10)</f>
        <v>0.5</v>
      </c>
      <c r="F47" s="58">
        <f>IF('Porcentaje de Notas'!E47="","",('Porcentaje de Notas'!E47/100)*$F$10)</f>
        <v>0.25</v>
      </c>
      <c r="G47" s="58">
        <f>IF('Porcentaje de Notas'!F47="","",('Porcentaje de Notas'!F47/100)*$G$10)</f>
        <v>0.5</v>
      </c>
      <c r="H47" s="61">
        <f>IF('Porcentaje de Notas'!G47="","",('Porcentaje de Notas'!G47/100)*$H$10)</f>
        <v>0</v>
      </c>
      <c r="I47" s="60">
        <f>IF('Porcentaje de Notas'!H47="","",('Porcentaje de Notas'!H47/100)*$I$10)</f>
        <v>1</v>
      </c>
      <c r="J47" s="58">
        <f>IF('Porcentaje de Notas'!I47="","",('Porcentaje de Notas'!I47/100)*$J$10)</f>
        <v>1</v>
      </c>
      <c r="K47" s="58">
        <f>IF('Porcentaje de Notas'!J47="","",('Porcentaje de Notas'!J47/100)*$K$10)</f>
        <v>1</v>
      </c>
      <c r="L47" s="58">
        <f>IF('Porcentaje de Notas'!K47="","",('Porcentaje de Notas'!K47/100)*$L$10)</f>
        <v>1.5</v>
      </c>
      <c r="M47" s="58">
        <f>IF('Porcentaje de Notas'!L47="","",('Porcentaje de Notas'!L47/100)*$M$10)</f>
        <v>1</v>
      </c>
      <c r="N47" s="58">
        <f>IF('Porcentaje de Notas'!M47="","",('Porcentaje de Notas'!M47/100)*$N$10)</f>
        <v>1.6</v>
      </c>
      <c r="O47" s="58">
        <f>IF('Porcentaje de Notas'!N47="","",('Porcentaje de Notas'!N47/100)*$O$10)</f>
        <v>1.6</v>
      </c>
      <c r="P47" s="58">
        <f>IF('Porcentaje de Notas'!O47="","",('Porcentaje de Notas'!O47/100)*$P$10)</f>
        <v>0</v>
      </c>
      <c r="Q47" s="58">
        <f>IF('Porcentaje de Notas'!P47="","",('Porcentaje de Notas'!P47/100)*$Q$10)</f>
        <v>0</v>
      </c>
      <c r="R47" s="58">
        <f>IF('Porcentaje de Notas'!Q47="","",('Porcentaje de Notas'!Q47/100)*$R$10)</f>
        <v>0</v>
      </c>
      <c r="S47" s="62">
        <f t="shared" si="0"/>
        <v>9.9499999999999993</v>
      </c>
    </row>
    <row r="48" spans="2:19" ht="10.5" customHeight="1" x14ac:dyDescent="0.35">
      <c r="B48" s="58">
        <v>37</v>
      </c>
      <c r="C48" s="58">
        <v>202530613</v>
      </c>
      <c r="D48" s="59" t="s">
        <v>39</v>
      </c>
      <c r="E48" s="60">
        <f>IF('Porcentaje de Notas'!D48="","",('Porcentaje de Notas'!D48/100)*$E$10)</f>
        <v>0</v>
      </c>
      <c r="F48" s="58">
        <f>IF('Porcentaje de Notas'!E48="","",('Porcentaje de Notas'!E48/100)*$F$10)</f>
        <v>0.5</v>
      </c>
      <c r="G48" s="58">
        <f>IF('Porcentaje de Notas'!F48="","",('Porcentaje de Notas'!F48/100)*$G$10)</f>
        <v>0</v>
      </c>
      <c r="H48" s="61">
        <f>IF('Porcentaje de Notas'!G48="","",('Porcentaje de Notas'!G48/100)*$H$10)</f>
        <v>0</v>
      </c>
      <c r="I48" s="60">
        <f>IF('Porcentaje de Notas'!H48="","",('Porcentaje de Notas'!H48/100)*$I$10)</f>
        <v>0</v>
      </c>
      <c r="J48" s="58">
        <f>IF('Porcentaje de Notas'!I48="","",('Porcentaje de Notas'!I48/100)*$J$10)</f>
        <v>0</v>
      </c>
      <c r="K48" s="58">
        <f>IF('Porcentaje de Notas'!J48="","",('Porcentaje de Notas'!J48/100)*$K$10)</f>
        <v>0</v>
      </c>
      <c r="L48" s="58">
        <f>IF('Porcentaje de Notas'!K48="","",('Porcentaje de Notas'!K48/100)*$L$10)</f>
        <v>0</v>
      </c>
      <c r="M48" s="58">
        <f>IF('Porcentaje de Notas'!L48="","",('Porcentaje de Notas'!L48/100)*$M$10)</f>
        <v>0</v>
      </c>
      <c r="N48" s="58">
        <f>IF('Porcentaje de Notas'!M48="","",('Porcentaje de Notas'!M48/100)*$N$10)</f>
        <v>0</v>
      </c>
      <c r="O48" s="58">
        <f>IF('Porcentaje de Notas'!N48="","",('Porcentaje de Notas'!N48/100)*$O$10)</f>
        <v>0</v>
      </c>
      <c r="P48" s="58">
        <f>IF('Porcentaje de Notas'!O48="","",('Porcentaje de Notas'!O48/100)*$P$10)</f>
        <v>0</v>
      </c>
      <c r="Q48" s="58">
        <f>IF('Porcentaje de Notas'!P48="","",('Porcentaje de Notas'!P48/100)*$Q$10)</f>
        <v>0</v>
      </c>
      <c r="R48" s="58">
        <f>IF('Porcentaje de Notas'!Q48="","",('Porcentaje de Notas'!Q48/100)*$R$10)</f>
        <v>0</v>
      </c>
      <c r="S48" s="62">
        <f t="shared" si="0"/>
        <v>0.5</v>
      </c>
    </row>
    <row r="49" spans="2:19" ht="10.5" customHeight="1" x14ac:dyDescent="0.35">
      <c r="B49" s="58">
        <v>38</v>
      </c>
      <c r="C49" s="58">
        <v>202530621</v>
      </c>
      <c r="D49" s="59" t="s">
        <v>40</v>
      </c>
      <c r="E49" s="60">
        <f>IF('Porcentaje de Notas'!D49="","",('Porcentaje de Notas'!D49/100)*$E$10)</f>
        <v>0.5</v>
      </c>
      <c r="F49" s="58">
        <f>IF('Porcentaje de Notas'!E49="","",('Porcentaje de Notas'!E49/100)*$F$10)</f>
        <v>0.25</v>
      </c>
      <c r="G49" s="58">
        <f>IF('Porcentaje de Notas'!F49="","",('Porcentaje de Notas'!F49/100)*$G$10)</f>
        <v>0.5</v>
      </c>
      <c r="H49" s="61">
        <f>IF('Porcentaje de Notas'!G49="","",('Porcentaje de Notas'!G49/100)*$H$10)</f>
        <v>0.45</v>
      </c>
      <c r="I49" s="60">
        <f>IF('Porcentaje de Notas'!H49="","",('Porcentaje de Notas'!H49/100)*$I$10)</f>
        <v>0.7</v>
      </c>
      <c r="J49" s="58">
        <f>IF('Porcentaje de Notas'!I49="","",('Porcentaje de Notas'!I49/100)*$J$10)</f>
        <v>1</v>
      </c>
      <c r="K49" s="58">
        <f>IF('Porcentaje de Notas'!J49="","",('Porcentaje de Notas'!J49/100)*$K$10)</f>
        <v>1</v>
      </c>
      <c r="L49" s="58">
        <f>IF('Porcentaje de Notas'!K49="","",('Porcentaje de Notas'!K49/100)*$L$10)</f>
        <v>1.5</v>
      </c>
      <c r="M49" s="58">
        <f>IF('Porcentaje de Notas'!L49="","",('Porcentaje de Notas'!L49/100)*$M$10)</f>
        <v>1.4</v>
      </c>
      <c r="N49" s="58">
        <f>IF('Porcentaje de Notas'!M49="","",('Porcentaje de Notas'!M49/100)*$N$10)</f>
        <v>1.2</v>
      </c>
      <c r="O49" s="58">
        <f>IF('Porcentaje de Notas'!N49="","",('Porcentaje de Notas'!N49/100)*$O$10)</f>
        <v>1.3</v>
      </c>
      <c r="P49" s="58">
        <f>IF('Porcentaje de Notas'!O49="","",('Porcentaje de Notas'!O49/100)*$P$10)</f>
        <v>0.8</v>
      </c>
      <c r="Q49" s="58">
        <f>IF('Porcentaje de Notas'!P49="","",('Porcentaje de Notas'!P49/100)*$Q$10)</f>
        <v>1.5</v>
      </c>
      <c r="R49" s="58">
        <f>IF('Porcentaje de Notas'!Q49="","",('Porcentaje de Notas'!Q49/100)*$R$10)</f>
        <v>5</v>
      </c>
      <c r="S49" s="62">
        <f t="shared" si="0"/>
        <v>17.100000000000001</v>
      </c>
    </row>
    <row r="50" spans="2:19" ht="10.5" customHeight="1" x14ac:dyDescent="0.35">
      <c r="B50" s="58">
        <v>39</v>
      </c>
      <c r="C50" s="58">
        <v>202530673</v>
      </c>
      <c r="D50" s="59" t="s">
        <v>41</v>
      </c>
      <c r="E50" s="60">
        <f>IF('Porcentaje de Notas'!D50="","",('Porcentaje de Notas'!D50/100)*$E$10)</f>
        <v>0</v>
      </c>
      <c r="F50" s="58">
        <f>IF('Porcentaje de Notas'!E50="","",('Porcentaje de Notas'!E50/100)*$F$10)</f>
        <v>0.25</v>
      </c>
      <c r="G50" s="58">
        <f>IF('Porcentaje de Notas'!F50="","",('Porcentaje de Notas'!F50/100)*$G$10)</f>
        <v>0</v>
      </c>
      <c r="H50" s="61">
        <f>IF('Porcentaje de Notas'!G50="","",('Porcentaje de Notas'!G50/100)*$H$10)</f>
        <v>0.5</v>
      </c>
      <c r="I50" s="60">
        <f>IF('Porcentaje de Notas'!H50="","",('Porcentaje de Notas'!H50/100)*$I$10)</f>
        <v>0</v>
      </c>
      <c r="J50" s="58">
        <f>IF('Porcentaje de Notas'!I50="","",('Porcentaje de Notas'!I50/100)*$J$10)</f>
        <v>1</v>
      </c>
      <c r="K50" s="58">
        <f>IF('Porcentaje de Notas'!J50="","",('Porcentaje de Notas'!J50/100)*$K$10)</f>
        <v>1</v>
      </c>
      <c r="L50" s="58">
        <f>IF('Porcentaje de Notas'!K50="","",('Porcentaje de Notas'!K50/100)*$L$10)</f>
        <v>1.5</v>
      </c>
      <c r="M50" s="58">
        <f>IF('Porcentaje de Notas'!L50="","",('Porcentaje de Notas'!L50/100)*$M$10)</f>
        <v>1.4</v>
      </c>
      <c r="N50" s="58">
        <f>IF('Porcentaje de Notas'!M50="","",('Porcentaje de Notas'!M50/100)*$N$10)</f>
        <v>1.9</v>
      </c>
      <c r="O50" s="58">
        <f>IF('Porcentaje de Notas'!N50="","",('Porcentaje de Notas'!N50/100)*$O$10)</f>
        <v>0</v>
      </c>
      <c r="P50" s="58">
        <f>IF('Porcentaje de Notas'!O50="","",('Porcentaje de Notas'!O50/100)*$P$10)</f>
        <v>0.5</v>
      </c>
      <c r="Q50" s="58">
        <f>IF('Porcentaje de Notas'!P50="","",('Porcentaje de Notas'!P50/100)*$Q$10)</f>
        <v>0</v>
      </c>
      <c r="R50" s="58">
        <f>IF('Porcentaje de Notas'!Q50="","",('Porcentaje de Notas'!Q50/100)*$R$10)</f>
        <v>5</v>
      </c>
      <c r="S50" s="62">
        <f t="shared" si="0"/>
        <v>13.05</v>
      </c>
    </row>
    <row r="51" spans="2:19" ht="10.5" customHeight="1" x14ac:dyDescent="0.35">
      <c r="B51" s="58">
        <v>40</v>
      </c>
      <c r="C51" s="58">
        <v>202530674</v>
      </c>
      <c r="D51" s="59" t="s">
        <v>42</v>
      </c>
      <c r="E51" s="60">
        <f>IF('Porcentaje de Notas'!D51="","",('Porcentaje de Notas'!D51/100)*$E$10)</f>
        <v>0</v>
      </c>
      <c r="F51" s="58">
        <f>IF('Porcentaje de Notas'!E51="","",('Porcentaje de Notas'!E51/100)*$F$10)</f>
        <v>0.25</v>
      </c>
      <c r="G51" s="58">
        <f>IF('Porcentaje de Notas'!F51="","",('Porcentaje de Notas'!F51/100)*$G$10)</f>
        <v>0.25</v>
      </c>
      <c r="H51" s="61">
        <f>IF('Porcentaje de Notas'!G51="","",('Porcentaje de Notas'!G51/100)*$H$10)</f>
        <v>0</v>
      </c>
      <c r="I51" s="60">
        <f>IF('Porcentaje de Notas'!H51="","",('Porcentaje de Notas'!H51/100)*$I$10)</f>
        <v>1</v>
      </c>
      <c r="J51" s="58">
        <f>IF('Porcentaje de Notas'!I51="","",('Porcentaje de Notas'!I51/100)*$J$10)</f>
        <v>1</v>
      </c>
      <c r="K51" s="58">
        <f>IF('Porcentaje de Notas'!J51="","",('Porcentaje de Notas'!J51/100)*$K$10)</f>
        <v>0.9</v>
      </c>
      <c r="L51" s="58">
        <f>IF('Porcentaje de Notas'!K51="","",('Porcentaje de Notas'!K51/100)*$L$10)</f>
        <v>1.5</v>
      </c>
      <c r="M51" s="58">
        <f>IF('Porcentaje de Notas'!L51="","",('Porcentaje de Notas'!L51/100)*$M$10)</f>
        <v>1</v>
      </c>
      <c r="N51" s="58">
        <f>IF('Porcentaje de Notas'!M51="","",('Porcentaje de Notas'!M51/100)*$N$10)</f>
        <v>1.7</v>
      </c>
      <c r="O51" s="58">
        <f>IF('Porcentaje de Notas'!N51="","",('Porcentaje de Notas'!N51/100)*$O$10)</f>
        <v>1.4</v>
      </c>
      <c r="P51" s="58">
        <f>IF('Porcentaje de Notas'!O51="","",('Porcentaje de Notas'!O51/100)*$P$10)</f>
        <v>0</v>
      </c>
      <c r="Q51" s="58">
        <f>IF('Porcentaje de Notas'!P51="","",('Porcentaje de Notas'!P51/100)*$Q$10)</f>
        <v>0</v>
      </c>
      <c r="R51" s="58">
        <f>IF('Porcentaje de Notas'!Q51="","",('Porcentaje de Notas'!Q51/100)*$R$10)</f>
        <v>0</v>
      </c>
      <c r="S51" s="62">
        <f t="shared" si="0"/>
        <v>9</v>
      </c>
    </row>
    <row r="52" spans="2:19" ht="10.5" customHeight="1" x14ac:dyDescent="0.35">
      <c r="B52" s="58">
        <v>41</v>
      </c>
      <c r="C52" s="58">
        <v>202530677</v>
      </c>
      <c r="D52" s="59" t="s">
        <v>43</v>
      </c>
      <c r="E52" s="60">
        <f>IF('Porcentaje de Notas'!D52="","",('Porcentaje de Notas'!D52/100)*$E$10)</f>
        <v>0.5</v>
      </c>
      <c r="F52" s="58">
        <f>IF('Porcentaje de Notas'!E52="","",('Porcentaje de Notas'!E52/100)*$F$10)</f>
        <v>0.25</v>
      </c>
      <c r="G52" s="58">
        <f>IF('Porcentaje de Notas'!F52="","",('Porcentaje de Notas'!F52/100)*$G$10)</f>
        <v>0.5</v>
      </c>
      <c r="H52" s="61">
        <f>IF('Porcentaje de Notas'!G52="","",('Porcentaje de Notas'!G52/100)*$H$10)</f>
        <v>0</v>
      </c>
      <c r="I52" s="60">
        <f>IF('Porcentaje de Notas'!H52="","",('Porcentaje de Notas'!H52/100)*$I$10)</f>
        <v>1</v>
      </c>
      <c r="J52" s="58">
        <f>IF('Porcentaje de Notas'!I52="","",('Porcentaje de Notas'!I52/100)*$J$10)</f>
        <v>0</v>
      </c>
      <c r="K52" s="58">
        <f>IF('Porcentaje de Notas'!J52="","",('Porcentaje de Notas'!J52/100)*$K$10)</f>
        <v>1</v>
      </c>
      <c r="L52" s="58">
        <f>IF('Porcentaje de Notas'!K52="","",('Porcentaje de Notas'!K52/100)*$L$10)</f>
        <v>0</v>
      </c>
      <c r="M52" s="58">
        <f>IF('Porcentaje de Notas'!L52="","",('Porcentaje de Notas'!L52/100)*$M$10)</f>
        <v>0</v>
      </c>
      <c r="N52" s="58">
        <f>IF('Porcentaje de Notas'!M52="","",('Porcentaje de Notas'!M52/100)*$N$10)</f>
        <v>0</v>
      </c>
      <c r="O52" s="58">
        <f>IF('Porcentaje de Notas'!N52="","",('Porcentaje de Notas'!N52/100)*$O$10)</f>
        <v>0</v>
      </c>
      <c r="P52" s="58">
        <f>IF('Porcentaje de Notas'!O52="","",('Porcentaje de Notas'!O52/100)*$P$10)</f>
        <v>0</v>
      </c>
      <c r="Q52" s="58">
        <f>IF('Porcentaje de Notas'!P52="","",('Porcentaje de Notas'!P52/100)*$Q$10)</f>
        <v>0</v>
      </c>
      <c r="R52" s="58">
        <f>IF('Porcentaje de Notas'!Q52="","",('Porcentaje de Notas'!Q52/100)*$R$10)</f>
        <v>0</v>
      </c>
      <c r="S52" s="62">
        <f t="shared" si="0"/>
        <v>3.25</v>
      </c>
    </row>
    <row r="53" spans="2:19" ht="10.5" customHeight="1" x14ac:dyDescent="0.35">
      <c r="B53" s="58">
        <v>42</v>
      </c>
      <c r="C53" s="58">
        <v>202530728</v>
      </c>
      <c r="D53" s="59" t="s">
        <v>44</v>
      </c>
      <c r="E53" s="60">
        <f>IF('Porcentaje de Notas'!D53="","",('Porcentaje de Notas'!D53/100)*$E$10)</f>
        <v>0.5</v>
      </c>
      <c r="F53" s="58">
        <f>IF('Porcentaje de Notas'!E53="","",('Porcentaje de Notas'!E53/100)*$F$10)</f>
        <v>0.25</v>
      </c>
      <c r="G53" s="58">
        <f>IF('Porcentaje de Notas'!F53="","",('Porcentaje de Notas'!F53/100)*$G$10)</f>
        <v>0.5</v>
      </c>
      <c r="H53" s="61">
        <f>IF('Porcentaje de Notas'!G53="","",('Porcentaje de Notas'!G53/100)*$H$10)</f>
        <v>0</v>
      </c>
      <c r="I53" s="60">
        <f>IF('Porcentaje de Notas'!H53="","",('Porcentaje de Notas'!H53/100)*$I$10)</f>
        <v>1</v>
      </c>
      <c r="J53" s="58">
        <f>IF('Porcentaje de Notas'!I53="","",('Porcentaje de Notas'!I53/100)*$J$10)</f>
        <v>1</v>
      </c>
      <c r="K53" s="58">
        <f>IF('Porcentaje de Notas'!J53="","",('Porcentaje de Notas'!J53/100)*$K$10)</f>
        <v>0</v>
      </c>
      <c r="L53" s="58">
        <f>IF('Porcentaje de Notas'!K53="","",('Porcentaje de Notas'!K53/100)*$L$10)</f>
        <v>1.5</v>
      </c>
      <c r="M53" s="58">
        <f>IF('Porcentaje de Notas'!L53="","",('Porcentaje de Notas'!L53/100)*$M$10)</f>
        <v>1.4</v>
      </c>
      <c r="N53" s="58">
        <f>IF('Porcentaje de Notas'!M53="","",('Porcentaje de Notas'!M53/100)*$N$10)</f>
        <v>1.7</v>
      </c>
      <c r="O53" s="58">
        <f>IF('Porcentaje de Notas'!N53="","",('Porcentaje de Notas'!N53/100)*$O$10)</f>
        <v>1</v>
      </c>
      <c r="P53" s="58">
        <f>IF('Porcentaje de Notas'!O53="","",('Porcentaje de Notas'!O53/100)*$P$10)</f>
        <v>0.8</v>
      </c>
      <c r="Q53" s="58">
        <f>IF('Porcentaje de Notas'!P53="","",('Porcentaje de Notas'!P53/100)*$Q$10)</f>
        <v>1.5</v>
      </c>
      <c r="R53" s="58">
        <f>IF('Porcentaje de Notas'!Q53="","",('Porcentaje de Notas'!Q53/100)*$R$10)</f>
        <v>5</v>
      </c>
      <c r="S53" s="62">
        <f t="shared" si="0"/>
        <v>16.150000000000002</v>
      </c>
    </row>
    <row r="54" spans="2:19" ht="10.5" customHeight="1" x14ac:dyDescent="0.35">
      <c r="B54" s="58">
        <v>43</v>
      </c>
      <c r="C54" s="58">
        <v>202530843</v>
      </c>
      <c r="D54" s="59" t="s">
        <v>45</v>
      </c>
      <c r="E54" s="60">
        <f>IF('Porcentaje de Notas'!D54="","",('Porcentaje de Notas'!D54/100)*$E$10)</f>
        <v>0</v>
      </c>
      <c r="F54" s="58">
        <f>IF('Porcentaje de Notas'!E54="","",('Porcentaje de Notas'!E54/100)*$F$10)</f>
        <v>0.25</v>
      </c>
      <c r="G54" s="58">
        <f>IF('Porcentaje de Notas'!F54="","",('Porcentaje de Notas'!F54/100)*$G$10)</f>
        <v>0</v>
      </c>
      <c r="H54" s="61">
        <f>IF('Porcentaje de Notas'!G54="","",('Porcentaje de Notas'!G54/100)*$H$10)</f>
        <v>0</v>
      </c>
      <c r="I54" s="60">
        <f>IF('Porcentaje de Notas'!H54="","",('Porcentaje de Notas'!H54/100)*$I$10)</f>
        <v>1</v>
      </c>
      <c r="J54" s="58">
        <f>IF('Porcentaje de Notas'!I54="","",('Porcentaje de Notas'!I54/100)*$J$10)</f>
        <v>1</v>
      </c>
      <c r="K54" s="58">
        <f>IF('Porcentaje de Notas'!J54="","",('Porcentaje de Notas'!J54/100)*$K$10)</f>
        <v>0</v>
      </c>
      <c r="L54" s="58">
        <f>IF('Porcentaje de Notas'!K54="","",('Porcentaje de Notas'!K54/100)*$L$10)</f>
        <v>1.5</v>
      </c>
      <c r="M54" s="58">
        <f>IF('Porcentaje de Notas'!L54="","",('Porcentaje de Notas'!L54/100)*$M$10)</f>
        <v>1.4</v>
      </c>
      <c r="N54" s="58">
        <f>IF('Porcentaje de Notas'!M54="","",('Porcentaje de Notas'!M54/100)*$N$10)</f>
        <v>1.7</v>
      </c>
      <c r="O54" s="58">
        <f>IF('Porcentaje de Notas'!N54="","",('Porcentaje de Notas'!N54/100)*$O$10)</f>
        <v>1.7</v>
      </c>
      <c r="P54" s="58">
        <f>IF('Porcentaje de Notas'!O54="","",('Porcentaje de Notas'!O54/100)*$P$10)</f>
        <v>0.8</v>
      </c>
      <c r="Q54" s="58">
        <f>IF('Porcentaje de Notas'!P54="","",('Porcentaje de Notas'!P54/100)*$Q$10)</f>
        <v>1.5</v>
      </c>
      <c r="R54" s="58">
        <f>IF('Porcentaje de Notas'!Q54="","",('Porcentaje de Notas'!Q54/100)*$R$10)</f>
        <v>5</v>
      </c>
      <c r="S54" s="62">
        <f t="shared" si="0"/>
        <v>15.850000000000001</v>
      </c>
    </row>
    <row r="55" spans="2:19" ht="10.5" customHeight="1" x14ac:dyDescent="0.35">
      <c r="B55" s="58">
        <v>44</v>
      </c>
      <c r="C55" s="58">
        <v>202530866</v>
      </c>
      <c r="D55" s="59" t="s">
        <v>46</v>
      </c>
      <c r="E55" s="60">
        <f>IF('Porcentaje de Notas'!D55="","",('Porcentaje de Notas'!D55/100)*$E$10)</f>
        <v>0.5</v>
      </c>
      <c r="F55" s="58">
        <f>IF('Porcentaje de Notas'!E55="","",('Porcentaje de Notas'!E55/100)*$F$10)</f>
        <v>0.5</v>
      </c>
      <c r="G55" s="58">
        <f>IF('Porcentaje de Notas'!F55="","",('Porcentaje de Notas'!F55/100)*$G$10)</f>
        <v>0.5</v>
      </c>
      <c r="H55" s="61">
        <f>IF('Porcentaje de Notas'!G55="","",('Porcentaje de Notas'!G55/100)*$H$10)</f>
        <v>0.45</v>
      </c>
      <c r="I55" s="60">
        <f>IF('Porcentaje de Notas'!H55="","",('Porcentaje de Notas'!H55/100)*$I$10)</f>
        <v>1</v>
      </c>
      <c r="J55" s="58">
        <f>IF('Porcentaje de Notas'!I55="","",('Porcentaje de Notas'!I55/100)*$J$10)</f>
        <v>1</v>
      </c>
      <c r="K55" s="58">
        <f>IF('Porcentaje de Notas'!J55="","",('Porcentaje de Notas'!J55/100)*$K$10)</f>
        <v>0.9</v>
      </c>
      <c r="L55" s="58">
        <f>IF('Porcentaje de Notas'!K55="","",('Porcentaje de Notas'!K55/100)*$L$10)</f>
        <v>1.5</v>
      </c>
      <c r="M55" s="58">
        <f>IF('Porcentaje de Notas'!L55="","",('Porcentaje de Notas'!L55/100)*$M$10)</f>
        <v>1</v>
      </c>
      <c r="N55" s="58">
        <f>IF('Porcentaje de Notas'!M55="","",('Porcentaje de Notas'!M55/100)*$N$10)</f>
        <v>1.7</v>
      </c>
      <c r="O55" s="58">
        <f>IF('Porcentaje de Notas'!N55="","",('Porcentaje de Notas'!N55/100)*$O$10)</f>
        <v>1.1000000000000001</v>
      </c>
      <c r="P55" s="58">
        <f>IF('Porcentaje de Notas'!O55="","",('Porcentaje de Notas'!O55/100)*$P$10)</f>
        <v>1</v>
      </c>
      <c r="Q55" s="58">
        <f>IF('Porcentaje de Notas'!P55="","",('Porcentaje de Notas'!P55/100)*$Q$10)</f>
        <v>1.5</v>
      </c>
      <c r="R55" s="58">
        <f>IF('Porcentaje de Notas'!Q55="","",('Porcentaje de Notas'!Q55/100)*$R$10)</f>
        <v>5</v>
      </c>
      <c r="S55" s="62">
        <f t="shared" si="0"/>
        <v>17.649999999999999</v>
      </c>
    </row>
    <row r="56" spans="2:19" ht="10.5" customHeight="1" x14ac:dyDescent="0.35">
      <c r="B56" s="58">
        <v>45</v>
      </c>
      <c r="C56" s="58">
        <v>202530917</v>
      </c>
      <c r="D56" s="59" t="s">
        <v>47</v>
      </c>
      <c r="E56" s="60">
        <f>IF('Porcentaje de Notas'!D56="","",('Porcentaje de Notas'!D56/100)*$E$10)</f>
        <v>0</v>
      </c>
      <c r="F56" s="58">
        <f>IF('Porcentaje de Notas'!E56="","",('Porcentaje de Notas'!E56/100)*$F$10)</f>
        <v>0.25</v>
      </c>
      <c r="G56" s="58">
        <f>IF('Porcentaje de Notas'!F56="","",('Porcentaje de Notas'!F56/100)*$G$10)</f>
        <v>0.25</v>
      </c>
      <c r="H56" s="61">
        <f>IF('Porcentaje de Notas'!G56="","",('Porcentaje de Notas'!G56/100)*$H$10)</f>
        <v>0.5</v>
      </c>
      <c r="I56" s="60">
        <f>IF('Porcentaje de Notas'!H56="","",('Porcentaje de Notas'!H56/100)*$I$10)</f>
        <v>0.75</v>
      </c>
      <c r="J56" s="58">
        <f>IF('Porcentaje de Notas'!I56="","",('Porcentaje de Notas'!I56/100)*$J$10)</f>
        <v>1</v>
      </c>
      <c r="K56" s="58">
        <f>IF('Porcentaje de Notas'!J56="","",('Porcentaje de Notas'!J56/100)*$K$10)</f>
        <v>1</v>
      </c>
      <c r="L56" s="58">
        <f>IF('Porcentaje de Notas'!K56="","",('Porcentaje de Notas'!K56/100)*$L$10)</f>
        <v>1.5</v>
      </c>
      <c r="M56" s="58">
        <f>IF('Porcentaje de Notas'!L56="","",('Porcentaje de Notas'!L56/100)*$M$10)</f>
        <v>1.8</v>
      </c>
      <c r="N56" s="58">
        <f>IF('Porcentaje de Notas'!M56="","",('Porcentaje de Notas'!M56/100)*$N$10)</f>
        <v>1.9</v>
      </c>
      <c r="O56" s="58">
        <f>IF('Porcentaje de Notas'!N56="","",('Porcentaje de Notas'!N56/100)*$O$10)</f>
        <v>1.3</v>
      </c>
      <c r="P56" s="58">
        <f>IF('Porcentaje de Notas'!O56="","",('Porcentaje de Notas'!O56/100)*$P$10)</f>
        <v>1</v>
      </c>
      <c r="Q56" s="58">
        <f>IF('Porcentaje de Notas'!P56="","",('Porcentaje de Notas'!P56/100)*$Q$10)</f>
        <v>1.5</v>
      </c>
      <c r="R56" s="58">
        <f>IF('Porcentaje de Notas'!Q56="","",('Porcentaje de Notas'!Q56/100)*$R$10)</f>
        <v>5</v>
      </c>
      <c r="S56" s="62">
        <f t="shared" si="0"/>
        <v>17.75</v>
      </c>
    </row>
    <row r="57" spans="2:19" ht="10.5" customHeight="1" x14ac:dyDescent="0.35">
      <c r="B57" s="58">
        <v>46</v>
      </c>
      <c r="C57" s="58">
        <v>202531013</v>
      </c>
      <c r="D57" s="59" t="s">
        <v>48</v>
      </c>
      <c r="E57" s="60">
        <f>IF('Porcentaje de Notas'!D57="","",('Porcentaje de Notas'!D57/100)*$E$10)</f>
        <v>0.5</v>
      </c>
      <c r="F57" s="58">
        <f>IF('Porcentaje de Notas'!E57="","",('Porcentaje de Notas'!E57/100)*$F$10)</f>
        <v>0.25</v>
      </c>
      <c r="G57" s="58">
        <f>IF('Porcentaje de Notas'!F57="","",('Porcentaje de Notas'!F57/100)*$G$10)</f>
        <v>0.5</v>
      </c>
      <c r="H57" s="61">
        <f>IF('Porcentaje de Notas'!G57="","",('Porcentaje de Notas'!G57/100)*$H$10)</f>
        <v>0.45</v>
      </c>
      <c r="I57" s="60">
        <f>IF('Porcentaje de Notas'!H57="","",('Porcentaje de Notas'!H57/100)*$I$10)</f>
        <v>1</v>
      </c>
      <c r="J57" s="58">
        <f>IF('Porcentaje de Notas'!I57="","",('Porcentaje de Notas'!I57/100)*$J$10)</f>
        <v>0.75</v>
      </c>
      <c r="K57" s="58">
        <f>IF('Porcentaje de Notas'!J57="","",('Porcentaje de Notas'!J57/100)*$K$10)</f>
        <v>1</v>
      </c>
      <c r="L57" s="58">
        <f>IF('Porcentaje de Notas'!K57="","",('Porcentaje de Notas'!K57/100)*$L$10)</f>
        <v>1.5</v>
      </c>
      <c r="M57" s="58">
        <f>IF('Porcentaje de Notas'!L57="","",('Porcentaje de Notas'!L57/100)*$M$10)</f>
        <v>2</v>
      </c>
      <c r="N57" s="58">
        <f>IF('Porcentaje de Notas'!M57="","",('Porcentaje de Notas'!M57/100)*$N$10)</f>
        <v>1.8</v>
      </c>
      <c r="O57" s="58">
        <f>IF('Porcentaje de Notas'!N57="","",('Porcentaje de Notas'!N57/100)*$O$10)</f>
        <v>1.4</v>
      </c>
      <c r="P57" s="58">
        <f>IF('Porcentaje de Notas'!O57="","",('Porcentaje de Notas'!O57/100)*$P$10)</f>
        <v>1</v>
      </c>
      <c r="Q57" s="58">
        <f>IF('Porcentaje de Notas'!P57="","",('Porcentaje de Notas'!P57/100)*$Q$10)</f>
        <v>1.5</v>
      </c>
      <c r="R57" s="58">
        <f>IF('Porcentaje de Notas'!Q57="","",('Porcentaje de Notas'!Q57/100)*$R$10)</f>
        <v>5</v>
      </c>
      <c r="S57" s="62">
        <f t="shared" si="0"/>
        <v>18.649999999999999</v>
      </c>
    </row>
    <row r="58" spans="2:19" ht="10.5" customHeight="1" x14ac:dyDescent="0.35">
      <c r="B58" s="58">
        <v>47</v>
      </c>
      <c r="C58" s="58">
        <v>202531019</v>
      </c>
      <c r="D58" s="59" t="s">
        <v>49</v>
      </c>
      <c r="E58" s="60">
        <f>IF('Porcentaje de Notas'!D58="","",('Porcentaje de Notas'!D58/100)*$E$10)</f>
        <v>0</v>
      </c>
      <c r="F58" s="58">
        <f>IF('Porcentaje de Notas'!E58="","",('Porcentaje de Notas'!E58/100)*$F$10)</f>
        <v>0.25</v>
      </c>
      <c r="G58" s="58">
        <f>IF('Porcentaje de Notas'!F58="","",('Porcentaje de Notas'!F58/100)*$G$10)</f>
        <v>0.5</v>
      </c>
      <c r="H58" s="61">
        <f>IF('Porcentaje de Notas'!G58="","",('Porcentaje de Notas'!G58/100)*$H$10)</f>
        <v>0.45</v>
      </c>
      <c r="I58" s="60">
        <f>IF('Porcentaje de Notas'!H58="","",('Porcentaje de Notas'!H58/100)*$I$10)</f>
        <v>1</v>
      </c>
      <c r="J58" s="58">
        <f>IF('Porcentaje de Notas'!I58="","",('Porcentaje de Notas'!I58/100)*$J$10)</f>
        <v>0.55000000000000004</v>
      </c>
      <c r="K58" s="58">
        <f>IF('Porcentaje de Notas'!J58="","",('Porcentaje de Notas'!J58/100)*$K$10)</f>
        <v>1</v>
      </c>
      <c r="L58" s="58">
        <f>IF('Porcentaje de Notas'!K58="","",('Porcentaje de Notas'!K58/100)*$L$10)</f>
        <v>1.5</v>
      </c>
      <c r="M58" s="58">
        <f>IF('Porcentaje de Notas'!L58="","",('Porcentaje de Notas'!L58/100)*$M$10)</f>
        <v>1.9</v>
      </c>
      <c r="N58" s="58">
        <f>IF('Porcentaje de Notas'!M58="","",('Porcentaje de Notas'!M58/100)*$N$10)</f>
        <v>0</v>
      </c>
      <c r="O58" s="58">
        <f>IF('Porcentaje de Notas'!N58="","",('Porcentaje de Notas'!N58/100)*$O$10)</f>
        <v>1.1000000000000001</v>
      </c>
      <c r="P58" s="58">
        <f>IF('Porcentaje de Notas'!O58="","",('Porcentaje de Notas'!O58/100)*$P$10)</f>
        <v>1</v>
      </c>
      <c r="Q58" s="58">
        <f>IF('Porcentaje de Notas'!P58="","",('Porcentaje de Notas'!P58/100)*$Q$10)</f>
        <v>1.5</v>
      </c>
      <c r="R58" s="58">
        <f>IF('Porcentaje de Notas'!Q58="","",('Porcentaje de Notas'!Q58/100)*$R$10)</f>
        <v>5</v>
      </c>
      <c r="S58" s="62">
        <f t="shared" si="0"/>
        <v>15.75</v>
      </c>
    </row>
    <row r="59" spans="2:19" ht="10.5" customHeight="1" x14ac:dyDescent="0.35">
      <c r="B59" s="58">
        <v>48</v>
      </c>
      <c r="C59" s="58">
        <v>202531089</v>
      </c>
      <c r="D59" s="59" t="s">
        <v>50</v>
      </c>
      <c r="E59" s="60">
        <f>IF('Porcentaje de Notas'!D59="","",('Porcentaje de Notas'!D59/100)*$E$10)</f>
        <v>0.5</v>
      </c>
      <c r="F59" s="58">
        <f>IF('Porcentaje de Notas'!E59="","",('Porcentaje de Notas'!E59/100)*$F$10)</f>
        <v>0.5</v>
      </c>
      <c r="G59" s="58">
        <f>IF('Porcentaje de Notas'!F59="","",('Porcentaje de Notas'!F59/100)*$G$10)</f>
        <v>0.5</v>
      </c>
      <c r="H59" s="61">
        <f>IF('Porcentaje de Notas'!G59="","",('Porcentaje de Notas'!G59/100)*$H$10)</f>
        <v>0.45</v>
      </c>
      <c r="I59" s="60">
        <f>IF('Porcentaje de Notas'!H59="","",('Porcentaje de Notas'!H59/100)*$I$10)</f>
        <v>0.7</v>
      </c>
      <c r="J59" s="58">
        <f>IF('Porcentaje de Notas'!I59="","",('Porcentaje de Notas'!I59/100)*$J$10)</f>
        <v>1</v>
      </c>
      <c r="K59" s="58">
        <f>IF('Porcentaje de Notas'!J59="","",('Porcentaje de Notas'!J59/100)*$K$10)</f>
        <v>0.9</v>
      </c>
      <c r="L59" s="58">
        <f>IF('Porcentaje de Notas'!K59="","",('Porcentaje de Notas'!K59/100)*$L$10)</f>
        <v>1.5</v>
      </c>
      <c r="M59" s="58">
        <f>IF('Porcentaje de Notas'!L59="","",('Porcentaje de Notas'!L59/100)*$M$10)</f>
        <v>1</v>
      </c>
      <c r="N59" s="58">
        <f>IF('Porcentaje de Notas'!M59="","",('Porcentaje de Notas'!M59/100)*$N$10)</f>
        <v>1.7</v>
      </c>
      <c r="O59" s="58">
        <f>IF('Porcentaje de Notas'!N59="","",('Porcentaje de Notas'!N59/100)*$O$10)</f>
        <v>1.1000000000000001</v>
      </c>
      <c r="P59" s="58">
        <f>IF('Porcentaje de Notas'!O59="","",('Porcentaje de Notas'!O59/100)*$P$10)</f>
        <v>1</v>
      </c>
      <c r="Q59" s="58">
        <f>IF('Porcentaje de Notas'!P59="","",('Porcentaje de Notas'!P59/100)*$Q$10)</f>
        <v>1.5</v>
      </c>
      <c r="R59" s="58">
        <f>IF('Porcentaje de Notas'!Q59="","",('Porcentaje de Notas'!Q59/100)*$R$10)</f>
        <v>5</v>
      </c>
      <c r="S59" s="62">
        <f t="shared" si="0"/>
        <v>17.350000000000001</v>
      </c>
    </row>
    <row r="60" spans="2:19" ht="10.5" customHeight="1" x14ac:dyDescent="0.35">
      <c r="B60" s="58">
        <v>49</v>
      </c>
      <c r="C60" s="58">
        <v>202531127</v>
      </c>
      <c r="D60" s="59" t="s">
        <v>51</v>
      </c>
      <c r="E60" s="60">
        <f>IF('Porcentaje de Notas'!D60="","",('Porcentaje de Notas'!D60/100)*$E$10)</f>
        <v>0</v>
      </c>
      <c r="F60" s="58">
        <f>IF('Porcentaje de Notas'!E60="","",('Porcentaje de Notas'!E60/100)*$F$10)</f>
        <v>0.25</v>
      </c>
      <c r="G60" s="58">
        <f>IF('Porcentaje de Notas'!F60="","",('Porcentaje de Notas'!F60/100)*$G$10)</f>
        <v>0.5</v>
      </c>
      <c r="H60" s="61">
        <f>IF('Porcentaje de Notas'!G60="","",('Porcentaje de Notas'!G60/100)*$H$10)</f>
        <v>0</v>
      </c>
      <c r="I60" s="60">
        <f>IF('Porcentaje de Notas'!H60="","",('Porcentaje de Notas'!H60/100)*$I$10)</f>
        <v>0</v>
      </c>
      <c r="J60" s="58">
        <f>IF('Porcentaje de Notas'!I60="","",('Porcentaje de Notas'!I60/100)*$J$10)</f>
        <v>1</v>
      </c>
      <c r="K60" s="58">
        <f>IF('Porcentaje de Notas'!J60="","",('Porcentaje de Notas'!J60/100)*$K$10)</f>
        <v>0</v>
      </c>
      <c r="L60" s="58">
        <f>IF('Porcentaje de Notas'!K60="","",('Porcentaje de Notas'!K60/100)*$L$10)</f>
        <v>1.5</v>
      </c>
      <c r="M60" s="58">
        <f>IF('Porcentaje de Notas'!L60="","",('Porcentaje de Notas'!L60/100)*$M$10)</f>
        <v>1.4</v>
      </c>
      <c r="N60" s="58">
        <f>IF('Porcentaje de Notas'!M60="","",('Porcentaje de Notas'!M60/100)*$N$10)</f>
        <v>1.7</v>
      </c>
      <c r="O60" s="58">
        <f>IF('Porcentaje de Notas'!N60="","",('Porcentaje de Notas'!N60/100)*$O$10)</f>
        <v>1.7</v>
      </c>
      <c r="P60" s="58">
        <f>IF('Porcentaje de Notas'!O60="","",('Porcentaje de Notas'!O60/100)*$P$10)</f>
        <v>0.8</v>
      </c>
      <c r="Q60" s="58">
        <f>IF('Porcentaje de Notas'!P60="","",('Porcentaje de Notas'!P60/100)*$Q$10)</f>
        <v>1.5</v>
      </c>
      <c r="R60" s="58">
        <f>IF('Porcentaje de Notas'!Q60="","",('Porcentaje de Notas'!Q60/100)*$R$10)</f>
        <v>5</v>
      </c>
      <c r="S60" s="62">
        <f t="shared" si="0"/>
        <v>15.350000000000001</v>
      </c>
    </row>
    <row r="61" spans="2:19" ht="10.5" customHeight="1" x14ac:dyDescent="0.35">
      <c r="B61" s="58">
        <v>50</v>
      </c>
      <c r="C61" s="58">
        <v>202531213</v>
      </c>
      <c r="D61" s="59" t="s">
        <v>52</v>
      </c>
      <c r="E61" s="60">
        <f>IF('Porcentaje de Notas'!D61="","",('Porcentaje de Notas'!D61/100)*$E$10)</f>
        <v>0.5</v>
      </c>
      <c r="F61" s="58">
        <f>IF('Porcentaje de Notas'!E61="","",('Porcentaje de Notas'!E61/100)*$F$10)</f>
        <v>0.5</v>
      </c>
      <c r="G61" s="58">
        <f>IF('Porcentaje de Notas'!F61="","",('Porcentaje de Notas'!F61/100)*$G$10)</f>
        <v>0.5</v>
      </c>
      <c r="H61" s="61">
        <f>IF('Porcentaje de Notas'!G61="","",('Porcentaje de Notas'!G61/100)*$H$10)</f>
        <v>0.45</v>
      </c>
      <c r="I61" s="60">
        <f>IF('Porcentaje de Notas'!H61="","",('Porcentaje de Notas'!H61/100)*$I$10)</f>
        <v>1</v>
      </c>
      <c r="J61" s="58">
        <f>IF('Porcentaje de Notas'!I61="","",('Porcentaje de Notas'!I61/100)*$J$10)</f>
        <v>0.9</v>
      </c>
      <c r="K61" s="58">
        <f>IF('Porcentaje de Notas'!J61="","",('Porcentaje de Notas'!J61/100)*$K$10)</f>
        <v>1</v>
      </c>
      <c r="L61" s="58">
        <f>IF('Porcentaje de Notas'!K61="","",('Porcentaje de Notas'!K61/100)*$L$10)</f>
        <v>1.5</v>
      </c>
      <c r="M61" s="58">
        <f>IF('Porcentaje de Notas'!L61="","",('Porcentaje de Notas'!L61/100)*$M$10)</f>
        <v>1.6</v>
      </c>
      <c r="N61" s="58">
        <f>IF('Porcentaje de Notas'!M61="","",('Porcentaje de Notas'!M61/100)*$N$10)</f>
        <v>2</v>
      </c>
      <c r="O61" s="58">
        <f>IF('Porcentaje de Notas'!N61="","",('Porcentaje de Notas'!N61/100)*$O$10)</f>
        <v>2</v>
      </c>
      <c r="P61" s="58">
        <f>IF('Porcentaje de Notas'!O61="","",('Porcentaje de Notas'!O61/100)*$P$10)</f>
        <v>0.9</v>
      </c>
      <c r="Q61" s="58">
        <f>IF('Porcentaje de Notas'!P61="","",('Porcentaje de Notas'!P61/100)*$Q$10)</f>
        <v>1.5</v>
      </c>
      <c r="R61" s="58">
        <f>IF('Porcentaje de Notas'!Q61="","",('Porcentaje de Notas'!Q61/100)*$R$10)</f>
        <v>5</v>
      </c>
      <c r="S61" s="62">
        <f t="shared" si="0"/>
        <v>19.350000000000001</v>
      </c>
    </row>
    <row r="62" spans="2:19" ht="10.5" customHeight="1" x14ac:dyDescent="0.35">
      <c r="B62" s="58">
        <v>51</v>
      </c>
      <c r="C62" s="58">
        <v>202531219</v>
      </c>
      <c r="D62" s="59" t="s">
        <v>53</v>
      </c>
      <c r="E62" s="60">
        <f>IF('Porcentaje de Notas'!D62="","",('Porcentaje de Notas'!D62/100)*$E$10)</f>
        <v>0</v>
      </c>
      <c r="F62" s="58">
        <f>IF('Porcentaje de Notas'!E62="","",('Porcentaje de Notas'!E62/100)*$F$10)</f>
        <v>0.25</v>
      </c>
      <c r="G62" s="58">
        <f>IF('Porcentaje de Notas'!F62="","",('Porcentaje de Notas'!F62/100)*$G$10)</f>
        <v>0.5</v>
      </c>
      <c r="H62" s="61">
        <f>IF('Porcentaje de Notas'!G62="","",('Porcentaje de Notas'!G62/100)*$H$10)</f>
        <v>0.5</v>
      </c>
      <c r="I62" s="60">
        <f>IF('Porcentaje de Notas'!H62="","",('Porcentaje de Notas'!H62/100)*$I$10)</f>
        <v>0.75</v>
      </c>
      <c r="J62" s="58">
        <f>IF('Porcentaje de Notas'!I62="","",('Porcentaje de Notas'!I62/100)*$J$10)</f>
        <v>0.9</v>
      </c>
      <c r="K62" s="58">
        <f>IF('Porcentaje de Notas'!J62="","",('Porcentaje de Notas'!J62/100)*$K$10)</f>
        <v>1</v>
      </c>
      <c r="L62" s="58">
        <f>IF('Porcentaje de Notas'!K62="","",('Porcentaje de Notas'!K62/100)*$L$10)</f>
        <v>1.2000000000000002</v>
      </c>
      <c r="M62" s="58">
        <f>IF('Porcentaje de Notas'!L62="","",('Porcentaje de Notas'!L62/100)*$M$10)</f>
        <v>1.4</v>
      </c>
      <c r="N62" s="58">
        <f>IF('Porcentaje de Notas'!M62="","",('Porcentaje de Notas'!M62/100)*$N$10)</f>
        <v>0.9</v>
      </c>
      <c r="O62" s="58">
        <f>IF('Porcentaje de Notas'!N62="","",('Porcentaje de Notas'!N62/100)*$O$10)</f>
        <v>0</v>
      </c>
      <c r="P62" s="58">
        <f>IF('Porcentaje de Notas'!O62="","",('Porcentaje de Notas'!O62/100)*$P$10)</f>
        <v>0.8</v>
      </c>
      <c r="Q62" s="58">
        <f>IF('Porcentaje de Notas'!P62="","",('Porcentaje de Notas'!P62/100)*$Q$10)</f>
        <v>1.5</v>
      </c>
      <c r="R62" s="58">
        <f>IF('Porcentaje de Notas'!Q62="","",('Porcentaje de Notas'!Q62/100)*$R$10)</f>
        <v>5</v>
      </c>
      <c r="S62" s="62">
        <f t="shared" si="0"/>
        <v>14.700000000000001</v>
      </c>
    </row>
    <row r="63" spans="2:19" ht="10.5" customHeight="1" x14ac:dyDescent="0.35">
      <c r="B63" s="58">
        <v>52</v>
      </c>
      <c r="C63" s="58">
        <v>202531289</v>
      </c>
      <c r="D63" s="59" t="s">
        <v>54</v>
      </c>
      <c r="E63" s="60">
        <f>IF('Porcentaje de Notas'!D63="","",('Porcentaje de Notas'!D63/100)*$E$10)</f>
        <v>0.5</v>
      </c>
      <c r="F63" s="58">
        <f>IF('Porcentaje de Notas'!E63="","",('Porcentaje de Notas'!E63/100)*$F$10)</f>
        <v>0.25</v>
      </c>
      <c r="G63" s="58">
        <f>IF('Porcentaje de Notas'!F63="","",('Porcentaje de Notas'!F63/100)*$G$10)</f>
        <v>0.5</v>
      </c>
      <c r="H63" s="61">
        <f>IF('Porcentaje de Notas'!G63="","",('Porcentaje de Notas'!G63/100)*$H$10)</f>
        <v>0.5</v>
      </c>
      <c r="I63" s="60">
        <f>IF('Porcentaje de Notas'!H63="","",('Porcentaje de Notas'!H63/100)*$I$10)</f>
        <v>0.85</v>
      </c>
      <c r="J63" s="58">
        <f>IF('Porcentaje de Notas'!I63="","",('Porcentaje de Notas'!I63/100)*$J$10)</f>
        <v>1</v>
      </c>
      <c r="K63" s="58">
        <f>IF('Porcentaje de Notas'!J63="","",('Porcentaje de Notas'!J63/100)*$K$10)</f>
        <v>1</v>
      </c>
      <c r="L63" s="58">
        <f>IF('Porcentaje de Notas'!K63="","",('Porcentaje de Notas'!K63/100)*$L$10)</f>
        <v>1.5</v>
      </c>
      <c r="M63" s="58">
        <f>IF('Porcentaje de Notas'!L63="","",('Porcentaje de Notas'!L63/100)*$M$10)</f>
        <v>2</v>
      </c>
      <c r="N63" s="58">
        <f>IF('Porcentaje de Notas'!M63="","",('Porcentaje de Notas'!M63/100)*$N$10)</f>
        <v>1.9</v>
      </c>
      <c r="O63" s="58">
        <f>IF('Porcentaje de Notas'!N63="","",('Porcentaje de Notas'!N63/100)*$O$10)</f>
        <v>1.7</v>
      </c>
      <c r="P63" s="58">
        <f>IF('Porcentaje de Notas'!O63="","",('Porcentaje de Notas'!O63/100)*$P$10)</f>
        <v>0.95</v>
      </c>
      <c r="Q63" s="58">
        <f>IF('Porcentaje de Notas'!P63="","",('Porcentaje de Notas'!P63/100)*$Q$10)</f>
        <v>0</v>
      </c>
      <c r="R63" s="58">
        <f>IF('Porcentaje de Notas'!Q63="","",('Porcentaje de Notas'!Q63/100)*$R$10)</f>
        <v>5</v>
      </c>
      <c r="S63" s="62">
        <f t="shared" si="0"/>
        <v>17.649999999999999</v>
      </c>
    </row>
    <row r="64" spans="2:19" ht="10.5" customHeight="1" x14ac:dyDescent="0.35">
      <c r="B64" s="58">
        <v>53</v>
      </c>
      <c r="C64" s="58">
        <v>202531319</v>
      </c>
      <c r="D64" s="59" t="s">
        <v>55</v>
      </c>
      <c r="E64" s="60">
        <f>IF('Porcentaje de Notas'!D64="","",('Porcentaje de Notas'!D64/100)*$E$10)</f>
        <v>0.5</v>
      </c>
      <c r="F64" s="58">
        <f>IF('Porcentaje de Notas'!E64="","",('Porcentaje de Notas'!E64/100)*$F$10)</f>
        <v>0.25</v>
      </c>
      <c r="G64" s="58">
        <f>IF('Porcentaje de Notas'!F64="","",('Porcentaje de Notas'!F64/100)*$G$10)</f>
        <v>0.25</v>
      </c>
      <c r="H64" s="61">
        <f>IF('Porcentaje de Notas'!G64="","",('Porcentaje de Notas'!G64/100)*$H$10)</f>
        <v>0.5</v>
      </c>
      <c r="I64" s="60">
        <f>IF('Porcentaje de Notas'!H64="","",('Porcentaje de Notas'!H64/100)*$I$10)</f>
        <v>0.75</v>
      </c>
      <c r="J64" s="58">
        <f>IF('Porcentaje de Notas'!I64="","",('Porcentaje de Notas'!I64/100)*$J$10)</f>
        <v>1</v>
      </c>
      <c r="K64" s="58">
        <f>IF('Porcentaje de Notas'!J64="","",('Porcentaje de Notas'!J64/100)*$K$10)</f>
        <v>1</v>
      </c>
      <c r="L64" s="58">
        <f>IF('Porcentaje de Notas'!K64="","",('Porcentaje de Notas'!K64/100)*$L$10)</f>
        <v>1.5</v>
      </c>
      <c r="M64" s="58">
        <f>IF('Porcentaje de Notas'!L64="","",('Porcentaje de Notas'!L64/100)*$M$10)</f>
        <v>1</v>
      </c>
      <c r="N64" s="58">
        <f>IF('Porcentaje de Notas'!M64="","",('Porcentaje de Notas'!M64/100)*$N$10)</f>
        <v>0</v>
      </c>
      <c r="O64" s="58">
        <f>IF('Porcentaje de Notas'!N64="","",('Porcentaje de Notas'!N64/100)*$O$10)</f>
        <v>1</v>
      </c>
      <c r="P64" s="58">
        <f>IF('Porcentaje de Notas'!O64="","",('Porcentaje de Notas'!O64/100)*$P$10)</f>
        <v>1</v>
      </c>
      <c r="Q64" s="58">
        <f>IF('Porcentaje de Notas'!P64="","",('Porcentaje de Notas'!P64/100)*$Q$10)</f>
        <v>1.5</v>
      </c>
      <c r="R64" s="58">
        <f>IF('Porcentaje de Notas'!Q64="","",('Porcentaje de Notas'!Q64/100)*$R$10)</f>
        <v>5</v>
      </c>
      <c r="S64" s="62">
        <f t="shared" si="0"/>
        <v>15.25</v>
      </c>
    </row>
    <row r="65" spans="2:19" ht="10.5" customHeight="1" x14ac:dyDescent="0.35">
      <c r="B65" s="58">
        <v>54</v>
      </c>
      <c r="C65" s="58">
        <v>202531351</v>
      </c>
      <c r="D65" s="59" t="s">
        <v>56</v>
      </c>
      <c r="E65" s="60">
        <f>IF('Porcentaje de Notas'!D65="","",('Porcentaje de Notas'!D65/100)*$E$10)</f>
        <v>0.5</v>
      </c>
      <c r="F65" s="58">
        <f>IF('Porcentaje de Notas'!E65="","",('Porcentaje de Notas'!E65/100)*$F$10)</f>
        <v>0.5</v>
      </c>
      <c r="G65" s="58">
        <f>IF('Porcentaje de Notas'!F65="","",('Porcentaje de Notas'!F65/100)*$G$10)</f>
        <v>0.5</v>
      </c>
      <c r="H65" s="61">
        <f>IF('Porcentaje de Notas'!G65="","",('Porcentaje de Notas'!G65/100)*$H$10)</f>
        <v>0.45</v>
      </c>
      <c r="I65" s="60">
        <f>IF('Porcentaje de Notas'!H65="","",('Porcentaje de Notas'!H65/100)*$I$10)</f>
        <v>1</v>
      </c>
      <c r="J65" s="58">
        <f>IF('Porcentaje de Notas'!I65="","",('Porcentaje de Notas'!I65/100)*$J$10)</f>
        <v>1</v>
      </c>
      <c r="K65" s="58">
        <f>IF('Porcentaje de Notas'!J65="","",('Porcentaje de Notas'!J65/100)*$K$10)</f>
        <v>1</v>
      </c>
      <c r="L65" s="58">
        <f>IF('Porcentaje de Notas'!K65="","",('Porcentaje de Notas'!K65/100)*$L$10)</f>
        <v>1.5</v>
      </c>
      <c r="M65" s="58">
        <f>IF('Porcentaje de Notas'!L65="","",('Porcentaje de Notas'!L65/100)*$M$10)</f>
        <v>1.6</v>
      </c>
      <c r="N65" s="58">
        <f>IF('Porcentaje de Notas'!M65="","",('Porcentaje de Notas'!M65/100)*$N$10)</f>
        <v>1.8</v>
      </c>
      <c r="O65" s="58">
        <f>IF('Porcentaje de Notas'!N65="","",('Porcentaje de Notas'!N65/100)*$O$10)</f>
        <v>2</v>
      </c>
      <c r="P65" s="58">
        <f>IF('Porcentaje de Notas'!O65="","",('Porcentaje de Notas'!O65/100)*$P$10)</f>
        <v>0.9</v>
      </c>
      <c r="Q65" s="58">
        <f>IF('Porcentaje de Notas'!P65="","",('Porcentaje de Notas'!P65/100)*$Q$10)</f>
        <v>1.5</v>
      </c>
      <c r="R65" s="58">
        <f>IF('Porcentaje de Notas'!Q65="","",('Porcentaje de Notas'!Q65/100)*$R$10)</f>
        <v>5</v>
      </c>
      <c r="S65" s="62">
        <f t="shared" si="0"/>
        <v>19.25</v>
      </c>
    </row>
    <row r="66" spans="2:19" ht="10.5" customHeight="1" x14ac:dyDescent="0.35">
      <c r="B66" s="58">
        <v>55</v>
      </c>
      <c r="C66" s="58">
        <v>202531352</v>
      </c>
      <c r="D66" s="59" t="s">
        <v>57</v>
      </c>
      <c r="E66" s="60">
        <f>IF('Porcentaje de Notas'!D66="","",('Porcentaje de Notas'!D66/100)*$E$10)</f>
        <v>0.5</v>
      </c>
      <c r="F66" s="58">
        <f>IF('Porcentaje de Notas'!E66="","",('Porcentaje de Notas'!E66/100)*$F$10)</f>
        <v>0.25</v>
      </c>
      <c r="G66" s="58">
        <f>IF('Porcentaje de Notas'!F66="","",('Porcentaje de Notas'!F66/100)*$G$10)</f>
        <v>0.5</v>
      </c>
      <c r="H66" s="61">
        <f>IF('Porcentaje de Notas'!G66="","",('Porcentaje de Notas'!G66/100)*$H$10)</f>
        <v>0.5</v>
      </c>
      <c r="I66" s="60">
        <f>IF('Porcentaje de Notas'!H66="","",('Porcentaje de Notas'!H66/100)*$I$10)</f>
        <v>1</v>
      </c>
      <c r="J66" s="58">
        <f>IF('Porcentaje de Notas'!I66="","",('Porcentaje de Notas'!I66/100)*$J$10)</f>
        <v>1</v>
      </c>
      <c r="K66" s="58">
        <f>IF('Porcentaje de Notas'!J66="","",('Porcentaje de Notas'!J66/100)*$K$10)</f>
        <v>1</v>
      </c>
      <c r="L66" s="58">
        <f>IF('Porcentaje de Notas'!K66="","",('Porcentaje de Notas'!K66/100)*$L$10)</f>
        <v>1.5</v>
      </c>
      <c r="M66" s="58">
        <f>IF('Porcentaje de Notas'!L66="","",('Porcentaje de Notas'!L66/100)*$M$10)</f>
        <v>1.4</v>
      </c>
      <c r="N66" s="58">
        <f>IF('Porcentaje de Notas'!M66="","",('Porcentaje de Notas'!M66/100)*$N$10)</f>
        <v>0</v>
      </c>
      <c r="O66" s="58">
        <f>IF('Porcentaje de Notas'!N66="","",('Porcentaje de Notas'!N66/100)*$O$10)</f>
        <v>1.5</v>
      </c>
      <c r="P66" s="58">
        <f>IF('Porcentaje de Notas'!O66="","",('Porcentaje de Notas'!O66/100)*$P$10)</f>
        <v>0.8</v>
      </c>
      <c r="Q66" s="58">
        <f>IF('Porcentaje de Notas'!P66="","",('Porcentaje de Notas'!P66/100)*$Q$10)</f>
        <v>0</v>
      </c>
      <c r="R66" s="58">
        <f>IF('Porcentaje de Notas'!Q66="","",('Porcentaje de Notas'!Q66/100)*$R$10)</f>
        <v>5</v>
      </c>
      <c r="S66" s="62">
        <f t="shared" si="0"/>
        <v>14.950000000000001</v>
      </c>
    </row>
    <row r="67" spans="2:19" ht="10.5" customHeight="1" x14ac:dyDescent="0.35">
      <c r="B67" s="58">
        <v>56</v>
      </c>
      <c r="C67" s="58">
        <v>202531384</v>
      </c>
      <c r="D67" s="59" t="s">
        <v>58</v>
      </c>
      <c r="E67" s="60">
        <f>IF('Porcentaje de Notas'!D67="","",('Porcentaje de Notas'!D67/100)*$E$10)</f>
        <v>0.5</v>
      </c>
      <c r="F67" s="58">
        <f>IF('Porcentaje de Notas'!E67="","",('Porcentaje de Notas'!E67/100)*$F$10)</f>
        <v>0.5</v>
      </c>
      <c r="G67" s="58">
        <f>IF('Porcentaje de Notas'!F67="","",('Porcentaje de Notas'!F67/100)*$G$10)</f>
        <v>0.25</v>
      </c>
      <c r="H67" s="61">
        <f>IF('Porcentaje de Notas'!G67="","",('Porcentaje de Notas'!G67/100)*$H$10)</f>
        <v>0.45</v>
      </c>
      <c r="I67" s="60">
        <f>IF('Porcentaje de Notas'!H67="","",('Porcentaje de Notas'!H67/100)*$I$10)</f>
        <v>1</v>
      </c>
      <c r="J67" s="58">
        <f>IF('Porcentaje de Notas'!I67="","",('Porcentaje de Notas'!I67/100)*$J$10)</f>
        <v>1</v>
      </c>
      <c r="K67" s="58">
        <f>IF('Porcentaje de Notas'!J67="","",('Porcentaje de Notas'!J67/100)*$K$10)</f>
        <v>1</v>
      </c>
      <c r="L67" s="58">
        <f>IF('Porcentaje de Notas'!K67="","",('Porcentaje de Notas'!K67/100)*$L$10)</f>
        <v>1.5</v>
      </c>
      <c r="M67" s="58">
        <f>IF('Porcentaje de Notas'!L67="","",('Porcentaje de Notas'!L67/100)*$M$10)</f>
        <v>1.4</v>
      </c>
      <c r="N67" s="58">
        <f>IF('Porcentaje de Notas'!M67="","",('Porcentaje de Notas'!M67/100)*$N$10)</f>
        <v>2</v>
      </c>
      <c r="O67" s="58">
        <f>IF('Porcentaje de Notas'!N67="","",('Porcentaje de Notas'!N67/100)*$O$10)</f>
        <v>1.8</v>
      </c>
      <c r="P67" s="58">
        <f>IF('Porcentaje de Notas'!O67="","",('Porcentaje de Notas'!O67/100)*$P$10)</f>
        <v>0.8</v>
      </c>
      <c r="Q67" s="58">
        <f>IF('Porcentaje de Notas'!P67="","",('Porcentaje de Notas'!P67/100)*$Q$10)</f>
        <v>1.5</v>
      </c>
      <c r="R67" s="58">
        <f>IF('Porcentaje de Notas'!Q67="","",('Porcentaje de Notas'!Q67/100)*$R$10)</f>
        <v>5</v>
      </c>
      <c r="S67" s="62">
        <f t="shared" si="0"/>
        <v>18.700000000000003</v>
      </c>
    </row>
    <row r="68" spans="2:19" ht="10.5" customHeight="1" x14ac:dyDescent="0.35">
      <c r="B68" s="58">
        <v>57</v>
      </c>
      <c r="C68" s="58">
        <v>202531399</v>
      </c>
      <c r="D68" s="59" t="s">
        <v>59</v>
      </c>
      <c r="E68" s="60">
        <f>IF('Porcentaje de Notas'!D68="","",('Porcentaje de Notas'!D68/100)*$E$10)</f>
        <v>0</v>
      </c>
      <c r="F68" s="58">
        <f>IF('Porcentaje de Notas'!E68="","",('Porcentaje de Notas'!E68/100)*$F$10)</f>
        <v>0.25</v>
      </c>
      <c r="G68" s="58">
        <f>IF('Porcentaje de Notas'!F68="","",('Porcentaje de Notas'!F68/100)*$G$10)</f>
        <v>0.25</v>
      </c>
      <c r="H68" s="61">
        <f>IF('Porcentaje de Notas'!G68="","",('Porcentaje de Notas'!G68/100)*$H$10)</f>
        <v>0</v>
      </c>
      <c r="I68" s="60">
        <f>IF('Porcentaje de Notas'!H68="","",('Porcentaje de Notas'!H68/100)*$I$10)</f>
        <v>0</v>
      </c>
      <c r="J68" s="58">
        <f>IF('Porcentaje de Notas'!I68="","",('Porcentaje de Notas'!I68/100)*$J$10)</f>
        <v>0</v>
      </c>
      <c r="K68" s="58">
        <f>IF('Porcentaje de Notas'!J68="","",('Porcentaje de Notas'!J68/100)*$K$10)</f>
        <v>0</v>
      </c>
      <c r="L68" s="58">
        <f>IF('Porcentaje de Notas'!K68="","",('Porcentaje de Notas'!K68/100)*$L$10)</f>
        <v>0</v>
      </c>
      <c r="M68" s="58">
        <f>IF('Porcentaje de Notas'!L68="","",('Porcentaje de Notas'!L68/100)*$M$10)</f>
        <v>0</v>
      </c>
      <c r="N68" s="58">
        <f>IF('Porcentaje de Notas'!M68="","",('Porcentaje de Notas'!M68/100)*$N$10)</f>
        <v>0</v>
      </c>
      <c r="O68" s="58">
        <f>IF('Porcentaje de Notas'!N68="","",('Porcentaje de Notas'!N68/100)*$O$10)</f>
        <v>0</v>
      </c>
      <c r="P68" s="58">
        <f>IF('Porcentaje de Notas'!O68="","",('Porcentaje de Notas'!O68/100)*$P$10)</f>
        <v>0</v>
      </c>
      <c r="Q68" s="58">
        <f>IF('Porcentaje de Notas'!P68="","",('Porcentaje de Notas'!P68/100)*$Q$10)</f>
        <v>0</v>
      </c>
      <c r="R68" s="58">
        <f>IF('Porcentaje de Notas'!Q68="","",('Porcentaje de Notas'!Q68/100)*$R$10)</f>
        <v>0</v>
      </c>
      <c r="S68" s="62">
        <f t="shared" si="0"/>
        <v>0.5</v>
      </c>
    </row>
    <row r="69" spans="2:19" ht="10.5" customHeight="1" x14ac:dyDescent="0.35">
      <c r="B69" s="58">
        <v>58</v>
      </c>
      <c r="C69" s="58">
        <v>202531441</v>
      </c>
      <c r="D69" s="59" t="s">
        <v>60</v>
      </c>
      <c r="E69" s="60">
        <f>IF('Porcentaje de Notas'!D69="","",('Porcentaje de Notas'!D69/100)*$E$10)</f>
        <v>0</v>
      </c>
      <c r="F69" s="58">
        <f>IF('Porcentaje de Notas'!E69="","",('Porcentaje de Notas'!E69/100)*$F$10)</f>
        <v>0.25</v>
      </c>
      <c r="G69" s="58">
        <f>IF('Porcentaje de Notas'!F69="","",('Porcentaje de Notas'!F69/100)*$G$10)</f>
        <v>0</v>
      </c>
      <c r="H69" s="61">
        <f>IF('Porcentaje de Notas'!G69="","",('Porcentaje de Notas'!G69/100)*$H$10)</f>
        <v>0</v>
      </c>
      <c r="I69" s="60">
        <f>IF('Porcentaje de Notas'!H69="","",('Porcentaje de Notas'!H69/100)*$I$10)</f>
        <v>0</v>
      </c>
      <c r="J69" s="58">
        <f>IF('Porcentaje de Notas'!I69="","",('Porcentaje de Notas'!I69/100)*$J$10)</f>
        <v>0</v>
      </c>
      <c r="K69" s="58">
        <f>IF('Porcentaje de Notas'!J69="","",('Porcentaje de Notas'!J69/100)*$K$10)</f>
        <v>0</v>
      </c>
      <c r="L69" s="58">
        <f>IF('Porcentaje de Notas'!K69="","",('Porcentaje de Notas'!K69/100)*$L$10)</f>
        <v>0</v>
      </c>
      <c r="M69" s="58">
        <f>IF('Porcentaje de Notas'!L69="","",('Porcentaje de Notas'!L69/100)*$M$10)</f>
        <v>0</v>
      </c>
      <c r="N69" s="58">
        <f>IF('Porcentaje de Notas'!M69="","",('Porcentaje de Notas'!M69/100)*$N$10)</f>
        <v>0</v>
      </c>
      <c r="O69" s="58">
        <f>IF('Porcentaje de Notas'!N69="","",('Porcentaje de Notas'!N69/100)*$O$10)</f>
        <v>0</v>
      </c>
      <c r="P69" s="58">
        <f>IF('Porcentaje de Notas'!O69="","",('Porcentaje de Notas'!O69/100)*$P$10)</f>
        <v>0</v>
      </c>
      <c r="Q69" s="58">
        <f>IF('Porcentaje de Notas'!P69="","",('Porcentaje de Notas'!P69/100)*$Q$10)</f>
        <v>0</v>
      </c>
      <c r="R69" s="58">
        <f>IF('Porcentaje de Notas'!Q69="","",('Porcentaje de Notas'!Q69/100)*$R$10)</f>
        <v>0</v>
      </c>
      <c r="S69" s="62">
        <f t="shared" si="0"/>
        <v>0.25</v>
      </c>
    </row>
    <row r="70" spans="2:19" ht="10.5" customHeight="1" x14ac:dyDescent="0.35">
      <c r="B70" s="58">
        <v>59</v>
      </c>
      <c r="C70" s="58">
        <v>202531444</v>
      </c>
      <c r="D70" s="59" t="s">
        <v>61</v>
      </c>
      <c r="E70" s="60">
        <f>IF('Porcentaje de Notas'!D70="","",('Porcentaje de Notas'!D70/100)*$E$10)</f>
        <v>0.5</v>
      </c>
      <c r="F70" s="58">
        <f>IF('Porcentaje de Notas'!E70="","",('Porcentaje de Notas'!E70/100)*$F$10)</f>
        <v>0.25</v>
      </c>
      <c r="G70" s="58">
        <f>IF('Porcentaje de Notas'!F70="","",('Porcentaje de Notas'!F70/100)*$G$10)</f>
        <v>0.5</v>
      </c>
      <c r="H70" s="61">
        <f>IF('Porcentaje de Notas'!G70="","",('Porcentaje de Notas'!G70/100)*$H$10)</f>
        <v>0.45</v>
      </c>
      <c r="I70" s="60">
        <f>IF('Porcentaje de Notas'!H70="","",('Porcentaje de Notas'!H70/100)*$I$10)</f>
        <v>1</v>
      </c>
      <c r="J70" s="58">
        <f>IF('Porcentaje de Notas'!I70="","",('Porcentaje de Notas'!I70/100)*$J$10)</f>
        <v>0.95</v>
      </c>
      <c r="K70" s="58">
        <f>IF('Porcentaje de Notas'!J70="","",('Porcentaje de Notas'!J70/100)*$K$10)</f>
        <v>1</v>
      </c>
      <c r="L70" s="58">
        <f>IF('Porcentaje de Notas'!K70="","",('Porcentaje de Notas'!K70/100)*$L$10)</f>
        <v>1.5</v>
      </c>
      <c r="M70" s="58">
        <f>IF('Porcentaje de Notas'!L70="","",('Porcentaje de Notas'!L70/100)*$M$10)</f>
        <v>1</v>
      </c>
      <c r="N70" s="58">
        <f>IF('Porcentaje de Notas'!M70="","",('Porcentaje de Notas'!M70/100)*$N$10)</f>
        <v>1.8</v>
      </c>
      <c r="O70" s="58">
        <f>IF('Porcentaje de Notas'!N70="","",('Porcentaje de Notas'!N70/100)*$O$10)</f>
        <v>1.3</v>
      </c>
      <c r="P70" s="58">
        <f>IF('Porcentaje de Notas'!O70="","",('Porcentaje de Notas'!O70/100)*$P$10)</f>
        <v>1</v>
      </c>
      <c r="Q70" s="58">
        <f>IF('Porcentaje de Notas'!P70="","",('Porcentaje de Notas'!P70/100)*$Q$10)</f>
        <v>1.5</v>
      </c>
      <c r="R70" s="58">
        <f>IF('Porcentaje de Notas'!Q70="","",('Porcentaje de Notas'!Q70/100)*$R$10)</f>
        <v>5</v>
      </c>
      <c r="S70" s="62">
        <f t="shared" si="0"/>
        <v>17.75</v>
      </c>
    </row>
    <row r="71" spans="2:19" ht="10.5" customHeight="1" x14ac:dyDescent="0.35">
      <c r="B71" s="58">
        <v>60</v>
      </c>
      <c r="C71" s="58">
        <v>202531566</v>
      </c>
      <c r="D71" s="59" t="s">
        <v>62</v>
      </c>
      <c r="E71" s="60">
        <f>IF('Porcentaje de Notas'!D71="","",('Porcentaje de Notas'!D71/100)*$E$10)</f>
        <v>0.5</v>
      </c>
      <c r="F71" s="58">
        <f>IF('Porcentaje de Notas'!E71="","",('Porcentaje de Notas'!E71/100)*$F$10)</f>
        <v>0.25</v>
      </c>
      <c r="G71" s="58">
        <f>IF('Porcentaje de Notas'!F71="","",('Porcentaje de Notas'!F71/100)*$G$10)</f>
        <v>0.5</v>
      </c>
      <c r="H71" s="61">
        <f>IF('Porcentaje de Notas'!G71="","",('Porcentaje de Notas'!G71/100)*$H$10)</f>
        <v>0.45</v>
      </c>
      <c r="I71" s="60">
        <f>IF('Porcentaje de Notas'!H71="","",('Porcentaje de Notas'!H71/100)*$I$10)</f>
        <v>1</v>
      </c>
      <c r="J71" s="58">
        <f>IF('Porcentaje de Notas'!I71="","",('Porcentaje de Notas'!I71/100)*$J$10)</f>
        <v>0.85</v>
      </c>
      <c r="K71" s="58">
        <f>IF('Porcentaje de Notas'!J71="","",('Porcentaje de Notas'!J71/100)*$K$10)</f>
        <v>1</v>
      </c>
      <c r="L71" s="58">
        <f>IF('Porcentaje de Notas'!K71="","",('Porcentaje de Notas'!K71/100)*$L$10)</f>
        <v>1.5</v>
      </c>
      <c r="M71" s="58">
        <f>IF('Porcentaje de Notas'!L71="","",('Porcentaje de Notas'!L71/100)*$M$10)</f>
        <v>1.4</v>
      </c>
      <c r="N71" s="58">
        <f>IF('Porcentaje de Notas'!M71="","",('Porcentaje de Notas'!M71/100)*$N$10)</f>
        <v>1.5</v>
      </c>
      <c r="O71" s="58">
        <f>IF('Porcentaje de Notas'!N71="","",('Porcentaje de Notas'!N71/100)*$O$10)</f>
        <v>1.1000000000000001</v>
      </c>
      <c r="P71" s="58">
        <f>IF('Porcentaje de Notas'!O71="","",('Porcentaje de Notas'!O71/100)*$P$10)</f>
        <v>0.95</v>
      </c>
      <c r="Q71" s="58">
        <f>IF('Porcentaje de Notas'!P71="","",('Porcentaje de Notas'!P71/100)*$Q$10)</f>
        <v>1.5</v>
      </c>
      <c r="R71" s="58">
        <f>IF('Porcentaje de Notas'!Q71="","",('Porcentaje de Notas'!Q71/100)*$R$10)</f>
        <v>5</v>
      </c>
      <c r="S71" s="62">
        <f t="shared" si="0"/>
        <v>17.5</v>
      </c>
    </row>
    <row r="72" spans="2:19" ht="10.5" customHeight="1" x14ac:dyDescent="0.35">
      <c r="B72" s="58">
        <v>61</v>
      </c>
      <c r="C72" s="58">
        <v>202531611</v>
      </c>
      <c r="D72" s="59" t="s">
        <v>63</v>
      </c>
      <c r="E72" s="60">
        <f>IF('Porcentaje de Notas'!D72="","",('Porcentaje de Notas'!D72/100)*$E$10)</f>
        <v>0.5</v>
      </c>
      <c r="F72" s="58">
        <f>IF('Porcentaje de Notas'!E72="","",('Porcentaje de Notas'!E72/100)*$F$10)</f>
        <v>0.25</v>
      </c>
      <c r="G72" s="58">
        <f>IF('Porcentaje de Notas'!F72="","",('Porcentaje de Notas'!F72/100)*$G$10)</f>
        <v>0.5</v>
      </c>
      <c r="H72" s="61">
        <f>IF('Porcentaje de Notas'!G72="","",('Porcentaje de Notas'!G72/100)*$H$10)</f>
        <v>0</v>
      </c>
      <c r="I72" s="60">
        <f>IF('Porcentaje de Notas'!H72="","",('Porcentaje de Notas'!H72/100)*$I$10)</f>
        <v>0.75</v>
      </c>
      <c r="J72" s="58">
        <f>IF('Porcentaje de Notas'!I72="","",('Porcentaje de Notas'!I72/100)*$J$10)</f>
        <v>1</v>
      </c>
      <c r="K72" s="58">
        <f>IF('Porcentaje de Notas'!J72="","",('Porcentaje de Notas'!J72/100)*$K$10)</f>
        <v>1</v>
      </c>
      <c r="L72" s="58">
        <f>IF('Porcentaje de Notas'!K72="","",('Porcentaje de Notas'!K72/100)*$L$10)</f>
        <v>1.5</v>
      </c>
      <c r="M72" s="58">
        <f>IF('Porcentaje de Notas'!L72="","",('Porcentaje de Notas'!L72/100)*$M$10)</f>
        <v>1.4</v>
      </c>
      <c r="N72" s="58">
        <f>IF('Porcentaje de Notas'!M72="","",('Porcentaje de Notas'!M72/100)*$N$10)</f>
        <v>0.9</v>
      </c>
      <c r="O72" s="58">
        <f>IF('Porcentaje de Notas'!N72="","",('Porcentaje de Notas'!N72/100)*$O$10)</f>
        <v>1.5</v>
      </c>
      <c r="P72" s="58">
        <f>IF('Porcentaje de Notas'!O72="","",('Porcentaje de Notas'!O72/100)*$P$10)</f>
        <v>0</v>
      </c>
      <c r="Q72" s="58">
        <f>IF('Porcentaje de Notas'!P72="","",('Porcentaje de Notas'!P72/100)*$Q$10)</f>
        <v>0</v>
      </c>
      <c r="R72" s="58">
        <f>IF('Porcentaje de Notas'!Q72="","",('Porcentaje de Notas'!Q72/100)*$R$10)</f>
        <v>5</v>
      </c>
      <c r="S72" s="62">
        <f t="shared" si="0"/>
        <v>14.3</v>
      </c>
    </row>
    <row r="73" spans="2:19" ht="10.5" customHeight="1" x14ac:dyDescent="0.35">
      <c r="B73" s="58">
        <v>62</v>
      </c>
      <c r="C73" s="58">
        <v>202531645</v>
      </c>
      <c r="D73" s="59" t="s">
        <v>64</v>
      </c>
      <c r="E73" s="60">
        <f>IF('Porcentaje de Notas'!D73="","",('Porcentaje de Notas'!D73/100)*$E$10)</f>
        <v>0.5</v>
      </c>
      <c r="F73" s="58">
        <f>IF('Porcentaje de Notas'!E73="","",('Porcentaje de Notas'!E73/100)*$F$10)</f>
        <v>0.5</v>
      </c>
      <c r="G73" s="58">
        <f>IF('Porcentaje de Notas'!F73="","",('Porcentaje de Notas'!F73/100)*$G$10)</f>
        <v>0.5</v>
      </c>
      <c r="H73" s="61">
        <f>IF('Porcentaje de Notas'!G73="","",('Porcentaje de Notas'!G73/100)*$H$10)</f>
        <v>0.45</v>
      </c>
      <c r="I73" s="60">
        <f>IF('Porcentaje de Notas'!H73="","",('Porcentaje de Notas'!H73/100)*$I$10)</f>
        <v>1</v>
      </c>
      <c r="J73" s="58">
        <f>IF('Porcentaje de Notas'!I73="","",('Porcentaje de Notas'!I73/100)*$J$10)</f>
        <v>1</v>
      </c>
      <c r="K73" s="58">
        <f>IF('Porcentaje de Notas'!J73="","",('Porcentaje de Notas'!J73/100)*$K$10)</f>
        <v>1</v>
      </c>
      <c r="L73" s="58">
        <f>IF('Porcentaje de Notas'!K73="","",('Porcentaje de Notas'!K73/100)*$L$10)</f>
        <v>0</v>
      </c>
      <c r="M73" s="58">
        <f>IF('Porcentaje de Notas'!L73="","",('Porcentaje de Notas'!L73/100)*$M$10)</f>
        <v>0.8</v>
      </c>
      <c r="N73" s="58">
        <f>IF('Porcentaje de Notas'!M73="","",('Porcentaje de Notas'!M73/100)*$N$10)</f>
        <v>1.8</v>
      </c>
      <c r="O73" s="58">
        <f>IF('Porcentaje de Notas'!N73="","",('Porcentaje de Notas'!N73/100)*$O$10)</f>
        <v>2</v>
      </c>
      <c r="P73" s="58">
        <f>IF('Porcentaje de Notas'!O73="","",('Porcentaje de Notas'!O73/100)*$P$10)</f>
        <v>0.9</v>
      </c>
      <c r="Q73" s="58">
        <f>IF('Porcentaje de Notas'!P73="","",('Porcentaje de Notas'!P73/100)*$Q$10)</f>
        <v>1.5</v>
      </c>
      <c r="R73" s="58">
        <f>IF('Porcentaje de Notas'!Q73="","",('Porcentaje de Notas'!Q73/100)*$R$10)</f>
        <v>5</v>
      </c>
      <c r="S73" s="62">
        <f t="shared" si="0"/>
        <v>16.950000000000003</v>
      </c>
    </row>
    <row r="74" spans="2:19" ht="10.5" customHeight="1" x14ac:dyDescent="0.35">
      <c r="B74" s="58">
        <v>63</v>
      </c>
      <c r="C74" s="58">
        <v>202531663</v>
      </c>
      <c r="D74" s="59" t="s">
        <v>65</v>
      </c>
      <c r="E74" s="60">
        <f>IF('Porcentaje de Notas'!D74="","",('Porcentaje de Notas'!D74/100)*$E$10)</f>
        <v>0.5</v>
      </c>
      <c r="F74" s="58">
        <f>IF('Porcentaje de Notas'!E74="","",('Porcentaje de Notas'!E74/100)*$F$10)</f>
        <v>0.25</v>
      </c>
      <c r="G74" s="58">
        <f>IF('Porcentaje de Notas'!F74="","",('Porcentaje de Notas'!F74/100)*$G$10)</f>
        <v>0</v>
      </c>
      <c r="H74" s="61">
        <f>IF('Porcentaje de Notas'!G74="","",('Porcentaje de Notas'!G74/100)*$H$10)</f>
        <v>0</v>
      </c>
      <c r="I74" s="60">
        <f>IF('Porcentaje de Notas'!H74="","",('Porcentaje de Notas'!H74/100)*$I$10)</f>
        <v>0</v>
      </c>
      <c r="J74" s="58">
        <f>IF('Porcentaje de Notas'!I74="","",('Porcentaje de Notas'!I74/100)*$J$10)</f>
        <v>0</v>
      </c>
      <c r="K74" s="58">
        <f>IF('Porcentaje de Notas'!J74="","",('Porcentaje de Notas'!J74/100)*$K$10)</f>
        <v>0</v>
      </c>
      <c r="L74" s="58">
        <f>IF('Porcentaje de Notas'!K74="","",('Porcentaje de Notas'!K74/100)*$L$10)</f>
        <v>0</v>
      </c>
      <c r="M74" s="58">
        <f>IF('Porcentaje de Notas'!L74="","",('Porcentaje de Notas'!L74/100)*$M$10)</f>
        <v>0</v>
      </c>
      <c r="N74" s="58">
        <f>IF('Porcentaje de Notas'!M74="","",('Porcentaje de Notas'!M74/100)*$N$10)</f>
        <v>0</v>
      </c>
      <c r="O74" s="58">
        <f>IF('Porcentaje de Notas'!N74="","",('Porcentaje de Notas'!N74/100)*$O$10)</f>
        <v>0</v>
      </c>
      <c r="P74" s="58">
        <f>IF('Porcentaje de Notas'!O74="","",('Porcentaje de Notas'!O74/100)*$P$10)</f>
        <v>0</v>
      </c>
      <c r="Q74" s="58">
        <f>IF('Porcentaje de Notas'!P74="","",('Porcentaje de Notas'!P74/100)*$Q$10)</f>
        <v>0</v>
      </c>
      <c r="R74" s="58">
        <f>IF('Porcentaje de Notas'!Q74="","",('Porcentaje de Notas'!Q74/100)*$R$10)</f>
        <v>0</v>
      </c>
      <c r="S74" s="62">
        <f t="shared" si="0"/>
        <v>0.75</v>
      </c>
    </row>
    <row r="75" spans="2:19" ht="10.5" customHeight="1" x14ac:dyDescent="0.35">
      <c r="B75" s="58">
        <v>64</v>
      </c>
      <c r="C75" s="58">
        <v>202531724</v>
      </c>
      <c r="D75" s="59" t="s">
        <v>66</v>
      </c>
      <c r="E75" s="60">
        <f>IF('Porcentaje de Notas'!D75="","",('Porcentaje de Notas'!D75/100)*$E$10)</f>
        <v>0.5</v>
      </c>
      <c r="F75" s="58">
        <f>IF('Porcentaje de Notas'!E75="","",('Porcentaje de Notas'!E75/100)*$F$10)</f>
        <v>0.25</v>
      </c>
      <c r="G75" s="58">
        <f>IF('Porcentaje de Notas'!F75="","",('Porcentaje de Notas'!F75/100)*$G$10)</f>
        <v>0.25</v>
      </c>
      <c r="H75" s="61">
        <f>IF('Porcentaje de Notas'!G75="","",('Porcentaje de Notas'!G75/100)*$H$10)</f>
        <v>0.45</v>
      </c>
      <c r="I75" s="60">
        <f>IF('Porcentaje de Notas'!H75="","",('Porcentaje de Notas'!H75/100)*$I$10)</f>
        <v>0.4</v>
      </c>
      <c r="J75" s="58">
        <f>IF('Porcentaje de Notas'!I75="","",('Porcentaje de Notas'!I75/100)*$J$10)</f>
        <v>0.85</v>
      </c>
      <c r="K75" s="58">
        <f>IF('Porcentaje de Notas'!J75="","",('Porcentaje de Notas'!J75/100)*$K$10)</f>
        <v>1</v>
      </c>
      <c r="L75" s="58">
        <f>IF('Porcentaje de Notas'!K75="","",('Porcentaje de Notas'!K75/100)*$L$10)</f>
        <v>1.5</v>
      </c>
      <c r="M75" s="58">
        <f>IF('Porcentaje de Notas'!L75="","",('Porcentaje de Notas'!L75/100)*$M$10)</f>
        <v>1.4</v>
      </c>
      <c r="N75" s="58">
        <f>IF('Porcentaje de Notas'!M75="","",('Porcentaje de Notas'!M75/100)*$N$10)</f>
        <v>1.5</v>
      </c>
      <c r="O75" s="58">
        <f>IF('Porcentaje de Notas'!N75="","",('Porcentaje de Notas'!N75/100)*$O$10)</f>
        <v>1.4</v>
      </c>
      <c r="P75" s="58">
        <f>IF('Porcentaje de Notas'!O75="","",('Porcentaje de Notas'!O75/100)*$P$10)</f>
        <v>1</v>
      </c>
      <c r="Q75" s="58">
        <f>IF('Porcentaje de Notas'!P75="","",('Porcentaje de Notas'!P75/100)*$Q$10)</f>
        <v>1.5</v>
      </c>
      <c r="R75" s="58">
        <f>IF('Porcentaje de Notas'!Q75="","",('Porcentaje de Notas'!Q75/100)*$R$10)</f>
        <v>5</v>
      </c>
      <c r="S75" s="62">
        <f t="shared" si="0"/>
        <v>17</v>
      </c>
    </row>
    <row r="76" spans="2:19" ht="10.5" customHeight="1" x14ac:dyDescent="0.35">
      <c r="B76" s="58">
        <v>65</v>
      </c>
      <c r="C76" s="58">
        <v>202531736</v>
      </c>
      <c r="D76" s="59" t="s">
        <v>67</v>
      </c>
      <c r="E76" s="60">
        <f>IF('Porcentaje de Notas'!D76="","",('Porcentaje de Notas'!D76/100)*$E$10)</f>
        <v>0.5</v>
      </c>
      <c r="F76" s="58">
        <f>IF('Porcentaje de Notas'!E76="","",('Porcentaje de Notas'!E76/100)*$F$10)</f>
        <v>0.25</v>
      </c>
      <c r="G76" s="58">
        <f>IF('Porcentaje de Notas'!F76="","",('Porcentaje de Notas'!F76/100)*$G$10)</f>
        <v>0.5</v>
      </c>
      <c r="H76" s="61">
        <f>IF('Porcentaje de Notas'!G76="","",('Porcentaje de Notas'!G76/100)*$H$10)</f>
        <v>0</v>
      </c>
      <c r="I76" s="60">
        <f>IF('Porcentaje de Notas'!H76="","",('Porcentaje de Notas'!H76/100)*$I$10)</f>
        <v>0</v>
      </c>
      <c r="J76" s="58">
        <f>IF('Porcentaje de Notas'!I76="","",('Porcentaje de Notas'!I76/100)*$J$10)</f>
        <v>1</v>
      </c>
      <c r="K76" s="58">
        <f>IF('Porcentaje de Notas'!J76="","",('Porcentaje de Notas'!J76/100)*$K$10)</f>
        <v>1</v>
      </c>
      <c r="L76" s="58">
        <f>IF('Porcentaje de Notas'!K76="","",('Porcentaje de Notas'!K76/100)*$L$10)</f>
        <v>1.5</v>
      </c>
      <c r="M76" s="58">
        <f>IF('Porcentaje de Notas'!L76="","",('Porcentaje de Notas'!L76/100)*$M$10)</f>
        <v>0</v>
      </c>
      <c r="N76" s="58">
        <f>IF('Porcentaje de Notas'!M76="","",('Porcentaje de Notas'!M76/100)*$N$10)</f>
        <v>1.2</v>
      </c>
      <c r="O76" s="58">
        <f>IF('Porcentaje de Notas'!N76="","",('Porcentaje de Notas'!N76/100)*$O$10)</f>
        <v>1.3</v>
      </c>
      <c r="P76" s="58">
        <f>IF('Porcentaje de Notas'!O76="","",('Porcentaje de Notas'!O76/100)*$P$10)</f>
        <v>0.8</v>
      </c>
      <c r="Q76" s="58">
        <f>IF('Porcentaje de Notas'!P76="","",('Porcentaje de Notas'!P76/100)*$Q$10)</f>
        <v>1.5</v>
      </c>
      <c r="R76" s="58">
        <f>IF('Porcentaje de Notas'!Q76="","",('Porcentaje de Notas'!Q76/100)*$R$10)</f>
        <v>5</v>
      </c>
      <c r="S76" s="62">
        <f t="shared" si="0"/>
        <v>14.55</v>
      </c>
    </row>
    <row r="77" spans="2:19" ht="10.5" customHeight="1" x14ac:dyDescent="0.35">
      <c r="B77" s="58">
        <v>66</v>
      </c>
      <c r="C77" s="58">
        <v>202531778</v>
      </c>
      <c r="D77" s="59" t="s">
        <v>68</v>
      </c>
      <c r="E77" s="60">
        <f>IF('Porcentaje de Notas'!D77="","",('Porcentaje de Notas'!D77/100)*$E$10)</f>
        <v>0.5</v>
      </c>
      <c r="F77" s="58">
        <f>IF('Porcentaje de Notas'!E77="","",('Porcentaje de Notas'!E77/100)*$F$10)</f>
        <v>0.25</v>
      </c>
      <c r="G77" s="58">
        <f>IF('Porcentaje de Notas'!F77="","",('Porcentaje de Notas'!F77/100)*$G$10)</f>
        <v>0.5</v>
      </c>
      <c r="H77" s="61">
        <f>IF('Porcentaje de Notas'!G77="","",('Porcentaje de Notas'!G77/100)*$H$10)</f>
        <v>0.45</v>
      </c>
      <c r="I77" s="60">
        <f>IF('Porcentaje de Notas'!H77="","",('Porcentaje de Notas'!H77/100)*$I$10)</f>
        <v>0.75</v>
      </c>
      <c r="J77" s="58">
        <f>IF('Porcentaje de Notas'!I77="","",('Porcentaje de Notas'!I77/100)*$J$10)</f>
        <v>0.85</v>
      </c>
      <c r="K77" s="58">
        <f>IF('Porcentaje de Notas'!J77="","",('Porcentaje de Notas'!J77/100)*$K$10)</f>
        <v>1</v>
      </c>
      <c r="L77" s="58">
        <f>IF('Porcentaje de Notas'!K77="","",('Porcentaje de Notas'!K77/100)*$L$10)</f>
        <v>1.5</v>
      </c>
      <c r="M77" s="58">
        <f>IF('Porcentaje de Notas'!L77="","",('Porcentaje de Notas'!L77/100)*$M$10)</f>
        <v>1.4</v>
      </c>
      <c r="N77" s="58">
        <f>IF('Porcentaje de Notas'!M77="","",('Porcentaje de Notas'!M77/100)*$N$10)</f>
        <v>1.8</v>
      </c>
      <c r="O77" s="58">
        <f>IF('Porcentaje de Notas'!N77="","",('Porcentaje de Notas'!N77/100)*$O$10)</f>
        <v>2</v>
      </c>
      <c r="P77" s="58">
        <f>IF('Porcentaje de Notas'!O77="","",('Porcentaje de Notas'!O77/100)*$P$10)</f>
        <v>1</v>
      </c>
      <c r="Q77" s="58">
        <f>IF('Porcentaje de Notas'!P77="","",('Porcentaje de Notas'!P77/100)*$Q$10)</f>
        <v>1.5</v>
      </c>
      <c r="R77" s="58">
        <f>IF('Porcentaje de Notas'!Q77="","",('Porcentaje de Notas'!Q77/100)*$R$10)</f>
        <v>5</v>
      </c>
      <c r="S77" s="62">
        <f t="shared" ref="S77:S84" si="1">SUM(E77:R77)</f>
        <v>18.5</v>
      </c>
    </row>
    <row r="78" spans="2:19" ht="10.5" customHeight="1" x14ac:dyDescent="0.35">
      <c r="B78" s="58">
        <v>67</v>
      </c>
      <c r="C78" s="58">
        <v>202531844</v>
      </c>
      <c r="D78" s="59" t="s">
        <v>69</v>
      </c>
      <c r="E78" s="60">
        <f>IF('Porcentaje de Notas'!D78="","",('Porcentaje de Notas'!D78/100)*$E$10)</f>
        <v>0.5</v>
      </c>
      <c r="F78" s="58">
        <f>IF('Porcentaje de Notas'!E78="","",('Porcentaje de Notas'!E78/100)*$F$10)</f>
        <v>0.25</v>
      </c>
      <c r="G78" s="58">
        <f>IF('Porcentaje de Notas'!F78="","",('Porcentaje de Notas'!F78/100)*$G$10)</f>
        <v>0.5</v>
      </c>
      <c r="H78" s="61">
        <f>IF('Porcentaje de Notas'!G78="","",('Porcentaje de Notas'!G78/100)*$H$10)</f>
        <v>0.5</v>
      </c>
      <c r="I78" s="60">
        <f>IF('Porcentaje de Notas'!H78="","",('Porcentaje de Notas'!H78/100)*$I$10)</f>
        <v>1</v>
      </c>
      <c r="J78" s="58">
        <f>IF('Porcentaje de Notas'!I78="","",('Porcentaje de Notas'!I78/100)*$J$10)</f>
        <v>1</v>
      </c>
      <c r="K78" s="58">
        <f>IF('Porcentaje de Notas'!J78="","",('Porcentaje de Notas'!J78/100)*$K$10)</f>
        <v>1</v>
      </c>
      <c r="L78" s="58">
        <f>IF('Porcentaje de Notas'!K78="","",('Porcentaje de Notas'!K78/100)*$L$10)</f>
        <v>1.5</v>
      </c>
      <c r="M78" s="58">
        <f>IF('Porcentaje de Notas'!L78="","",('Porcentaje de Notas'!L78/100)*$M$10)</f>
        <v>2</v>
      </c>
      <c r="N78" s="58">
        <f>IF('Porcentaje de Notas'!M78="","",('Porcentaje de Notas'!M78/100)*$N$10)</f>
        <v>0</v>
      </c>
      <c r="O78" s="58">
        <f>IF('Porcentaje de Notas'!N78="","",('Porcentaje de Notas'!N78/100)*$O$10)</f>
        <v>2</v>
      </c>
      <c r="P78" s="58">
        <f>IF('Porcentaje de Notas'!O78="","",('Porcentaje de Notas'!O78/100)*$P$10)</f>
        <v>0</v>
      </c>
      <c r="Q78" s="58">
        <f>IF('Porcentaje de Notas'!P78="","",('Porcentaje de Notas'!P78/100)*$Q$10)</f>
        <v>0</v>
      </c>
      <c r="R78" s="58">
        <f>IF('Porcentaje de Notas'!Q78="","",('Porcentaje de Notas'!Q78/100)*$R$10)</f>
        <v>0</v>
      </c>
      <c r="S78" s="62">
        <f t="shared" si="1"/>
        <v>10.25</v>
      </c>
    </row>
    <row r="79" spans="2:19" ht="10.5" customHeight="1" x14ac:dyDescent="0.35">
      <c r="B79" s="58">
        <v>68</v>
      </c>
      <c r="C79" s="58">
        <v>202531883</v>
      </c>
      <c r="D79" s="59" t="s">
        <v>70</v>
      </c>
      <c r="E79" s="60">
        <f>IF('Porcentaje de Notas'!D79="","",('Porcentaje de Notas'!D79/100)*$E$10)</f>
        <v>0.5</v>
      </c>
      <c r="F79" s="58">
        <f>IF('Porcentaje de Notas'!E79="","",('Porcentaje de Notas'!E79/100)*$F$10)</f>
        <v>0.25</v>
      </c>
      <c r="G79" s="58">
        <f>IF('Porcentaje de Notas'!F79="","",('Porcentaje de Notas'!F79/100)*$G$10)</f>
        <v>0.5</v>
      </c>
      <c r="H79" s="61">
        <f>IF('Porcentaje de Notas'!G79="","",('Porcentaje de Notas'!G79/100)*$H$10)</f>
        <v>0.5</v>
      </c>
      <c r="I79" s="60">
        <f>IF('Porcentaje de Notas'!H79="","",('Porcentaje de Notas'!H79/100)*$I$10)</f>
        <v>0.85</v>
      </c>
      <c r="J79" s="58">
        <f>IF('Porcentaje de Notas'!I79="","",('Porcentaje de Notas'!I79/100)*$J$10)</f>
        <v>1</v>
      </c>
      <c r="K79" s="58">
        <f>IF('Porcentaje de Notas'!J79="","",('Porcentaje de Notas'!J79/100)*$K$10)</f>
        <v>1</v>
      </c>
      <c r="L79" s="58">
        <f>IF('Porcentaje de Notas'!K79="","",('Porcentaje de Notas'!K79/100)*$L$10)</f>
        <v>1.5</v>
      </c>
      <c r="M79" s="58">
        <f>IF('Porcentaje de Notas'!L79="","",('Porcentaje de Notas'!L79/100)*$M$10)</f>
        <v>1.8</v>
      </c>
      <c r="N79" s="58">
        <f>IF('Porcentaje de Notas'!M79="","",('Porcentaje de Notas'!M79/100)*$N$10)</f>
        <v>1.9</v>
      </c>
      <c r="O79" s="58">
        <f>IF('Porcentaje de Notas'!N79="","",('Porcentaje de Notas'!N79/100)*$O$10)</f>
        <v>1.7</v>
      </c>
      <c r="P79" s="58">
        <f>IF('Porcentaje de Notas'!O79="","",('Porcentaje de Notas'!O79/100)*$P$10)</f>
        <v>0.95</v>
      </c>
      <c r="Q79" s="58">
        <f>IF('Porcentaje de Notas'!P79="","",('Porcentaje de Notas'!P79/100)*$Q$10)</f>
        <v>0</v>
      </c>
      <c r="R79" s="58">
        <f>IF('Porcentaje de Notas'!Q79="","",('Porcentaje de Notas'!Q79/100)*$R$10)</f>
        <v>5</v>
      </c>
      <c r="S79" s="62">
        <f t="shared" si="1"/>
        <v>17.449999999999996</v>
      </c>
    </row>
    <row r="80" spans="2:19" ht="10.5" customHeight="1" x14ac:dyDescent="0.35">
      <c r="B80" s="58">
        <v>69</v>
      </c>
      <c r="C80" s="58">
        <v>202531947</v>
      </c>
      <c r="D80" s="59" t="s">
        <v>71</v>
      </c>
      <c r="E80" s="60">
        <f>IF('Porcentaje de Notas'!D80="","",('Porcentaje de Notas'!D80/100)*$E$10)</f>
        <v>0.5</v>
      </c>
      <c r="F80" s="58">
        <f>IF('Porcentaje de Notas'!E80="","",('Porcentaje de Notas'!E80/100)*$F$10)</f>
        <v>0.25</v>
      </c>
      <c r="G80" s="58">
        <f>IF('Porcentaje de Notas'!F80="","",('Porcentaje de Notas'!F80/100)*$G$10)</f>
        <v>0.5</v>
      </c>
      <c r="H80" s="61">
        <f>IF('Porcentaje de Notas'!G80="","",('Porcentaje de Notas'!G80/100)*$H$10)</f>
        <v>0</v>
      </c>
      <c r="I80" s="60">
        <f>IF('Porcentaje de Notas'!H80="","",('Porcentaje de Notas'!H80/100)*$I$10)</f>
        <v>0.85</v>
      </c>
      <c r="J80" s="58">
        <f>IF('Porcentaje de Notas'!I80="","",('Porcentaje de Notas'!I80/100)*$J$10)</f>
        <v>0.75</v>
      </c>
      <c r="K80" s="58">
        <f>IF('Porcentaje de Notas'!J80="","",('Porcentaje de Notas'!J80/100)*$K$10)</f>
        <v>1</v>
      </c>
      <c r="L80" s="58">
        <f>IF('Porcentaje de Notas'!K80="","",('Porcentaje de Notas'!K80/100)*$L$10)</f>
        <v>1.5</v>
      </c>
      <c r="M80" s="58">
        <f>IF('Porcentaje de Notas'!L80="","",('Porcentaje de Notas'!L80/100)*$M$10)</f>
        <v>1</v>
      </c>
      <c r="N80" s="58">
        <f>IF('Porcentaje de Notas'!M80="","",('Porcentaje de Notas'!M80/100)*$N$10)</f>
        <v>1.8</v>
      </c>
      <c r="O80" s="58">
        <f>IF('Porcentaje de Notas'!N80="","",('Porcentaje de Notas'!N80/100)*$O$10)</f>
        <v>1.4</v>
      </c>
      <c r="P80" s="58">
        <f>IF('Porcentaje de Notas'!O80="","",('Porcentaje de Notas'!O80/100)*$P$10)</f>
        <v>0</v>
      </c>
      <c r="Q80" s="58">
        <f>IF('Porcentaje de Notas'!P80="","",('Porcentaje de Notas'!P80/100)*$Q$10)</f>
        <v>0</v>
      </c>
      <c r="R80" s="58">
        <f>IF('Porcentaje de Notas'!Q80="","",('Porcentaje de Notas'!Q80/100)*$R$10)</f>
        <v>0</v>
      </c>
      <c r="S80" s="62">
        <f t="shared" si="1"/>
        <v>9.5500000000000007</v>
      </c>
    </row>
    <row r="81" spans="2:19" ht="10.5" customHeight="1" x14ac:dyDescent="0.35">
      <c r="B81" s="58">
        <v>70</v>
      </c>
      <c r="C81" s="58">
        <v>202532062</v>
      </c>
      <c r="D81" s="59" t="s">
        <v>72</v>
      </c>
      <c r="E81" s="60">
        <f>IF('Porcentaje de Notas'!D81="","",('Porcentaje de Notas'!D81/100)*$E$10)</f>
        <v>0</v>
      </c>
      <c r="F81" s="58">
        <f>IF('Porcentaje de Notas'!E81="","",('Porcentaje de Notas'!E81/100)*$F$10)</f>
        <v>0.25</v>
      </c>
      <c r="G81" s="58">
        <f>IF('Porcentaje de Notas'!F81="","",('Porcentaje de Notas'!F81/100)*$G$10)</f>
        <v>0.5</v>
      </c>
      <c r="H81" s="61">
        <f>IF('Porcentaje de Notas'!G81="","",('Porcentaje de Notas'!G81/100)*$H$10)</f>
        <v>0</v>
      </c>
      <c r="I81" s="60">
        <f>IF('Porcentaje de Notas'!H81="","",('Porcentaje de Notas'!H81/100)*$I$10)</f>
        <v>0.85</v>
      </c>
      <c r="J81" s="58">
        <f>IF('Porcentaje de Notas'!I81="","",('Porcentaje de Notas'!I81/100)*$J$10)</f>
        <v>1</v>
      </c>
      <c r="K81" s="58">
        <f>IF('Porcentaje de Notas'!J81="","",('Porcentaje de Notas'!J81/100)*$K$10)</f>
        <v>1</v>
      </c>
      <c r="L81" s="58">
        <f>IF('Porcentaje de Notas'!K81="","",('Porcentaje de Notas'!K81/100)*$L$10)</f>
        <v>1.5</v>
      </c>
      <c r="M81" s="58">
        <f>IF('Porcentaje de Notas'!L81="","",('Porcentaje de Notas'!L81/100)*$M$10)</f>
        <v>1</v>
      </c>
      <c r="N81" s="58">
        <f>IF('Porcentaje de Notas'!M81="","",('Porcentaje de Notas'!M81/100)*$N$10)</f>
        <v>0</v>
      </c>
      <c r="O81" s="58">
        <f>IF('Porcentaje de Notas'!N81="","",('Porcentaje de Notas'!N81/100)*$O$10)</f>
        <v>0.4</v>
      </c>
      <c r="P81" s="58">
        <f>IF('Porcentaje de Notas'!O81="","",('Porcentaje de Notas'!O81/100)*$P$10)</f>
        <v>1</v>
      </c>
      <c r="Q81" s="58">
        <f>IF('Porcentaje de Notas'!P81="","",('Porcentaje de Notas'!P81/100)*$Q$10)</f>
        <v>1.5</v>
      </c>
      <c r="R81" s="58">
        <f>IF('Porcentaje de Notas'!Q81="","",('Porcentaje de Notas'!Q81/100)*$R$10)</f>
        <v>5</v>
      </c>
      <c r="S81" s="62">
        <f t="shared" si="1"/>
        <v>14</v>
      </c>
    </row>
    <row r="82" spans="2:19" ht="10.5" customHeight="1" x14ac:dyDescent="0.35">
      <c r="B82" s="58">
        <v>71</v>
      </c>
      <c r="C82" s="58">
        <v>202532079</v>
      </c>
      <c r="D82" s="59" t="s">
        <v>73</v>
      </c>
      <c r="E82" s="60">
        <f>IF('Porcentaje de Notas'!D82="","",('Porcentaje de Notas'!D82/100)*$E$10)</f>
        <v>0</v>
      </c>
      <c r="F82" s="58">
        <f>IF('Porcentaje de Notas'!E82="","",('Porcentaje de Notas'!E82/100)*$F$10)</f>
        <v>0.25</v>
      </c>
      <c r="G82" s="58">
        <f>IF('Porcentaje de Notas'!F82="","",('Porcentaje de Notas'!F82/100)*$G$10)</f>
        <v>0.5</v>
      </c>
      <c r="H82" s="61">
        <f>IF('Porcentaje de Notas'!G82="","",('Porcentaje de Notas'!G82/100)*$H$10)</f>
        <v>0</v>
      </c>
      <c r="I82" s="60">
        <f>IF('Porcentaje de Notas'!H82="","",('Porcentaje de Notas'!H82/100)*$I$10)</f>
        <v>0</v>
      </c>
      <c r="J82" s="58">
        <f>IF('Porcentaje de Notas'!I82="","",('Porcentaje de Notas'!I82/100)*$J$10)</f>
        <v>0.5</v>
      </c>
      <c r="K82" s="58">
        <f>IF('Porcentaje de Notas'!J82="","",('Porcentaje de Notas'!J82/100)*$K$10)</f>
        <v>0</v>
      </c>
      <c r="L82" s="58">
        <f>IF('Porcentaje de Notas'!K82="","",('Porcentaje de Notas'!K82/100)*$L$10)</f>
        <v>0</v>
      </c>
      <c r="M82" s="58">
        <f>IF('Porcentaje de Notas'!L82="","",('Porcentaje de Notas'!L82/100)*$M$10)</f>
        <v>0</v>
      </c>
      <c r="N82" s="58">
        <f>IF('Porcentaje de Notas'!M82="","",('Porcentaje de Notas'!M82/100)*$N$10)</f>
        <v>0</v>
      </c>
      <c r="O82" s="58">
        <f>IF('Porcentaje de Notas'!N82="","",('Porcentaje de Notas'!N82/100)*$O$10)</f>
        <v>0</v>
      </c>
      <c r="P82" s="58">
        <f>IF('Porcentaje de Notas'!O82="","",('Porcentaje de Notas'!O82/100)*$P$10)</f>
        <v>0</v>
      </c>
      <c r="Q82" s="58">
        <f>IF('Porcentaje de Notas'!P82="","",('Porcentaje de Notas'!P82/100)*$Q$10)</f>
        <v>0</v>
      </c>
      <c r="R82" s="58">
        <f>IF('Porcentaje de Notas'!Q82="","",('Porcentaje de Notas'!Q82/100)*$R$10)</f>
        <v>0</v>
      </c>
      <c r="S82" s="62">
        <f t="shared" si="1"/>
        <v>1.25</v>
      </c>
    </row>
    <row r="83" spans="2:19" ht="10.5" customHeight="1" x14ac:dyDescent="0.35">
      <c r="B83" s="58">
        <v>72</v>
      </c>
      <c r="C83" s="58">
        <v>202530466</v>
      </c>
      <c r="D83" s="59" t="s">
        <v>74</v>
      </c>
      <c r="E83" s="60">
        <f>IF('Porcentaje de Notas'!D83="","",('Porcentaje de Notas'!D83/100)*$E$10)</f>
        <v>0.5</v>
      </c>
      <c r="F83" s="58">
        <f>IF('Porcentaje de Notas'!E83="","",('Porcentaje de Notas'!E83/100)*$F$10)</f>
        <v>0.25</v>
      </c>
      <c r="G83" s="58">
        <f>IF('Porcentaje de Notas'!F83="","",('Porcentaje de Notas'!F83/100)*$G$10)</f>
        <v>0.5</v>
      </c>
      <c r="H83" s="61">
        <f>IF('Porcentaje de Notas'!G83="","",('Porcentaje de Notas'!G83/100)*$H$10)</f>
        <v>0.5</v>
      </c>
      <c r="I83" s="60">
        <f>IF('Porcentaje de Notas'!H83="","",('Porcentaje de Notas'!H83/100)*$I$10)</f>
        <v>1</v>
      </c>
      <c r="J83" s="58">
        <f>IF('Porcentaje de Notas'!I83="","",('Porcentaje de Notas'!I83/100)*$J$10)</f>
        <v>1</v>
      </c>
      <c r="K83" s="58">
        <f>IF('Porcentaje de Notas'!J83="","",('Porcentaje de Notas'!J83/100)*$K$10)</f>
        <v>1</v>
      </c>
      <c r="L83" s="58">
        <f>IF('Porcentaje de Notas'!K83="","",('Porcentaje de Notas'!K83/100)*$L$10)</f>
        <v>1.5</v>
      </c>
      <c r="M83" s="58">
        <f>IF('Porcentaje de Notas'!L83="","",('Porcentaje de Notas'!L83/100)*$M$10)</f>
        <v>2</v>
      </c>
      <c r="N83" s="58">
        <f>IF('Porcentaje de Notas'!M83="","",('Porcentaje de Notas'!M83/100)*$N$10)</f>
        <v>2</v>
      </c>
      <c r="O83" s="58">
        <f>IF('Porcentaje de Notas'!N83="","",('Porcentaje de Notas'!N83/100)*$O$10)</f>
        <v>2</v>
      </c>
      <c r="P83" s="58">
        <f>IF('Porcentaje de Notas'!O83="","",('Porcentaje de Notas'!O83/100)*$P$10)</f>
        <v>1</v>
      </c>
      <c r="Q83" s="58">
        <f>IF('Porcentaje de Notas'!P83="","",('Porcentaje de Notas'!P83/100)*$Q$10)</f>
        <v>1.5</v>
      </c>
      <c r="R83" s="58">
        <f>IF('Porcentaje de Notas'!Q83="","",('Porcentaje de Notas'!Q83/100)*$R$10)</f>
        <v>5</v>
      </c>
      <c r="S83" s="62">
        <f t="shared" si="1"/>
        <v>19.75</v>
      </c>
    </row>
    <row r="84" spans="2:19" ht="10.5" customHeight="1" thickBot="1" x14ac:dyDescent="0.4">
      <c r="B84" s="58">
        <v>73</v>
      </c>
      <c r="C84" s="58">
        <v>202030192</v>
      </c>
      <c r="D84" s="59" t="s">
        <v>75</v>
      </c>
      <c r="E84" s="63">
        <f>IF('Porcentaje de Notas'!D84="","",('Porcentaje de Notas'!D84/100)*$E$10)</f>
        <v>0</v>
      </c>
      <c r="F84" s="64">
        <f>IF('Porcentaje de Notas'!E84="","",('Porcentaje de Notas'!E84/100)*$F$10)</f>
        <v>0.25</v>
      </c>
      <c r="G84" s="64">
        <f>IF('Porcentaje de Notas'!F84="","",('Porcentaje de Notas'!F84/100)*$G$10)</f>
        <v>0.25</v>
      </c>
      <c r="H84" s="65">
        <f>IF('Porcentaje de Notas'!G84="","",('Porcentaje de Notas'!G84/100)*$H$10)</f>
        <v>0.375</v>
      </c>
      <c r="I84" s="63">
        <f>IF('Porcentaje de Notas'!H84="","",('Porcentaje de Notas'!H84/100)*$I$10)</f>
        <v>0</v>
      </c>
      <c r="J84" s="64">
        <f>IF('Porcentaje de Notas'!I84="","",('Porcentaje de Notas'!I84/100)*$J$10)</f>
        <v>1</v>
      </c>
      <c r="K84" s="64">
        <f>IF('Porcentaje de Notas'!J84="","",('Porcentaje de Notas'!J84/100)*$K$10)</f>
        <v>1</v>
      </c>
      <c r="L84" s="64">
        <f>IF('Porcentaje de Notas'!K84="","",('Porcentaje de Notas'!K84/100)*$L$10)</f>
        <v>1.5</v>
      </c>
      <c r="M84" s="64">
        <f>IF('Porcentaje de Notas'!L84="","",('Porcentaje de Notas'!L84/100)*$M$10)</f>
        <v>2</v>
      </c>
      <c r="N84" s="64">
        <f>IF('Porcentaje de Notas'!M84="","",('Porcentaje de Notas'!M84/100)*$N$10)</f>
        <v>1.7</v>
      </c>
      <c r="O84" s="64">
        <f>IF('Porcentaje de Notas'!N84="","",('Porcentaje de Notas'!N84/100)*$O$10)</f>
        <v>0</v>
      </c>
      <c r="P84" s="64">
        <f>IF('Porcentaje de Notas'!O84="","",('Porcentaje de Notas'!O84/100)*$P$10)</f>
        <v>0</v>
      </c>
      <c r="Q84" s="64">
        <f>IF('Porcentaje de Notas'!P84="","",('Porcentaje de Notas'!P84/100)*$Q$10)</f>
        <v>0</v>
      </c>
      <c r="R84" s="64">
        <f>IF('Porcentaje de Notas'!Q84="","",('Porcentaje de Notas'!Q84/100)*$R$10)</f>
        <v>0</v>
      </c>
      <c r="S84" s="62">
        <f t="shared" si="1"/>
        <v>8.0749999999999993</v>
      </c>
    </row>
  </sheetData>
  <mergeCells count="1">
    <mergeCell ref="E5:I5"/>
  </mergeCells>
  <pageMargins left="0.25" right="0.25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235A-9D8A-4CEA-9FB5-B1E762F87E9A}">
  <dimension ref="A1:W84"/>
  <sheetViews>
    <sheetView topLeftCell="C58" zoomScaleNormal="100" workbookViewId="0">
      <selection activeCell="E55" sqref="E55"/>
    </sheetView>
  </sheetViews>
  <sheetFormatPr baseColWidth="10" defaultRowHeight="14.5" x14ac:dyDescent="0.35"/>
  <cols>
    <col min="1" max="1" width="4.90625" customWidth="1"/>
    <col min="2" max="2" width="12.6328125" customWidth="1"/>
    <col min="3" max="3" width="33.90625" customWidth="1"/>
    <col min="4" max="7" width="7.453125" customWidth="1"/>
    <col min="8" max="18" width="9.6328125" customWidth="1"/>
  </cols>
  <sheetData>
    <row r="1" spans="1:23" s="30" customFormat="1" ht="15.5" x14ac:dyDescent="0.35">
      <c r="A1" s="26" t="s">
        <v>106</v>
      </c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8"/>
    </row>
    <row r="2" spans="1:23" s="30" customFormat="1" ht="15.5" x14ac:dyDescent="0.35">
      <c r="A2" s="26" t="s">
        <v>107</v>
      </c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8"/>
    </row>
    <row r="3" spans="1:23" s="30" customFormat="1" ht="15.5" x14ac:dyDescent="0.35">
      <c r="A3" s="26" t="s">
        <v>108</v>
      </c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8"/>
    </row>
    <row r="4" spans="1:23" s="30" customFormat="1" ht="15.5" x14ac:dyDescent="0.35">
      <c r="A4" s="26" t="s">
        <v>109</v>
      </c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/>
      <c r="S4" s="28"/>
    </row>
    <row r="5" spans="1:23" s="30" customFormat="1" ht="16" thickBot="1" x14ac:dyDescent="0.4">
      <c r="A5" s="26" t="s">
        <v>110</v>
      </c>
      <c r="B5" s="27"/>
      <c r="C5" s="28"/>
      <c r="D5" s="38"/>
      <c r="E5" s="38"/>
      <c r="F5" s="38"/>
      <c r="G5" s="38"/>
      <c r="H5" s="38"/>
      <c r="I5" s="28"/>
      <c r="J5" s="28"/>
      <c r="K5" s="31"/>
      <c r="L5" s="31"/>
      <c r="M5" s="31"/>
      <c r="N5" s="31"/>
      <c r="O5" s="31"/>
      <c r="P5" s="31"/>
      <c r="Q5" s="31"/>
      <c r="R5" s="29"/>
      <c r="S5" s="28"/>
    </row>
    <row r="6" spans="1:23" s="30" customFormat="1" ht="15.5" x14ac:dyDescent="0.35">
      <c r="A6" s="26" t="s">
        <v>111</v>
      </c>
      <c r="B6" s="27"/>
      <c r="C6" s="28"/>
      <c r="D6" s="32"/>
      <c r="E6" s="32"/>
      <c r="F6" s="33" t="s">
        <v>112</v>
      </c>
      <c r="G6" s="32"/>
      <c r="H6" s="32"/>
      <c r="I6" s="28"/>
      <c r="J6" s="28"/>
      <c r="K6" s="32"/>
      <c r="L6" s="32"/>
      <c r="M6" s="32"/>
      <c r="N6" s="33" t="s">
        <v>113</v>
      </c>
      <c r="O6" s="32"/>
      <c r="P6" s="32"/>
      <c r="Q6" s="32"/>
      <c r="R6" s="29"/>
      <c r="S6" s="28"/>
    </row>
    <row r="7" spans="1:23" s="30" customFormat="1" ht="15.5" x14ac:dyDescent="0.35">
      <c r="A7" s="26" t="s">
        <v>112</v>
      </c>
      <c r="B7" s="27"/>
      <c r="C7" s="28"/>
      <c r="D7" s="32"/>
      <c r="E7" s="32"/>
      <c r="F7" s="33" t="s">
        <v>114</v>
      </c>
      <c r="G7" s="32"/>
      <c r="H7" s="32"/>
      <c r="I7" s="28"/>
      <c r="J7" s="28"/>
      <c r="K7" s="32"/>
      <c r="L7" s="32"/>
      <c r="M7" s="32"/>
      <c r="N7" s="33" t="s">
        <v>115</v>
      </c>
      <c r="O7" s="32"/>
      <c r="P7" s="32"/>
      <c r="Q7" s="32"/>
      <c r="R7" s="29"/>
      <c r="S7" s="28"/>
    </row>
    <row r="8" spans="1:23" s="30" customFormat="1" ht="16" thickBot="1" x14ac:dyDescent="0.4">
      <c r="A8" s="26" t="s">
        <v>116</v>
      </c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9"/>
      <c r="S8" s="28"/>
    </row>
    <row r="9" spans="1:23" s="1" customFormat="1" ht="114.5" x14ac:dyDescent="0.35">
      <c r="A9" s="18"/>
      <c r="B9" s="22"/>
      <c r="C9" s="22"/>
      <c r="D9" s="23" t="s">
        <v>81</v>
      </c>
      <c r="E9" s="23" t="s">
        <v>82</v>
      </c>
      <c r="F9" s="23" t="s">
        <v>83</v>
      </c>
      <c r="G9" s="23" t="s">
        <v>84</v>
      </c>
      <c r="H9" s="23" t="s">
        <v>85</v>
      </c>
      <c r="I9" s="23" t="s">
        <v>86</v>
      </c>
      <c r="J9" s="23" t="s">
        <v>87</v>
      </c>
      <c r="K9" s="23" t="s">
        <v>97</v>
      </c>
      <c r="L9" s="23" t="s">
        <v>88</v>
      </c>
      <c r="M9" s="23" t="s">
        <v>89</v>
      </c>
      <c r="N9" s="23" t="s">
        <v>90</v>
      </c>
      <c r="O9" s="23" t="s">
        <v>91</v>
      </c>
      <c r="P9" s="23" t="s">
        <v>92</v>
      </c>
      <c r="Q9" s="23" t="s">
        <v>93</v>
      </c>
      <c r="R9" s="15" t="s">
        <v>96</v>
      </c>
      <c r="T9" s="4"/>
      <c r="U9" s="4"/>
      <c r="V9" s="3"/>
      <c r="W9" s="3"/>
    </row>
    <row r="10" spans="1:23" x14ac:dyDescent="0.35">
      <c r="A10" s="19"/>
      <c r="B10" s="7"/>
      <c r="C10" s="21" t="s">
        <v>98</v>
      </c>
      <c r="D10" s="8">
        <v>0.5</v>
      </c>
      <c r="E10" s="8">
        <v>0.5</v>
      </c>
      <c r="F10" s="8">
        <v>0.5</v>
      </c>
      <c r="G10" s="8">
        <v>0.5</v>
      </c>
      <c r="H10" s="8">
        <v>1</v>
      </c>
      <c r="I10" s="8">
        <v>1</v>
      </c>
      <c r="J10" s="8">
        <v>1</v>
      </c>
      <c r="K10" s="8">
        <v>1.5</v>
      </c>
      <c r="L10" s="8">
        <v>2</v>
      </c>
      <c r="M10" s="8">
        <v>2</v>
      </c>
      <c r="N10" s="8">
        <v>2</v>
      </c>
      <c r="O10" s="8">
        <v>1</v>
      </c>
      <c r="P10" s="8">
        <v>1.5</v>
      </c>
      <c r="Q10" s="8">
        <v>5</v>
      </c>
      <c r="R10" s="9">
        <f>SUM(D10:Q10)</f>
        <v>20</v>
      </c>
    </row>
    <row r="11" spans="1:23" s="1" customFormat="1" x14ac:dyDescent="0.35">
      <c r="A11" s="20" t="s">
        <v>0</v>
      </c>
      <c r="B11" s="5" t="s">
        <v>1</v>
      </c>
      <c r="C11" s="5" t="s">
        <v>2</v>
      </c>
      <c r="D11" s="17" t="s">
        <v>76</v>
      </c>
      <c r="E11" s="17" t="s">
        <v>77</v>
      </c>
      <c r="F11" s="17" t="s">
        <v>78</v>
      </c>
      <c r="G11" s="17" t="s">
        <v>79</v>
      </c>
      <c r="H11" s="17" t="s">
        <v>76</v>
      </c>
      <c r="I11" s="17" t="s">
        <v>99</v>
      </c>
      <c r="J11" s="17" t="s">
        <v>100</v>
      </c>
      <c r="K11" s="17" t="s">
        <v>101</v>
      </c>
      <c r="L11" s="17" t="s">
        <v>80</v>
      </c>
      <c r="M11" s="17" t="s">
        <v>102</v>
      </c>
      <c r="N11" s="17" t="s">
        <v>103</v>
      </c>
      <c r="O11" s="17" t="s">
        <v>104</v>
      </c>
      <c r="P11" s="17" t="s">
        <v>105</v>
      </c>
      <c r="Q11" s="17" t="s">
        <v>94</v>
      </c>
      <c r="R11" s="16" t="s">
        <v>95</v>
      </c>
    </row>
    <row r="12" spans="1:23" x14ac:dyDescent="0.35">
      <c r="A12" s="10">
        <v>1</v>
      </c>
      <c r="B12" s="6">
        <v>202030174</v>
      </c>
      <c r="C12" s="6" t="s">
        <v>3</v>
      </c>
      <c r="D12" s="6">
        <v>0</v>
      </c>
      <c r="E12" s="6">
        <v>50</v>
      </c>
      <c r="F12" s="6">
        <v>50</v>
      </c>
      <c r="G12" s="6">
        <v>0</v>
      </c>
      <c r="H12" s="6">
        <v>0</v>
      </c>
      <c r="I12" s="6">
        <v>0</v>
      </c>
      <c r="J12" s="6">
        <v>0</v>
      </c>
      <c r="K12" s="6">
        <v>100</v>
      </c>
      <c r="L12" s="6">
        <v>0</v>
      </c>
      <c r="M12" s="6">
        <v>0</v>
      </c>
      <c r="N12" s="6">
        <v>100</v>
      </c>
      <c r="O12" s="6">
        <v>0</v>
      </c>
      <c r="P12" s="6">
        <v>0</v>
      </c>
      <c r="Q12" s="6">
        <v>0</v>
      </c>
      <c r="R12" s="11"/>
    </row>
    <row r="13" spans="1:23" x14ac:dyDescent="0.35">
      <c r="A13" s="10">
        <v>2</v>
      </c>
      <c r="B13" s="6">
        <v>202032032</v>
      </c>
      <c r="C13" s="6" t="s">
        <v>4</v>
      </c>
      <c r="D13" s="6">
        <v>100</v>
      </c>
      <c r="E13" s="6">
        <v>50</v>
      </c>
      <c r="F13" s="6">
        <v>50</v>
      </c>
      <c r="G13" s="6">
        <v>100</v>
      </c>
      <c r="H13" s="6">
        <v>100</v>
      </c>
      <c r="I13" s="6">
        <v>100</v>
      </c>
      <c r="J13" s="6">
        <v>100</v>
      </c>
      <c r="K13" s="6">
        <v>100</v>
      </c>
      <c r="L13" s="6">
        <v>80</v>
      </c>
      <c r="M13" s="6">
        <v>100</v>
      </c>
      <c r="N13" s="6">
        <v>100</v>
      </c>
      <c r="O13" s="6">
        <v>100</v>
      </c>
      <c r="P13" s="6">
        <v>100</v>
      </c>
      <c r="Q13" s="6">
        <v>100</v>
      </c>
      <c r="R13" s="11"/>
    </row>
    <row r="14" spans="1:23" x14ac:dyDescent="0.35">
      <c r="A14" s="10">
        <v>3</v>
      </c>
      <c r="B14" s="6">
        <v>202231116</v>
      </c>
      <c r="C14" s="6" t="s">
        <v>5</v>
      </c>
      <c r="D14" s="6">
        <v>100</v>
      </c>
      <c r="E14" s="6">
        <v>50</v>
      </c>
      <c r="F14" s="6">
        <v>100</v>
      </c>
      <c r="G14" s="6">
        <v>0</v>
      </c>
      <c r="H14" s="6">
        <v>85</v>
      </c>
      <c r="I14" s="6">
        <v>100</v>
      </c>
      <c r="J14" s="6">
        <v>100</v>
      </c>
      <c r="K14" s="6">
        <v>100</v>
      </c>
      <c r="L14" s="6">
        <v>70</v>
      </c>
      <c r="M14" s="6">
        <v>0</v>
      </c>
      <c r="N14" s="6">
        <v>85</v>
      </c>
      <c r="O14" s="6">
        <v>80</v>
      </c>
      <c r="P14" s="6">
        <v>0</v>
      </c>
      <c r="Q14" s="6">
        <v>100</v>
      </c>
      <c r="R14" s="11"/>
    </row>
    <row r="15" spans="1:23" x14ac:dyDescent="0.35">
      <c r="A15" s="10">
        <v>4</v>
      </c>
      <c r="B15" s="6">
        <v>202330276</v>
      </c>
      <c r="C15" s="6" t="s">
        <v>6</v>
      </c>
      <c r="D15" s="6">
        <v>0</v>
      </c>
      <c r="E15" s="6">
        <v>50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11"/>
    </row>
    <row r="16" spans="1:23" x14ac:dyDescent="0.35">
      <c r="A16" s="10">
        <v>5</v>
      </c>
      <c r="B16" s="6">
        <v>202331587</v>
      </c>
      <c r="C16" s="6" t="s">
        <v>7</v>
      </c>
      <c r="D16" s="6">
        <v>0</v>
      </c>
      <c r="E16" s="6">
        <v>50</v>
      </c>
      <c r="F16" s="6">
        <v>100</v>
      </c>
      <c r="G16" s="6">
        <v>90</v>
      </c>
      <c r="H16" s="6">
        <v>0</v>
      </c>
      <c r="I16" s="6">
        <v>50</v>
      </c>
      <c r="J16" s="6">
        <v>90</v>
      </c>
      <c r="K16" s="6">
        <v>80</v>
      </c>
      <c r="L16" s="6">
        <v>75</v>
      </c>
      <c r="M16" s="6">
        <v>85</v>
      </c>
      <c r="N16" s="6">
        <v>0</v>
      </c>
      <c r="O16" s="6">
        <v>100</v>
      </c>
      <c r="P16" s="6">
        <v>100</v>
      </c>
      <c r="Q16" s="6">
        <v>100</v>
      </c>
      <c r="R16" s="11"/>
    </row>
    <row r="17" spans="1:18" x14ac:dyDescent="0.35">
      <c r="A17" s="10">
        <v>6</v>
      </c>
      <c r="B17" s="6">
        <v>202332049</v>
      </c>
      <c r="C17" s="6" t="s">
        <v>8</v>
      </c>
      <c r="D17" s="6">
        <v>0</v>
      </c>
      <c r="E17" s="6">
        <v>50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11"/>
    </row>
    <row r="18" spans="1:18" x14ac:dyDescent="0.35">
      <c r="A18" s="10">
        <v>7</v>
      </c>
      <c r="B18" s="6">
        <v>202402553</v>
      </c>
      <c r="C18" s="6" t="s">
        <v>9</v>
      </c>
      <c r="D18" s="6">
        <v>100</v>
      </c>
      <c r="E18" s="6">
        <v>50</v>
      </c>
      <c r="F18" s="6">
        <v>100</v>
      </c>
      <c r="G18" s="6">
        <v>90</v>
      </c>
      <c r="H18" s="6">
        <v>60</v>
      </c>
      <c r="I18" s="6">
        <v>0</v>
      </c>
      <c r="J18" s="6">
        <v>100</v>
      </c>
      <c r="K18" s="6">
        <v>100</v>
      </c>
      <c r="L18" s="6">
        <v>50</v>
      </c>
      <c r="M18" s="6">
        <v>0</v>
      </c>
      <c r="N18" s="6">
        <v>65</v>
      </c>
      <c r="O18" s="6">
        <v>80</v>
      </c>
      <c r="P18" s="6">
        <v>100</v>
      </c>
      <c r="Q18" s="6">
        <v>0</v>
      </c>
      <c r="R18" s="11"/>
    </row>
    <row r="19" spans="1:18" x14ac:dyDescent="0.35">
      <c r="A19" s="10">
        <v>8</v>
      </c>
      <c r="B19" s="6">
        <v>202430271</v>
      </c>
      <c r="C19" s="6" t="s">
        <v>10</v>
      </c>
      <c r="D19" s="6">
        <v>0</v>
      </c>
      <c r="E19" s="6">
        <v>100</v>
      </c>
      <c r="F19" s="6">
        <v>0</v>
      </c>
      <c r="G19" s="6">
        <v>0</v>
      </c>
      <c r="H19" s="6">
        <v>100</v>
      </c>
      <c r="I19" s="6">
        <v>100</v>
      </c>
      <c r="J19" s="6">
        <v>0</v>
      </c>
      <c r="K19" s="6">
        <v>0</v>
      </c>
      <c r="L19" s="6">
        <v>0</v>
      </c>
      <c r="M19" s="6">
        <v>0</v>
      </c>
      <c r="N19" s="6">
        <v>70</v>
      </c>
      <c r="O19" s="6">
        <v>80</v>
      </c>
      <c r="P19" s="6">
        <v>0</v>
      </c>
      <c r="Q19" s="6">
        <v>100</v>
      </c>
      <c r="R19" s="11"/>
    </row>
    <row r="20" spans="1:18" x14ac:dyDescent="0.35">
      <c r="A20" s="10">
        <v>9</v>
      </c>
      <c r="B20" s="6">
        <v>202430532</v>
      </c>
      <c r="C20" s="6" t="s">
        <v>11</v>
      </c>
      <c r="D20" s="6">
        <v>100</v>
      </c>
      <c r="E20" s="6">
        <v>50</v>
      </c>
      <c r="F20" s="6">
        <v>100</v>
      </c>
      <c r="G20" s="6">
        <v>100</v>
      </c>
      <c r="H20" s="6">
        <v>100</v>
      </c>
      <c r="I20" s="6">
        <v>100</v>
      </c>
      <c r="J20" s="6">
        <v>100</v>
      </c>
      <c r="K20" s="6">
        <v>100</v>
      </c>
      <c r="L20" s="6">
        <v>100</v>
      </c>
      <c r="M20" s="6">
        <v>65</v>
      </c>
      <c r="N20" s="6">
        <v>80</v>
      </c>
      <c r="O20" s="6">
        <v>100</v>
      </c>
      <c r="P20" s="6">
        <v>100</v>
      </c>
      <c r="Q20" s="6">
        <v>100</v>
      </c>
      <c r="R20" s="11"/>
    </row>
    <row r="21" spans="1:18" x14ac:dyDescent="0.35">
      <c r="A21" s="10">
        <v>10</v>
      </c>
      <c r="B21" s="6">
        <v>202430589</v>
      </c>
      <c r="C21" s="6" t="s">
        <v>12</v>
      </c>
      <c r="D21" s="6">
        <v>0</v>
      </c>
      <c r="E21" s="6">
        <v>50</v>
      </c>
      <c r="F21" s="6">
        <v>0</v>
      </c>
      <c r="G21" s="6">
        <v>100</v>
      </c>
      <c r="H21" s="6">
        <v>75</v>
      </c>
      <c r="I21" s="6">
        <v>90</v>
      </c>
      <c r="J21" s="6">
        <v>100</v>
      </c>
      <c r="K21" s="6">
        <v>80</v>
      </c>
      <c r="L21" s="6">
        <v>70</v>
      </c>
      <c r="M21" s="6">
        <v>0</v>
      </c>
      <c r="N21" s="6">
        <v>0</v>
      </c>
      <c r="O21" s="6">
        <v>0</v>
      </c>
      <c r="P21" s="6">
        <v>0</v>
      </c>
      <c r="Q21" s="6">
        <v>100</v>
      </c>
      <c r="R21" s="11"/>
    </row>
    <row r="22" spans="1:18" x14ac:dyDescent="0.35">
      <c r="A22" s="10">
        <v>11</v>
      </c>
      <c r="B22" s="6">
        <v>202430602</v>
      </c>
      <c r="C22" s="6" t="s">
        <v>13</v>
      </c>
      <c r="D22" s="6">
        <v>0</v>
      </c>
      <c r="E22" s="6">
        <v>50</v>
      </c>
      <c r="F22" s="6">
        <v>100</v>
      </c>
      <c r="G22" s="6">
        <v>0</v>
      </c>
      <c r="H22" s="6">
        <v>60</v>
      </c>
      <c r="I22" s="6">
        <v>0</v>
      </c>
      <c r="J22" s="6">
        <v>90</v>
      </c>
      <c r="K22" s="6">
        <v>100</v>
      </c>
      <c r="L22" s="6">
        <v>0</v>
      </c>
      <c r="M22" s="6">
        <v>0</v>
      </c>
      <c r="N22" s="6">
        <v>30</v>
      </c>
      <c r="O22" s="6">
        <v>0</v>
      </c>
      <c r="P22" s="6">
        <v>0</v>
      </c>
      <c r="Q22" s="6">
        <v>0</v>
      </c>
      <c r="R22" s="11"/>
    </row>
    <row r="23" spans="1:18" x14ac:dyDescent="0.35">
      <c r="A23" s="10">
        <v>12</v>
      </c>
      <c r="B23" s="6">
        <v>202430633</v>
      </c>
      <c r="C23" s="6" t="s">
        <v>14</v>
      </c>
      <c r="D23" s="6">
        <v>100</v>
      </c>
      <c r="E23" s="6">
        <v>50</v>
      </c>
      <c r="F23" s="6">
        <v>100</v>
      </c>
      <c r="G23" s="6">
        <v>100</v>
      </c>
      <c r="H23" s="6">
        <v>100</v>
      </c>
      <c r="I23" s="6">
        <v>100</v>
      </c>
      <c r="J23" s="6">
        <v>100</v>
      </c>
      <c r="K23" s="6">
        <v>100</v>
      </c>
      <c r="L23" s="6">
        <v>50</v>
      </c>
      <c r="M23" s="6">
        <v>100</v>
      </c>
      <c r="N23" s="6">
        <v>50</v>
      </c>
      <c r="O23" s="6">
        <v>0</v>
      </c>
      <c r="P23" s="6">
        <v>0</v>
      </c>
      <c r="Q23" s="6">
        <v>100</v>
      </c>
      <c r="R23" s="11"/>
    </row>
    <row r="24" spans="1:18" x14ac:dyDescent="0.35">
      <c r="A24" s="10">
        <v>13</v>
      </c>
      <c r="B24" s="6">
        <v>202430645</v>
      </c>
      <c r="C24" s="6" t="s">
        <v>15</v>
      </c>
      <c r="D24" s="6">
        <v>100</v>
      </c>
      <c r="E24" s="6">
        <v>50</v>
      </c>
      <c r="F24" s="6">
        <v>50</v>
      </c>
      <c r="G24" s="6">
        <v>90</v>
      </c>
      <c r="H24" s="6">
        <v>100</v>
      </c>
      <c r="I24" s="6">
        <v>85</v>
      </c>
      <c r="J24" s="6">
        <v>100</v>
      </c>
      <c r="K24" s="6">
        <v>100</v>
      </c>
      <c r="L24" s="6">
        <v>70</v>
      </c>
      <c r="M24" s="6">
        <v>75</v>
      </c>
      <c r="N24" s="6">
        <v>70</v>
      </c>
      <c r="O24" s="6">
        <v>100</v>
      </c>
      <c r="P24" s="6">
        <v>100</v>
      </c>
      <c r="Q24" s="6">
        <v>100</v>
      </c>
      <c r="R24" s="11"/>
    </row>
    <row r="25" spans="1:18" x14ac:dyDescent="0.35">
      <c r="A25" s="10">
        <v>14</v>
      </c>
      <c r="B25" s="6">
        <v>202430733</v>
      </c>
      <c r="C25" s="6" t="s">
        <v>16</v>
      </c>
      <c r="D25" s="6">
        <v>100</v>
      </c>
      <c r="E25" s="6">
        <v>50</v>
      </c>
      <c r="F25" s="6">
        <v>50</v>
      </c>
      <c r="G25" s="6">
        <v>100</v>
      </c>
      <c r="H25" s="6">
        <v>85</v>
      </c>
      <c r="I25" s="6">
        <v>100</v>
      </c>
      <c r="J25" s="6">
        <v>100</v>
      </c>
      <c r="K25" s="6">
        <v>100</v>
      </c>
      <c r="L25" s="6">
        <v>50</v>
      </c>
      <c r="M25" s="6">
        <v>100</v>
      </c>
      <c r="N25" s="6">
        <v>100</v>
      </c>
      <c r="O25" s="6">
        <v>100</v>
      </c>
      <c r="P25" s="6">
        <v>100</v>
      </c>
      <c r="Q25" s="6">
        <v>100</v>
      </c>
      <c r="R25" s="11"/>
    </row>
    <row r="26" spans="1:18" x14ac:dyDescent="0.35">
      <c r="A26" s="10">
        <v>15</v>
      </c>
      <c r="B26" s="6">
        <v>202430804</v>
      </c>
      <c r="C26" s="6" t="s">
        <v>17</v>
      </c>
      <c r="D26" s="6">
        <v>100</v>
      </c>
      <c r="E26" s="6">
        <v>50</v>
      </c>
      <c r="F26" s="6">
        <v>0</v>
      </c>
      <c r="G26" s="6">
        <v>0</v>
      </c>
      <c r="H26" s="6">
        <v>100</v>
      </c>
      <c r="I26" s="6">
        <v>100</v>
      </c>
      <c r="J26" s="6">
        <v>100</v>
      </c>
      <c r="K26" s="6">
        <v>100</v>
      </c>
      <c r="L26" s="6">
        <v>80</v>
      </c>
      <c r="M26" s="6">
        <v>100</v>
      </c>
      <c r="N26" s="6">
        <v>100</v>
      </c>
      <c r="O26" s="6">
        <v>0</v>
      </c>
      <c r="P26" s="6">
        <v>0</v>
      </c>
      <c r="Q26" s="6">
        <v>0</v>
      </c>
      <c r="R26" s="11"/>
    </row>
    <row r="27" spans="1:18" x14ac:dyDescent="0.35">
      <c r="A27" s="10">
        <v>16</v>
      </c>
      <c r="B27" s="6">
        <v>202430829</v>
      </c>
      <c r="C27" s="6" t="s">
        <v>18</v>
      </c>
      <c r="D27" s="6">
        <v>100</v>
      </c>
      <c r="E27" s="6">
        <v>100</v>
      </c>
      <c r="F27" s="6">
        <v>100</v>
      </c>
      <c r="G27" s="6">
        <v>90</v>
      </c>
      <c r="H27" s="6">
        <v>85</v>
      </c>
      <c r="I27" s="6">
        <v>100</v>
      </c>
      <c r="J27" s="6">
        <v>100</v>
      </c>
      <c r="K27" s="6">
        <v>100</v>
      </c>
      <c r="L27" s="6">
        <v>70</v>
      </c>
      <c r="M27" s="6">
        <v>85</v>
      </c>
      <c r="N27" s="6">
        <v>85</v>
      </c>
      <c r="O27" s="6">
        <v>80</v>
      </c>
      <c r="P27" s="6">
        <v>100</v>
      </c>
      <c r="Q27" s="6">
        <v>100</v>
      </c>
      <c r="R27" s="11"/>
    </row>
    <row r="28" spans="1:18" x14ac:dyDescent="0.35">
      <c r="A28" s="10">
        <v>17</v>
      </c>
      <c r="B28" s="6">
        <v>202431169</v>
      </c>
      <c r="C28" s="6" t="s">
        <v>19</v>
      </c>
      <c r="D28" s="6">
        <v>100</v>
      </c>
      <c r="E28" s="6">
        <v>50</v>
      </c>
      <c r="F28" s="6">
        <v>50</v>
      </c>
      <c r="G28" s="6">
        <v>100</v>
      </c>
      <c r="H28" s="6">
        <v>85</v>
      </c>
      <c r="I28" s="6">
        <v>100</v>
      </c>
      <c r="J28" s="6">
        <v>100</v>
      </c>
      <c r="K28" s="6">
        <v>100</v>
      </c>
      <c r="L28" s="6">
        <v>50</v>
      </c>
      <c r="M28" s="6">
        <v>100</v>
      </c>
      <c r="N28" s="6">
        <v>100</v>
      </c>
      <c r="O28" s="6">
        <v>100</v>
      </c>
      <c r="P28" s="6">
        <v>100</v>
      </c>
      <c r="Q28" s="6">
        <v>100</v>
      </c>
      <c r="R28" s="11"/>
    </row>
    <row r="29" spans="1:18" x14ac:dyDescent="0.35">
      <c r="A29" s="10">
        <v>18</v>
      </c>
      <c r="B29" s="6">
        <v>202431502</v>
      </c>
      <c r="C29" s="6" t="s">
        <v>20</v>
      </c>
      <c r="D29" s="6">
        <v>100</v>
      </c>
      <c r="E29" s="6">
        <v>100</v>
      </c>
      <c r="F29" s="6">
        <v>100</v>
      </c>
      <c r="G29" s="6">
        <v>100</v>
      </c>
      <c r="H29" s="6">
        <v>100</v>
      </c>
      <c r="I29" s="6">
        <v>100</v>
      </c>
      <c r="J29" s="6">
        <v>100</v>
      </c>
      <c r="K29" s="6">
        <v>100</v>
      </c>
      <c r="L29" s="6">
        <v>50</v>
      </c>
      <c r="M29" s="6">
        <v>90</v>
      </c>
      <c r="N29" s="6">
        <v>45</v>
      </c>
      <c r="O29" s="6">
        <v>80</v>
      </c>
      <c r="P29" s="6">
        <v>100</v>
      </c>
      <c r="Q29" s="6">
        <v>100</v>
      </c>
      <c r="R29" s="11"/>
    </row>
    <row r="30" spans="1:18" x14ac:dyDescent="0.35">
      <c r="A30" s="10">
        <v>19</v>
      </c>
      <c r="B30" s="6">
        <v>202431726</v>
      </c>
      <c r="C30" s="6" t="s">
        <v>21</v>
      </c>
      <c r="D30" s="6">
        <v>100</v>
      </c>
      <c r="E30" s="6">
        <v>50</v>
      </c>
      <c r="F30" s="6">
        <v>100</v>
      </c>
      <c r="G30" s="6">
        <v>100</v>
      </c>
      <c r="H30" s="6">
        <v>75</v>
      </c>
      <c r="I30" s="6">
        <v>100</v>
      </c>
      <c r="J30" s="6">
        <v>100</v>
      </c>
      <c r="K30" s="6">
        <v>100</v>
      </c>
      <c r="L30" s="6">
        <v>90</v>
      </c>
      <c r="M30" s="6">
        <v>95</v>
      </c>
      <c r="N30" s="6">
        <v>90</v>
      </c>
      <c r="O30" s="6">
        <v>0</v>
      </c>
      <c r="P30" s="6">
        <v>0</v>
      </c>
      <c r="Q30" s="6">
        <v>0</v>
      </c>
      <c r="R30" s="11"/>
    </row>
    <row r="31" spans="1:18" x14ac:dyDescent="0.35">
      <c r="A31" s="10">
        <v>20</v>
      </c>
      <c r="B31" s="6">
        <v>202431817</v>
      </c>
      <c r="C31" s="6" t="s">
        <v>22</v>
      </c>
      <c r="D31" s="6">
        <v>0</v>
      </c>
      <c r="E31" s="6">
        <v>50</v>
      </c>
      <c r="F31" s="6">
        <v>100</v>
      </c>
      <c r="G31" s="6">
        <v>100</v>
      </c>
      <c r="H31" s="6">
        <v>0</v>
      </c>
      <c r="I31" s="6">
        <v>0</v>
      </c>
      <c r="J31" s="6">
        <v>100</v>
      </c>
      <c r="K31" s="6">
        <v>0</v>
      </c>
      <c r="L31" s="6">
        <v>0</v>
      </c>
      <c r="M31" s="6">
        <v>15</v>
      </c>
      <c r="N31" s="6">
        <v>90</v>
      </c>
      <c r="O31" s="6">
        <v>100</v>
      </c>
      <c r="P31" s="6">
        <v>0</v>
      </c>
      <c r="Q31" s="6">
        <v>100</v>
      </c>
      <c r="R31" s="11"/>
    </row>
    <row r="32" spans="1:18" x14ac:dyDescent="0.35">
      <c r="A32" s="10">
        <v>21</v>
      </c>
      <c r="B32" s="6">
        <v>202431819</v>
      </c>
      <c r="C32" s="6" t="s">
        <v>23</v>
      </c>
      <c r="D32" s="6">
        <v>0</v>
      </c>
      <c r="E32" s="6">
        <v>100</v>
      </c>
      <c r="F32" s="6">
        <v>0</v>
      </c>
      <c r="G32" s="6">
        <v>0</v>
      </c>
      <c r="H32" s="6">
        <v>0</v>
      </c>
      <c r="I32" s="6">
        <v>100</v>
      </c>
      <c r="J32" s="6">
        <v>0</v>
      </c>
      <c r="K32" s="6">
        <v>100</v>
      </c>
      <c r="L32" s="6">
        <v>0</v>
      </c>
      <c r="M32" s="6">
        <v>85</v>
      </c>
      <c r="N32" s="6">
        <v>70</v>
      </c>
      <c r="O32" s="6">
        <v>80</v>
      </c>
      <c r="P32" s="6">
        <v>100</v>
      </c>
      <c r="Q32" s="6">
        <v>100</v>
      </c>
      <c r="R32" s="11"/>
    </row>
    <row r="33" spans="1:18" x14ac:dyDescent="0.35">
      <c r="A33" s="10">
        <v>22</v>
      </c>
      <c r="B33" s="6">
        <v>202431863</v>
      </c>
      <c r="C33" s="6" t="s">
        <v>24</v>
      </c>
      <c r="D33" s="6">
        <v>100</v>
      </c>
      <c r="E33" s="6">
        <v>50</v>
      </c>
      <c r="F33" s="6">
        <v>0</v>
      </c>
      <c r="G33" s="6">
        <v>100</v>
      </c>
      <c r="H33" s="6">
        <v>50</v>
      </c>
      <c r="I33" s="6">
        <v>50</v>
      </c>
      <c r="J33" s="6">
        <v>50</v>
      </c>
      <c r="K33" s="6">
        <v>100</v>
      </c>
      <c r="L33" s="6">
        <v>25</v>
      </c>
      <c r="M33" s="6">
        <v>25</v>
      </c>
      <c r="N33" s="6">
        <v>100</v>
      </c>
      <c r="O33" s="6">
        <v>80</v>
      </c>
      <c r="P33" s="6">
        <v>0</v>
      </c>
      <c r="Q33" s="6">
        <v>100</v>
      </c>
      <c r="R33" s="11"/>
    </row>
    <row r="34" spans="1:18" x14ac:dyDescent="0.35">
      <c r="A34" s="10">
        <v>23</v>
      </c>
      <c r="B34" s="6">
        <v>202432080</v>
      </c>
      <c r="C34" s="6" t="s">
        <v>25</v>
      </c>
      <c r="D34" s="6">
        <v>100</v>
      </c>
      <c r="E34" s="6">
        <v>50</v>
      </c>
      <c r="F34" s="6">
        <v>0</v>
      </c>
      <c r="G34" s="6">
        <v>0</v>
      </c>
      <c r="H34" s="6">
        <v>0</v>
      </c>
      <c r="I34" s="6">
        <v>100</v>
      </c>
      <c r="J34" s="6">
        <v>100</v>
      </c>
      <c r="K34" s="6">
        <v>100</v>
      </c>
      <c r="L34" s="6">
        <v>70</v>
      </c>
      <c r="M34" s="6">
        <v>100</v>
      </c>
      <c r="N34" s="6">
        <v>100</v>
      </c>
      <c r="O34" s="6">
        <v>0</v>
      </c>
      <c r="P34" s="6">
        <v>0</v>
      </c>
      <c r="Q34" s="6">
        <v>0</v>
      </c>
      <c r="R34" s="11"/>
    </row>
    <row r="35" spans="1:18" x14ac:dyDescent="0.35">
      <c r="A35" s="10">
        <v>24</v>
      </c>
      <c r="B35" s="6">
        <v>202432085</v>
      </c>
      <c r="C35" s="6" t="s">
        <v>26</v>
      </c>
      <c r="D35" s="6">
        <v>100</v>
      </c>
      <c r="E35" s="6">
        <v>50</v>
      </c>
      <c r="F35" s="6">
        <v>100</v>
      </c>
      <c r="G35" s="6">
        <v>100</v>
      </c>
      <c r="H35" s="6">
        <v>75</v>
      </c>
      <c r="I35" s="6">
        <v>100</v>
      </c>
      <c r="J35" s="6">
        <v>90</v>
      </c>
      <c r="K35" s="6">
        <v>100</v>
      </c>
      <c r="L35" s="6">
        <v>70</v>
      </c>
      <c r="M35" s="6">
        <v>95</v>
      </c>
      <c r="N35" s="6">
        <v>90</v>
      </c>
      <c r="O35" s="6">
        <v>0</v>
      </c>
      <c r="P35" s="6">
        <v>0</v>
      </c>
      <c r="Q35" s="6">
        <v>0</v>
      </c>
      <c r="R35" s="11"/>
    </row>
    <row r="36" spans="1:18" x14ac:dyDescent="0.35">
      <c r="A36" s="10">
        <v>25</v>
      </c>
      <c r="B36" s="6">
        <v>202432137</v>
      </c>
      <c r="C36" s="6" t="s">
        <v>27</v>
      </c>
      <c r="D36" s="6">
        <v>100</v>
      </c>
      <c r="E36" s="6">
        <v>50</v>
      </c>
      <c r="F36" s="6">
        <v>0</v>
      </c>
      <c r="G36" s="6">
        <v>100</v>
      </c>
      <c r="H36" s="6">
        <v>50</v>
      </c>
      <c r="I36" s="6">
        <v>50</v>
      </c>
      <c r="J36" s="6">
        <v>50</v>
      </c>
      <c r="K36" s="6">
        <v>0</v>
      </c>
      <c r="L36" s="6">
        <v>25</v>
      </c>
      <c r="M36" s="6">
        <v>25</v>
      </c>
      <c r="N36" s="6">
        <v>100</v>
      </c>
      <c r="O36" s="6">
        <v>80</v>
      </c>
      <c r="P36" s="6">
        <v>0</v>
      </c>
      <c r="Q36" s="6">
        <v>100</v>
      </c>
      <c r="R36" s="11"/>
    </row>
    <row r="37" spans="1:18" x14ac:dyDescent="0.35">
      <c r="A37" s="10">
        <v>26</v>
      </c>
      <c r="B37" s="6">
        <v>202530125</v>
      </c>
      <c r="C37" s="6" t="s">
        <v>28</v>
      </c>
      <c r="D37" s="6">
        <v>0</v>
      </c>
      <c r="E37" s="6">
        <v>50</v>
      </c>
      <c r="F37" s="6">
        <v>100</v>
      </c>
      <c r="G37" s="6">
        <v>100</v>
      </c>
      <c r="H37" s="6">
        <v>100</v>
      </c>
      <c r="I37" s="6">
        <v>75</v>
      </c>
      <c r="J37" s="6">
        <v>90</v>
      </c>
      <c r="K37" s="6">
        <v>100</v>
      </c>
      <c r="L37" s="6">
        <v>80</v>
      </c>
      <c r="M37" s="6">
        <v>90</v>
      </c>
      <c r="N37" s="6">
        <v>60</v>
      </c>
      <c r="O37" s="6">
        <v>0</v>
      </c>
      <c r="P37" s="6">
        <v>0</v>
      </c>
      <c r="Q37" s="6">
        <v>0</v>
      </c>
      <c r="R37" s="11"/>
    </row>
    <row r="38" spans="1:18" x14ac:dyDescent="0.35">
      <c r="A38" s="10">
        <v>27</v>
      </c>
      <c r="B38" s="6">
        <v>202530235</v>
      </c>
      <c r="C38" s="6" t="s">
        <v>29</v>
      </c>
      <c r="D38" s="6">
        <v>100</v>
      </c>
      <c r="E38" s="6">
        <v>50</v>
      </c>
      <c r="F38" s="6">
        <v>100</v>
      </c>
      <c r="G38" s="6">
        <v>100</v>
      </c>
      <c r="H38" s="6">
        <v>100</v>
      </c>
      <c r="I38" s="6">
        <v>100</v>
      </c>
      <c r="J38" s="6">
        <v>100</v>
      </c>
      <c r="K38" s="6">
        <v>100</v>
      </c>
      <c r="L38" s="6">
        <v>100</v>
      </c>
      <c r="M38" s="6">
        <v>0</v>
      </c>
      <c r="N38" s="6">
        <v>100</v>
      </c>
      <c r="O38" s="6">
        <v>80</v>
      </c>
      <c r="P38" s="6">
        <v>100</v>
      </c>
      <c r="Q38" s="6">
        <v>100</v>
      </c>
      <c r="R38" s="11"/>
    </row>
    <row r="39" spans="1:18" x14ac:dyDescent="0.35">
      <c r="A39" s="10">
        <v>28</v>
      </c>
      <c r="B39" s="6">
        <v>202530265</v>
      </c>
      <c r="C39" s="6" t="s">
        <v>30</v>
      </c>
      <c r="D39" s="6">
        <v>100</v>
      </c>
      <c r="E39" s="6">
        <v>100</v>
      </c>
      <c r="F39" s="6">
        <v>100</v>
      </c>
      <c r="G39" s="6">
        <v>100</v>
      </c>
      <c r="H39" s="6">
        <v>100</v>
      </c>
      <c r="I39" s="6">
        <v>90</v>
      </c>
      <c r="J39" s="6">
        <v>100</v>
      </c>
      <c r="K39" s="6">
        <v>100</v>
      </c>
      <c r="L39" s="6">
        <v>70</v>
      </c>
      <c r="M39" s="6">
        <v>100</v>
      </c>
      <c r="N39" s="6">
        <v>100</v>
      </c>
      <c r="O39" s="6">
        <v>90</v>
      </c>
      <c r="P39" s="6">
        <v>100</v>
      </c>
      <c r="Q39" s="6">
        <v>100</v>
      </c>
      <c r="R39" s="11"/>
    </row>
    <row r="40" spans="1:18" x14ac:dyDescent="0.35">
      <c r="A40" s="10">
        <v>29</v>
      </c>
      <c r="B40" s="6">
        <v>202530315</v>
      </c>
      <c r="C40" s="6" t="s">
        <v>31</v>
      </c>
      <c r="D40" s="6">
        <v>100</v>
      </c>
      <c r="E40" s="6">
        <v>50</v>
      </c>
      <c r="F40" s="6">
        <v>100</v>
      </c>
      <c r="G40" s="6">
        <v>100</v>
      </c>
      <c r="H40" s="6">
        <v>100</v>
      </c>
      <c r="I40" s="6">
        <v>100</v>
      </c>
      <c r="J40" s="6">
        <v>100</v>
      </c>
      <c r="K40" s="6">
        <v>100</v>
      </c>
      <c r="L40" s="6">
        <v>50</v>
      </c>
      <c r="M40" s="6">
        <v>100</v>
      </c>
      <c r="N40" s="6">
        <v>50</v>
      </c>
      <c r="O40" s="6">
        <v>80</v>
      </c>
      <c r="P40" s="6">
        <v>100</v>
      </c>
      <c r="Q40" s="6">
        <v>100</v>
      </c>
      <c r="R40" s="11"/>
    </row>
    <row r="41" spans="1:18" x14ac:dyDescent="0.35">
      <c r="A41" s="10">
        <v>30</v>
      </c>
      <c r="B41" s="6">
        <v>202530329</v>
      </c>
      <c r="C41" s="6" t="s">
        <v>32</v>
      </c>
      <c r="D41" s="6">
        <v>100</v>
      </c>
      <c r="E41" s="6">
        <v>50</v>
      </c>
      <c r="F41" s="6">
        <v>100</v>
      </c>
      <c r="G41" s="6">
        <v>0</v>
      </c>
      <c r="H41" s="6">
        <v>100</v>
      </c>
      <c r="I41" s="6">
        <v>95</v>
      </c>
      <c r="J41" s="6">
        <v>100</v>
      </c>
      <c r="K41" s="6">
        <v>100</v>
      </c>
      <c r="L41" s="6">
        <v>70</v>
      </c>
      <c r="M41" s="6">
        <v>85</v>
      </c>
      <c r="N41" s="6">
        <v>65</v>
      </c>
      <c r="O41" s="6">
        <v>80</v>
      </c>
      <c r="P41" s="6">
        <v>100</v>
      </c>
      <c r="Q41" s="6">
        <v>100</v>
      </c>
      <c r="R41" s="11"/>
    </row>
    <row r="42" spans="1:18" x14ac:dyDescent="0.35">
      <c r="A42" s="10">
        <v>31</v>
      </c>
      <c r="B42" s="6">
        <v>202530349</v>
      </c>
      <c r="C42" s="6" t="s">
        <v>33</v>
      </c>
      <c r="D42" s="6">
        <v>0</v>
      </c>
      <c r="E42" s="6">
        <v>50</v>
      </c>
      <c r="F42" s="6">
        <v>100</v>
      </c>
      <c r="G42" s="6">
        <v>100</v>
      </c>
      <c r="H42" s="6">
        <v>100</v>
      </c>
      <c r="I42" s="6">
        <v>75</v>
      </c>
      <c r="J42" s="6">
        <v>100</v>
      </c>
      <c r="K42" s="6">
        <v>100</v>
      </c>
      <c r="L42" s="6">
        <v>80</v>
      </c>
      <c r="M42" s="6">
        <v>90</v>
      </c>
      <c r="N42" s="6">
        <v>60</v>
      </c>
      <c r="O42" s="6">
        <v>100</v>
      </c>
      <c r="P42" s="6">
        <v>100</v>
      </c>
      <c r="Q42" s="6">
        <v>100</v>
      </c>
      <c r="R42" s="11"/>
    </row>
    <row r="43" spans="1:18" x14ac:dyDescent="0.35">
      <c r="A43" s="10">
        <v>32</v>
      </c>
      <c r="B43" s="6">
        <v>202530357</v>
      </c>
      <c r="C43" s="6" t="s">
        <v>34</v>
      </c>
      <c r="D43" s="6">
        <v>100</v>
      </c>
      <c r="E43" s="6">
        <v>50</v>
      </c>
      <c r="F43" s="6">
        <v>100</v>
      </c>
      <c r="G43" s="6">
        <v>100</v>
      </c>
      <c r="H43" s="6">
        <v>100</v>
      </c>
      <c r="I43" s="6">
        <v>100</v>
      </c>
      <c r="J43" s="6">
        <v>100</v>
      </c>
      <c r="K43" s="6">
        <v>100</v>
      </c>
      <c r="L43" s="6">
        <v>80</v>
      </c>
      <c r="M43" s="6">
        <v>65</v>
      </c>
      <c r="N43" s="6">
        <v>80</v>
      </c>
      <c r="O43" s="6">
        <v>100</v>
      </c>
      <c r="P43" s="6">
        <v>100</v>
      </c>
      <c r="Q43" s="6">
        <v>100</v>
      </c>
      <c r="R43" s="11"/>
    </row>
    <row r="44" spans="1:18" x14ac:dyDescent="0.35">
      <c r="A44" s="10">
        <v>33</v>
      </c>
      <c r="B44" s="6">
        <v>202530381</v>
      </c>
      <c r="C44" s="6" t="s">
        <v>35</v>
      </c>
      <c r="D44" s="6">
        <v>100</v>
      </c>
      <c r="E44" s="6">
        <v>100</v>
      </c>
      <c r="F44" s="6">
        <v>100</v>
      </c>
      <c r="G44" s="6">
        <v>100</v>
      </c>
      <c r="H44" s="6">
        <v>100</v>
      </c>
      <c r="I44" s="6">
        <v>100</v>
      </c>
      <c r="J44" s="6">
        <v>100</v>
      </c>
      <c r="K44" s="6">
        <v>100</v>
      </c>
      <c r="L44" s="6">
        <v>50</v>
      </c>
      <c r="M44" s="6">
        <v>90</v>
      </c>
      <c r="N44" s="6">
        <v>45</v>
      </c>
      <c r="O44" s="6">
        <v>80</v>
      </c>
      <c r="P44" s="6">
        <v>100</v>
      </c>
      <c r="Q44" s="6">
        <v>100</v>
      </c>
      <c r="R44" s="11"/>
    </row>
    <row r="45" spans="1:18" x14ac:dyDescent="0.35">
      <c r="A45" s="10">
        <v>34</v>
      </c>
      <c r="B45" s="6">
        <v>202530434</v>
      </c>
      <c r="C45" s="6" t="s">
        <v>36</v>
      </c>
      <c r="D45" s="6">
        <v>100</v>
      </c>
      <c r="E45" s="6">
        <v>50</v>
      </c>
      <c r="F45" s="6">
        <v>100</v>
      </c>
      <c r="G45" s="6">
        <v>90</v>
      </c>
      <c r="H45" s="6">
        <v>75</v>
      </c>
      <c r="I45" s="6">
        <v>55</v>
      </c>
      <c r="J45" s="6">
        <v>100</v>
      </c>
      <c r="K45" s="6">
        <v>100</v>
      </c>
      <c r="L45" s="6">
        <v>90</v>
      </c>
      <c r="M45" s="6">
        <v>75</v>
      </c>
      <c r="N45" s="6">
        <v>100</v>
      </c>
      <c r="O45" s="6">
        <v>95</v>
      </c>
      <c r="P45" s="6">
        <v>100</v>
      </c>
      <c r="Q45" s="6">
        <v>100</v>
      </c>
      <c r="R45" s="11"/>
    </row>
    <row r="46" spans="1:18" x14ac:dyDescent="0.35">
      <c r="A46" s="10">
        <v>35</v>
      </c>
      <c r="B46" s="6">
        <v>202530446</v>
      </c>
      <c r="C46" s="6" t="s">
        <v>37</v>
      </c>
      <c r="D46" s="6">
        <v>100</v>
      </c>
      <c r="E46" s="6">
        <v>50</v>
      </c>
      <c r="F46" s="6">
        <v>100</v>
      </c>
      <c r="G46" s="6">
        <v>0</v>
      </c>
      <c r="H46" s="6">
        <v>100</v>
      </c>
      <c r="I46" s="6">
        <v>100</v>
      </c>
      <c r="J46" s="6">
        <v>100</v>
      </c>
      <c r="K46" s="6">
        <v>100</v>
      </c>
      <c r="L46" s="6">
        <v>50</v>
      </c>
      <c r="M46" s="6">
        <v>85</v>
      </c>
      <c r="N46" s="6">
        <v>80</v>
      </c>
      <c r="O46" s="6">
        <v>100</v>
      </c>
      <c r="P46" s="6">
        <v>100</v>
      </c>
      <c r="Q46" s="6">
        <v>100</v>
      </c>
      <c r="R46" s="11"/>
    </row>
    <row r="47" spans="1:18" x14ac:dyDescent="0.35">
      <c r="A47" s="10">
        <v>36</v>
      </c>
      <c r="B47" s="6">
        <v>202530522</v>
      </c>
      <c r="C47" s="6" t="s">
        <v>38</v>
      </c>
      <c r="D47" s="6">
        <v>100</v>
      </c>
      <c r="E47" s="6">
        <v>50</v>
      </c>
      <c r="F47" s="6">
        <v>100</v>
      </c>
      <c r="G47" s="6">
        <v>0</v>
      </c>
      <c r="H47" s="6">
        <v>100</v>
      </c>
      <c r="I47" s="6">
        <v>100</v>
      </c>
      <c r="J47" s="6">
        <v>100</v>
      </c>
      <c r="K47" s="6">
        <v>100</v>
      </c>
      <c r="L47" s="6">
        <v>50</v>
      </c>
      <c r="M47" s="6">
        <v>80</v>
      </c>
      <c r="N47" s="6">
        <v>80</v>
      </c>
      <c r="O47" s="6">
        <v>0</v>
      </c>
      <c r="P47" s="6">
        <v>0</v>
      </c>
      <c r="Q47" s="6">
        <v>0</v>
      </c>
      <c r="R47" s="11"/>
    </row>
    <row r="48" spans="1:18" x14ac:dyDescent="0.35">
      <c r="A48" s="10">
        <v>37</v>
      </c>
      <c r="B48" s="6">
        <v>202530613</v>
      </c>
      <c r="C48" s="6" t="s">
        <v>39</v>
      </c>
      <c r="D48" s="6">
        <v>0</v>
      </c>
      <c r="E48" s="6">
        <v>100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11"/>
    </row>
    <row r="49" spans="1:18" x14ac:dyDescent="0.35">
      <c r="A49" s="10">
        <v>38</v>
      </c>
      <c r="B49" s="6">
        <v>202530621</v>
      </c>
      <c r="C49" s="6" t="s">
        <v>40</v>
      </c>
      <c r="D49" s="6">
        <v>100</v>
      </c>
      <c r="E49" s="6">
        <v>50</v>
      </c>
      <c r="F49" s="6">
        <v>100</v>
      </c>
      <c r="G49" s="6">
        <v>90</v>
      </c>
      <c r="H49" s="6">
        <v>70</v>
      </c>
      <c r="I49" s="6">
        <v>100</v>
      </c>
      <c r="J49" s="6">
        <v>100</v>
      </c>
      <c r="K49" s="6">
        <v>100</v>
      </c>
      <c r="L49" s="6">
        <v>70</v>
      </c>
      <c r="M49" s="6">
        <v>60</v>
      </c>
      <c r="N49" s="6">
        <v>65</v>
      </c>
      <c r="O49" s="6">
        <v>80</v>
      </c>
      <c r="P49" s="6">
        <v>100</v>
      </c>
      <c r="Q49" s="6">
        <v>100</v>
      </c>
      <c r="R49" s="11"/>
    </row>
    <row r="50" spans="1:18" x14ac:dyDescent="0.35">
      <c r="A50" s="10">
        <v>39</v>
      </c>
      <c r="B50" s="6">
        <v>202530673</v>
      </c>
      <c r="C50" s="6" t="s">
        <v>41</v>
      </c>
      <c r="D50" s="6">
        <v>0</v>
      </c>
      <c r="E50" s="6">
        <v>50</v>
      </c>
      <c r="F50" s="6">
        <v>0</v>
      </c>
      <c r="G50" s="6">
        <v>100</v>
      </c>
      <c r="H50" s="6">
        <v>0</v>
      </c>
      <c r="I50" s="6">
        <v>100</v>
      </c>
      <c r="J50" s="6">
        <v>100</v>
      </c>
      <c r="K50" s="6">
        <v>100</v>
      </c>
      <c r="L50" s="6">
        <v>70</v>
      </c>
      <c r="M50" s="6">
        <v>95</v>
      </c>
      <c r="N50" s="6">
        <v>0</v>
      </c>
      <c r="O50" s="6">
        <v>50</v>
      </c>
      <c r="P50" s="6">
        <v>0</v>
      </c>
      <c r="Q50" s="6">
        <v>100</v>
      </c>
      <c r="R50" s="11"/>
    </row>
    <row r="51" spans="1:18" x14ac:dyDescent="0.35">
      <c r="A51" s="10">
        <v>40</v>
      </c>
      <c r="B51" s="6">
        <v>202530674</v>
      </c>
      <c r="C51" s="6" t="s">
        <v>42</v>
      </c>
      <c r="D51" s="6">
        <v>0</v>
      </c>
      <c r="E51" s="6">
        <v>50</v>
      </c>
      <c r="F51" s="6">
        <v>50</v>
      </c>
      <c r="G51" s="6">
        <v>0</v>
      </c>
      <c r="H51" s="6">
        <v>100</v>
      </c>
      <c r="I51" s="6">
        <v>100</v>
      </c>
      <c r="J51" s="6">
        <v>90</v>
      </c>
      <c r="K51" s="6">
        <v>100</v>
      </c>
      <c r="L51" s="6">
        <v>50</v>
      </c>
      <c r="M51" s="6">
        <v>85</v>
      </c>
      <c r="N51" s="6">
        <v>70</v>
      </c>
      <c r="O51" s="6">
        <v>0</v>
      </c>
      <c r="P51" s="6">
        <v>0</v>
      </c>
      <c r="Q51" s="6">
        <v>0</v>
      </c>
      <c r="R51" s="11"/>
    </row>
    <row r="52" spans="1:18" x14ac:dyDescent="0.35">
      <c r="A52" s="10">
        <v>41</v>
      </c>
      <c r="B52" s="6">
        <v>202530677</v>
      </c>
      <c r="C52" s="6" t="s">
        <v>43</v>
      </c>
      <c r="D52" s="6">
        <v>100</v>
      </c>
      <c r="E52" s="6">
        <v>50</v>
      </c>
      <c r="F52" s="6">
        <v>100</v>
      </c>
      <c r="G52" s="6">
        <v>0</v>
      </c>
      <c r="H52" s="6">
        <v>100</v>
      </c>
      <c r="I52" s="6">
        <v>0</v>
      </c>
      <c r="J52" s="6">
        <v>100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11"/>
    </row>
    <row r="53" spans="1:18" x14ac:dyDescent="0.35">
      <c r="A53" s="10">
        <v>42</v>
      </c>
      <c r="B53" s="6">
        <v>202530728</v>
      </c>
      <c r="C53" s="6" t="s">
        <v>44</v>
      </c>
      <c r="D53" s="6">
        <v>100</v>
      </c>
      <c r="E53" s="6">
        <v>50</v>
      </c>
      <c r="F53" s="6">
        <v>100</v>
      </c>
      <c r="G53" s="6">
        <v>0</v>
      </c>
      <c r="H53" s="6">
        <v>100</v>
      </c>
      <c r="I53" s="6">
        <v>100</v>
      </c>
      <c r="J53" s="6">
        <v>0</v>
      </c>
      <c r="K53" s="6">
        <v>100</v>
      </c>
      <c r="L53" s="6">
        <v>70</v>
      </c>
      <c r="M53" s="6">
        <v>85</v>
      </c>
      <c r="N53" s="6">
        <v>50</v>
      </c>
      <c r="O53" s="6">
        <v>80</v>
      </c>
      <c r="P53" s="6">
        <v>100</v>
      </c>
      <c r="Q53" s="6">
        <v>100</v>
      </c>
      <c r="R53" s="11"/>
    </row>
    <row r="54" spans="1:18" x14ac:dyDescent="0.35">
      <c r="A54" s="10">
        <v>43</v>
      </c>
      <c r="B54" s="6">
        <v>202530843</v>
      </c>
      <c r="C54" s="6" t="s">
        <v>45</v>
      </c>
      <c r="D54" s="6">
        <v>0</v>
      </c>
      <c r="E54" s="6">
        <v>50</v>
      </c>
      <c r="F54" s="6">
        <v>0</v>
      </c>
      <c r="G54" s="6">
        <v>0</v>
      </c>
      <c r="H54" s="6">
        <v>100</v>
      </c>
      <c r="I54" s="6">
        <v>100</v>
      </c>
      <c r="J54" s="6">
        <v>0</v>
      </c>
      <c r="K54" s="6">
        <v>100</v>
      </c>
      <c r="L54" s="6">
        <v>70</v>
      </c>
      <c r="M54" s="6">
        <v>85</v>
      </c>
      <c r="N54" s="6">
        <v>85</v>
      </c>
      <c r="O54" s="6">
        <v>80</v>
      </c>
      <c r="P54" s="6">
        <v>100</v>
      </c>
      <c r="Q54" s="6">
        <v>100</v>
      </c>
      <c r="R54" s="11"/>
    </row>
    <row r="55" spans="1:18" x14ac:dyDescent="0.35">
      <c r="A55" s="10">
        <v>44</v>
      </c>
      <c r="B55" s="6">
        <v>202530866</v>
      </c>
      <c r="C55" s="6" t="s">
        <v>46</v>
      </c>
      <c r="D55" s="6">
        <v>100</v>
      </c>
      <c r="E55" s="35">
        <v>100</v>
      </c>
      <c r="F55" s="6">
        <v>100</v>
      </c>
      <c r="G55" s="6">
        <v>90</v>
      </c>
      <c r="H55" s="6">
        <v>100</v>
      </c>
      <c r="I55" s="6">
        <v>100</v>
      </c>
      <c r="J55" s="6">
        <v>90</v>
      </c>
      <c r="K55" s="6">
        <v>100</v>
      </c>
      <c r="L55" s="6">
        <v>50</v>
      </c>
      <c r="M55" s="6">
        <v>85</v>
      </c>
      <c r="N55" s="6">
        <v>55</v>
      </c>
      <c r="O55" s="6">
        <v>100</v>
      </c>
      <c r="P55" s="6">
        <v>100</v>
      </c>
      <c r="Q55" s="6">
        <v>100</v>
      </c>
      <c r="R55" s="11"/>
    </row>
    <row r="56" spans="1:18" x14ac:dyDescent="0.35">
      <c r="A56" s="10">
        <v>45</v>
      </c>
      <c r="B56" s="6">
        <v>202530917</v>
      </c>
      <c r="C56" s="6" t="s">
        <v>47</v>
      </c>
      <c r="D56" s="6">
        <v>0</v>
      </c>
      <c r="E56" s="6">
        <v>50</v>
      </c>
      <c r="F56" s="6">
        <v>50</v>
      </c>
      <c r="G56" s="6">
        <v>100</v>
      </c>
      <c r="H56" s="6">
        <v>75</v>
      </c>
      <c r="I56" s="6">
        <v>100</v>
      </c>
      <c r="J56" s="6">
        <v>100</v>
      </c>
      <c r="K56" s="6">
        <v>100</v>
      </c>
      <c r="L56" s="6">
        <v>90</v>
      </c>
      <c r="M56" s="6">
        <v>95</v>
      </c>
      <c r="N56" s="6">
        <v>65</v>
      </c>
      <c r="O56" s="6">
        <v>100</v>
      </c>
      <c r="P56" s="6">
        <v>100</v>
      </c>
      <c r="Q56" s="6">
        <v>100</v>
      </c>
      <c r="R56" s="11"/>
    </row>
    <row r="57" spans="1:18" x14ac:dyDescent="0.35">
      <c r="A57" s="10">
        <v>46</v>
      </c>
      <c r="B57" s="6">
        <v>202531013</v>
      </c>
      <c r="C57" s="6" t="s">
        <v>48</v>
      </c>
      <c r="D57" s="6">
        <v>100</v>
      </c>
      <c r="E57" s="6">
        <v>50</v>
      </c>
      <c r="F57" s="6">
        <v>100</v>
      </c>
      <c r="G57" s="6">
        <v>90</v>
      </c>
      <c r="H57" s="6">
        <v>100</v>
      </c>
      <c r="I57" s="6">
        <v>75</v>
      </c>
      <c r="J57" s="6">
        <v>100</v>
      </c>
      <c r="K57" s="6">
        <v>100</v>
      </c>
      <c r="L57" s="6">
        <v>100</v>
      </c>
      <c r="M57" s="6">
        <v>90</v>
      </c>
      <c r="N57" s="6">
        <v>70</v>
      </c>
      <c r="O57" s="6">
        <v>100</v>
      </c>
      <c r="P57" s="6">
        <v>100</v>
      </c>
      <c r="Q57" s="6">
        <v>100</v>
      </c>
      <c r="R57" s="11"/>
    </row>
    <row r="58" spans="1:18" x14ac:dyDescent="0.35">
      <c r="A58" s="10">
        <v>47</v>
      </c>
      <c r="B58" s="6">
        <v>202531019</v>
      </c>
      <c r="C58" s="6" t="s">
        <v>49</v>
      </c>
      <c r="D58" s="6">
        <v>0</v>
      </c>
      <c r="E58" s="6">
        <v>50</v>
      </c>
      <c r="F58" s="6">
        <v>100</v>
      </c>
      <c r="G58" s="6">
        <v>90</v>
      </c>
      <c r="H58" s="6">
        <v>100</v>
      </c>
      <c r="I58" s="6">
        <v>55</v>
      </c>
      <c r="J58" s="6">
        <v>100</v>
      </c>
      <c r="K58" s="6">
        <v>100</v>
      </c>
      <c r="L58" s="6">
        <v>95</v>
      </c>
      <c r="M58" s="6">
        <v>0</v>
      </c>
      <c r="N58" s="6">
        <v>55</v>
      </c>
      <c r="O58" s="6">
        <v>100</v>
      </c>
      <c r="P58" s="6">
        <v>100</v>
      </c>
      <c r="Q58" s="6">
        <v>100</v>
      </c>
      <c r="R58" s="11"/>
    </row>
    <row r="59" spans="1:18" x14ac:dyDescent="0.35">
      <c r="A59" s="10">
        <v>48</v>
      </c>
      <c r="B59" s="6">
        <v>202531089</v>
      </c>
      <c r="C59" s="6" t="s">
        <v>50</v>
      </c>
      <c r="D59" s="6">
        <v>100</v>
      </c>
      <c r="E59" s="35">
        <v>100</v>
      </c>
      <c r="F59" s="6">
        <v>100</v>
      </c>
      <c r="G59" s="6">
        <v>90</v>
      </c>
      <c r="H59" s="6">
        <v>70</v>
      </c>
      <c r="I59" s="6">
        <v>100</v>
      </c>
      <c r="J59" s="6">
        <v>90</v>
      </c>
      <c r="K59" s="6">
        <v>100</v>
      </c>
      <c r="L59" s="6">
        <v>50</v>
      </c>
      <c r="M59" s="6">
        <v>85</v>
      </c>
      <c r="N59" s="6">
        <v>55</v>
      </c>
      <c r="O59" s="6">
        <v>100</v>
      </c>
      <c r="P59" s="6">
        <v>100</v>
      </c>
      <c r="Q59" s="6">
        <v>100</v>
      </c>
      <c r="R59" s="11"/>
    </row>
    <row r="60" spans="1:18" x14ac:dyDescent="0.35">
      <c r="A60" s="10">
        <v>49</v>
      </c>
      <c r="B60" s="6">
        <v>202531127</v>
      </c>
      <c r="C60" s="6" t="s">
        <v>51</v>
      </c>
      <c r="D60" s="6">
        <v>0</v>
      </c>
      <c r="E60" s="6">
        <v>50</v>
      </c>
      <c r="F60" s="6">
        <v>100</v>
      </c>
      <c r="G60" s="6">
        <v>0</v>
      </c>
      <c r="H60" s="6">
        <v>0</v>
      </c>
      <c r="I60" s="6">
        <v>100</v>
      </c>
      <c r="J60" s="6">
        <v>0</v>
      </c>
      <c r="K60" s="6">
        <v>100</v>
      </c>
      <c r="L60" s="6">
        <v>70</v>
      </c>
      <c r="M60" s="6">
        <v>85</v>
      </c>
      <c r="N60" s="6">
        <v>85</v>
      </c>
      <c r="O60" s="6">
        <v>80</v>
      </c>
      <c r="P60" s="6">
        <v>100</v>
      </c>
      <c r="Q60" s="6">
        <v>100</v>
      </c>
      <c r="R60" s="11"/>
    </row>
    <row r="61" spans="1:18" x14ac:dyDescent="0.35">
      <c r="A61" s="10">
        <v>50</v>
      </c>
      <c r="B61" s="6">
        <v>202531213</v>
      </c>
      <c r="C61" s="6" t="s">
        <v>52</v>
      </c>
      <c r="D61" s="6">
        <v>100</v>
      </c>
      <c r="E61" s="6">
        <v>100</v>
      </c>
      <c r="F61" s="6">
        <v>100</v>
      </c>
      <c r="G61" s="6">
        <v>90</v>
      </c>
      <c r="H61" s="6">
        <v>100</v>
      </c>
      <c r="I61" s="6">
        <v>90</v>
      </c>
      <c r="J61" s="6">
        <v>100</v>
      </c>
      <c r="K61" s="6">
        <v>100</v>
      </c>
      <c r="L61" s="6">
        <v>80</v>
      </c>
      <c r="M61" s="6">
        <v>100</v>
      </c>
      <c r="N61" s="6">
        <v>100</v>
      </c>
      <c r="O61" s="6">
        <v>90</v>
      </c>
      <c r="P61" s="6">
        <v>100</v>
      </c>
      <c r="Q61" s="6">
        <v>100</v>
      </c>
      <c r="R61" s="11"/>
    </row>
    <row r="62" spans="1:18" x14ac:dyDescent="0.35">
      <c r="A62" s="10">
        <v>51</v>
      </c>
      <c r="B62" s="6">
        <v>202531219</v>
      </c>
      <c r="C62" s="6" t="s">
        <v>53</v>
      </c>
      <c r="D62" s="6">
        <v>0</v>
      </c>
      <c r="E62" s="6">
        <v>50</v>
      </c>
      <c r="F62" s="6">
        <v>100</v>
      </c>
      <c r="G62" s="6">
        <v>100</v>
      </c>
      <c r="H62" s="6">
        <v>75</v>
      </c>
      <c r="I62" s="6">
        <v>90</v>
      </c>
      <c r="J62" s="6">
        <v>100</v>
      </c>
      <c r="K62" s="6">
        <v>80</v>
      </c>
      <c r="L62" s="6">
        <v>70</v>
      </c>
      <c r="M62" s="6">
        <v>45</v>
      </c>
      <c r="N62" s="6">
        <v>0</v>
      </c>
      <c r="O62" s="6">
        <v>80</v>
      </c>
      <c r="P62" s="6">
        <v>100</v>
      </c>
      <c r="Q62" s="6">
        <v>100</v>
      </c>
      <c r="R62" s="11"/>
    </row>
    <row r="63" spans="1:18" x14ac:dyDescent="0.35">
      <c r="A63" s="10">
        <v>52</v>
      </c>
      <c r="B63" s="6">
        <v>202531289</v>
      </c>
      <c r="C63" s="6" t="s">
        <v>54</v>
      </c>
      <c r="D63" s="6">
        <v>100</v>
      </c>
      <c r="E63" s="6">
        <v>50</v>
      </c>
      <c r="F63" s="6">
        <v>100</v>
      </c>
      <c r="G63" s="6">
        <v>100</v>
      </c>
      <c r="H63" s="6">
        <v>85</v>
      </c>
      <c r="I63" s="6">
        <v>100</v>
      </c>
      <c r="J63" s="6">
        <v>100</v>
      </c>
      <c r="K63" s="6">
        <v>100</v>
      </c>
      <c r="L63" s="6">
        <v>100</v>
      </c>
      <c r="M63" s="6">
        <v>95</v>
      </c>
      <c r="N63" s="6">
        <v>85</v>
      </c>
      <c r="O63" s="6">
        <v>95</v>
      </c>
      <c r="P63" s="6">
        <v>0</v>
      </c>
      <c r="Q63" s="6">
        <v>100</v>
      </c>
      <c r="R63" s="11"/>
    </row>
    <row r="64" spans="1:18" x14ac:dyDescent="0.35">
      <c r="A64" s="10">
        <v>53</v>
      </c>
      <c r="B64" s="6">
        <v>202531319</v>
      </c>
      <c r="C64" s="6" t="s">
        <v>55</v>
      </c>
      <c r="D64" s="6">
        <v>100</v>
      </c>
      <c r="E64" s="6">
        <v>50</v>
      </c>
      <c r="F64" s="6">
        <v>50</v>
      </c>
      <c r="G64" s="6">
        <v>100</v>
      </c>
      <c r="H64" s="6">
        <v>75</v>
      </c>
      <c r="I64" s="6">
        <v>100</v>
      </c>
      <c r="J64" s="6">
        <v>100</v>
      </c>
      <c r="K64" s="6">
        <v>100</v>
      </c>
      <c r="L64" s="6">
        <v>50</v>
      </c>
      <c r="M64" s="6">
        <v>0</v>
      </c>
      <c r="N64" s="6">
        <v>50</v>
      </c>
      <c r="O64" s="6">
        <v>100</v>
      </c>
      <c r="P64" s="6">
        <v>100</v>
      </c>
      <c r="Q64" s="6">
        <v>100</v>
      </c>
      <c r="R64" s="11"/>
    </row>
    <row r="65" spans="1:18" x14ac:dyDescent="0.35">
      <c r="A65" s="10">
        <v>54</v>
      </c>
      <c r="B65" s="6">
        <v>202531351</v>
      </c>
      <c r="C65" s="6" t="s">
        <v>56</v>
      </c>
      <c r="D65" s="6">
        <v>100</v>
      </c>
      <c r="E65" s="6">
        <v>100</v>
      </c>
      <c r="F65" s="6">
        <v>100</v>
      </c>
      <c r="G65" s="6">
        <v>90</v>
      </c>
      <c r="H65" s="6">
        <v>100</v>
      </c>
      <c r="I65" s="6">
        <v>100</v>
      </c>
      <c r="J65" s="6">
        <v>100</v>
      </c>
      <c r="K65" s="6">
        <v>100</v>
      </c>
      <c r="L65" s="6">
        <v>80</v>
      </c>
      <c r="M65" s="6">
        <v>90</v>
      </c>
      <c r="N65" s="6">
        <v>100</v>
      </c>
      <c r="O65" s="6">
        <v>90</v>
      </c>
      <c r="P65" s="6">
        <v>100</v>
      </c>
      <c r="Q65" s="6">
        <v>100</v>
      </c>
      <c r="R65" s="11"/>
    </row>
    <row r="66" spans="1:18" x14ac:dyDescent="0.35">
      <c r="A66" s="10">
        <v>55</v>
      </c>
      <c r="B66" s="6">
        <v>202531352</v>
      </c>
      <c r="C66" s="6" t="s">
        <v>57</v>
      </c>
      <c r="D66" s="6">
        <v>100</v>
      </c>
      <c r="E66" s="6">
        <v>50</v>
      </c>
      <c r="F66" s="6">
        <v>100</v>
      </c>
      <c r="G66" s="6">
        <v>100</v>
      </c>
      <c r="H66" s="6">
        <v>100</v>
      </c>
      <c r="I66" s="6">
        <v>100</v>
      </c>
      <c r="J66" s="6">
        <v>100</v>
      </c>
      <c r="K66" s="6">
        <v>100</v>
      </c>
      <c r="L66" s="6">
        <v>70</v>
      </c>
      <c r="M66" s="6">
        <v>0</v>
      </c>
      <c r="N66" s="6">
        <v>75</v>
      </c>
      <c r="O66" s="6">
        <v>80</v>
      </c>
      <c r="P66" s="6">
        <v>0</v>
      </c>
      <c r="Q66" s="6">
        <v>100</v>
      </c>
      <c r="R66" s="11"/>
    </row>
    <row r="67" spans="1:18" x14ac:dyDescent="0.35">
      <c r="A67" s="10">
        <v>56</v>
      </c>
      <c r="B67" s="6">
        <v>202531384</v>
      </c>
      <c r="C67" s="6" t="s">
        <v>58</v>
      </c>
      <c r="D67" s="6">
        <v>100</v>
      </c>
      <c r="E67" s="6">
        <v>100</v>
      </c>
      <c r="F67" s="6">
        <v>50</v>
      </c>
      <c r="G67" s="6">
        <v>90</v>
      </c>
      <c r="H67" s="6">
        <v>100</v>
      </c>
      <c r="I67" s="6">
        <v>100</v>
      </c>
      <c r="J67" s="6">
        <v>100</v>
      </c>
      <c r="K67" s="6">
        <v>100</v>
      </c>
      <c r="L67" s="6">
        <v>70</v>
      </c>
      <c r="M67" s="6">
        <v>100</v>
      </c>
      <c r="N67" s="6">
        <v>90</v>
      </c>
      <c r="O67" s="6">
        <v>80</v>
      </c>
      <c r="P67" s="6">
        <v>100</v>
      </c>
      <c r="Q67" s="6">
        <v>100</v>
      </c>
      <c r="R67" s="11"/>
    </row>
    <row r="68" spans="1:18" x14ac:dyDescent="0.35">
      <c r="A68" s="10">
        <v>57</v>
      </c>
      <c r="B68" s="6">
        <v>202531399</v>
      </c>
      <c r="C68" s="6" t="s">
        <v>59</v>
      </c>
      <c r="D68" s="6">
        <v>0</v>
      </c>
      <c r="E68" s="6">
        <v>50</v>
      </c>
      <c r="F68" s="6">
        <v>50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11"/>
    </row>
    <row r="69" spans="1:18" x14ac:dyDescent="0.35">
      <c r="A69" s="10">
        <v>58</v>
      </c>
      <c r="B69" s="6">
        <v>202531441</v>
      </c>
      <c r="C69" s="6" t="s">
        <v>60</v>
      </c>
      <c r="D69" s="6">
        <v>0</v>
      </c>
      <c r="E69" s="6">
        <v>50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11"/>
    </row>
    <row r="70" spans="1:18" x14ac:dyDescent="0.35">
      <c r="A70" s="10">
        <v>59</v>
      </c>
      <c r="B70" s="6">
        <v>202531444</v>
      </c>
      <c r="C70" s="6" t="s">
        <v>61</v>
      </c>
      <c r="D70" s="6">
        <v>100</v>
      </c>
      <c r="E70" s="6">
        <v>50</v>
      </c>
      <c r="F70" s="6">
        <v>100</v>
      </c>
      <c r="G70" s="6">
        <v>90</v>
      </c>
      <c r="H70" s="6">
        <v>100</v>
      </c>
      <c r="I70" s="6">
        <v>95</v>
      </c>
      <c r="J70" s="6">
        <v>100</v>
      </c>
      <c r="K70" s="6">
        <v>100</v>
      </c>
      <c r="L70" s="6">
        <v>50</v>
      </c>
      <c r="M70" s="6">
        <v>90</v>
      </c>
      <c r="N70" s="6">
        <v>65</v>
      </c>
      <c r="O70" s="6">
        <v>100</v>
      </c>
      <c r="P70" s="6">
        <v>100</v>
      </c>
      <c r="Q70" s="6">
        <v>100</v>
      </c>
      <c r="R70" s="11"/>
    </row>
    <row r="71" spans="1:18" x14ac:dyDescent="0.35">
      <c r="A71" s="10">
        <v>60</v>
      </c>
      <c r="B71" s="6">
        <v>202531566</v>
      </c>
      <c r="C71" s="6" t="s">
        <v>62</v>
      </c>
      <c r="D71" s="6">
        <v>100</v>
      </c>
      <c r="E71" s="6">
        <v>50</v>
      </c>
      <c r="F71" s="6">
        <v>100</v>
      </c>
      <c r="G71" s="6">
        <v>90</v>
      </c>
      <c r="H71" s="6">
        <v>100</v>
      </c>
      <c r="I71" s="6">
        <v>85</v>
      </c>
      <c r="J71" s="6">
        <v>100</v>
      </c>
      <c r="K71" s="6">
        <v>100</v>
      </c>
      <c r="L71" s="6">
        <v>70</v>
      </c>
      <c r="M71" s="6">
        <v>75</v>
      </c>
      <c r="N71" s="6">
        <v>55</v>
      </c>
      <c r="O71" s="6">
        <v>95</v>
      </c>
      <c r="P71" s="6">
        <v>100</v>
      </c>
      <c r="Q71" s="6">
        <v>100</v>
      </c>
      <c r="R71" s="11"/>
    </row>
    <row r="72" spans="1:18" x14ac:dyDescent="0.35">
      <c r="A72" s="10">
        <v>61</v>
      </c>
      <c r="B72" s="6">
        <v>202531611</v>
      </c>
      <c r="C72" s="6" t="s">
        <v>63</v>
      </c>
      <c r="D72" s="6">
        <v>100</v>
      </c>
      <c r="E72" s="6">
        <v>50</v>
      </c>
      <c r="F72" s="6">
        <v>100</v>
      </c>
      <c r="G72" s="6">
        <v>0</v>
      </c>
      <c r="H72" s="6">
        <v>75</v>
      </c>
      <c r="I72" s="6">
        <v>100</v>
      </c>
      <c r="J72" s="6">
        <v>100</v>
      </c>
      <c r="K72" s="6">
        <v>100</v>
      </c>
      <c r="L72" s="6">
        <v>70</v>
      </c>
      <c r="M72" s="6">
        <v>45</v>
      </c>
      <c r="N72" s="6">
        <v>75</v>
      </c>
      <c r="O72" s="6">
        <v>0</v>
      </c>
      <c r="P72" s="6">
        <v>0</v>
      </c>
      <c r="Q72" s="6">
        <v>100</v>
      </c>
      <c r="R72" s="11"/>
    </row>
    <row r="73" spans="1:18" x14ac:dyDescent="0.35">
      <c r="A73" s="10">
        <v>62</v>
      </c>
      <c r="B73" s="6">
        <v>202531645</v>
      </c>
      <c r="C73" s="6" t="s">
        <v>64</v>
      </c>
      <c r="D73" s="6">
        <v>100</v>
      </c>
      <c r="E73" s="6">
        <v>100</v>
      </c>
      <c r="F73" s="6">
        <v>100</v>
      </c>
      <c r="G73" s="6">
        <v>90</v>
      </c>
      <c r="H73" s="6">
        <v>100</v>
      </c>
      <c r="I73" s="6">
        <v>100</v>
      </c>
      <c r="J73" s="6">
        <v>100</v>
      </c>
      <c r="K73" s="6">
        <v>0</v>
      </c>
      <c r="L73" s="6">
        <v>40</v>
      </c>
      <c r="M73" s="6">
        <v>90</v>
      </c>
      <c r="N73" s="6">
        <v>100</v>
      </c>
      <c r="O73" s="6">
        <v>90</v>
      </c>
      <c r="P73" s="6">
        <v>100</v>
      </c>
      <c r="Q73" s="6">
        <v>100</v>
      </c>
      <c r="R73" s="11"/>
    </row>
    <row r="74" spans="1:18" x14ac:dyDescent="0.35">
      <c r="A74" s="10">
        <v>63</v>
      </c>
      <c r="B74" s="6">
        <v>202531663</v>
      </c>
      <c r="C74" s="6" t="s">
        <v>65</v>
      </c>
      <c r="D74" s="6">
        <v>100</v>
      </c>
      <c r="E74" s="6">
        <v>50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11"/>
    </row>
    <row r="75" spans="1:18" x14ac:dyDescent="0.35">
      <c r="A75" s="10">
        <v>64</v>
      </c>
      <c r="B75" s="6">
        <v>202531724</v>
      </c>
      <c r="C75" s="6" t="s">
        <v>66</v>
      </c>
      <c r="D75" s="6">
        <v>100</v>
      </c>
      <c r="E75" s="6">
        <v>50</v>
      </c>
      <c r="F75" s="6">
        <v>50</v>
      </c>
      <c r="G75" s="6">
        <v>90</v>
      </c>
      <c r="H75" s="6">
        <v>40</v>
      </c>
      <c r="I75" s="6">
        <v>85</v>
      </c>
      <c r="J75" s="6">
        <v>100</v>
      </c>
      <c r="K75" s="6">
        <v>100</v>
      </c>
      <c r="L75" s="6">
        <v>70</v>
      </c>
      <c r="M75" s="6">
        <v>75</v>
      </c>
      <c r="N75" s="6">
        <v>70</v>
      </c>
      <c r="O75" s="6">
        <v>100</v>
      </c>
      <c r="P75" s="6">
        <v>100</v>
      </c>
      <c r="Q75" s="6">
        <v>100</v>
      </c>
      <c r="R75" s="11"/>
    </row>
    <row r="76" spans="1:18" x14ac:dyDescent="0.35">
      <c r="A76" s="10">
        <v>65</v>
      </c>
      <c r="B76" s="6">
        <v>202531736</v>
      </c>
      <c r="C76" s="6" t="s">
        <v>67</v>
      </c>
      <c r="D76" s="6">
        <v>100</v>
      </c>
      <c r="E76" s="6">
        <v>50</v>
      </c>
      <c r="F76" s="6">
        <v>100</v>
      </c>
      <c r="G76" s="6">
        <v>0</v>
      </c>
      <c r="H76" s="6">
        <v>0</v>
      </c>
      <c r="I76" s="6">
        <v>100</v>
      </c>
      <c r="J76" s="6">
        <v>100</v>
      </c>
      <c r="K76" s="6">
        <v>100</v>
      </c>
      <c r="L76" s="6">
        <v>0</v>
      </c>
      <c r="M76" s="6">
        <v>60</v>
      </c>
      <c r="N76" s="6">
        <v>65</v>
      </c>
      <c r="O76" s="6">
        <v>80</v>
      </c>
      <c r="P76" s="6">
        <v>100</v>
      </c>
      <c r="Q76" s="6">
        <v>100</v>
      </c>
      <c r="R76" s="11"/>
    </row>
    <row r="77" spans="1:18" s="37" customFormat="1" x14ac:dyDescent="0.35">
      <c r="A77" s="34">
        <v>66</v>
      </c>
      <c r="B77" s="35">
        <v>202531778</v>
      </c>
      <c r="C77" s="35" t="s">
        <v>68</v>
      </c>
      <c r="D77" s="35">
        <v>100</v>
      </c>
      <c r="E77" s="35">
        <v>50</v>
      </c>
      <c r="F77" s="35">
        <v>100</v>
      </c>
      <c r="G77" s="35">
        <v>90</v>
      </c>
      <c r="H77" s="35">
        <v>75</v>
      </c>
      <c r="I77" s="35">
        <v>85</v>
      </c>
      <c r="J77" s="35">
        <v>100</v>
      </c>
      <c r="K77" s="35">
        <v>100</v>
      </c>
      <c r="L77" s="35">
        <v>70</v>
      </c>
      <c r="M77" s="6">
        <v>90</v>
      </c>
      <c r="N77" s="35">
        <v>100</v>
      </c>
      <c r="O77" s="35">
        <v>100</v>
      </c>
      <c r="P77" s="35">
        <v>100</v>
      </c>
      <c r="Q77" s="35">
        <v>100</v>
      </c>
      <c r="R77" s="36"/>
    </row>
    <row r="78" spans="1:18" x14ac:dyDescent="0.35">
      <c r="A78" s="10">
        <v>67</v>
      </c>
      <c r="B78" s="6">
        <v>202531844</v>
      </c>
      <c r="C78" s="6" t="s">
        <v>69</v>
      </c>
      <c r="D78" s="6">
        <v>100</v>
      </c>
      <c r="E78" s="6">
        <v>50</v>
      </c>
      <c r="F78" s="6">
        <v>100</v>
      </c>
      <c r="G78" s="6">
        <v>100</v>
      </c>
      <c r="H78" s="6">
        <v>100</v>
      </c>
      <c r="I78" s="6">
        <v>100</v>
      </c>
      <c r="J78" s="6">
        <v>100</v>
      </c>
      <c r="K78" s="6">
        <v>100</v>
      </c>
      <c r="L78" s="6">
        <v>100</v>
      </c>
      <c r="M78" s="6">
        <v>0</v>
      </c>
      <c r="N78" s="6">
        <v>100</v>
      </c>
      <c r="O78" s="6">
        <v>0</v>
      </c>
      <c r="P78" s="6">
        <v>0</v>
      </c>
      <c r="Q78" s="6">
        <v>0</v>
      </c>
      <c r="R78" s="11"/>
    </row>
    <row r="79" spans="1:18" x14ac:dyDescent="0.35">
      <c r="A79" s="10">
        <v>68</v>
      </c>
      <c r="B79" s="6">
        <v>202531883</v>
      </c>
      <c r="C79" s="6" t="s">
        <v>70</v>
      </c>
      <c r="D79" s="6">
        <v>100</v>
      </c>
      <c r="E79" s="6">
        <v>50</v>
      </c>
      <c r="F79" s="6">
        <v>100</v>
      </c>
      <c r="G79" s="6">
        <v>100</v>
      </c>
      <c r="H79" s="6">
        <v>85</v>
      </c>
      <c r="I79" s="6">
        <v>100</v>
      </c>
      <c r="J79" s="6">
        <v>100</v>
      </c>
      <c r="K79" s="6">
        <v>100</v>
      </c>
      <c r="L79" s="6">
        <v>90</v>
      </c>
      <c r="M79" s="6">
        <v>95</v>
      </c>
      <c r="N79" s="6">
        <v>85</v>
      </c>
      <c r="O79" s="6">
        <v>95</v>
      </c>
      <c r="P79" s="6">
        <v>0</v>
      </c>
      <c r="Q79" s="6">
        <v>100</v>
      </c>
      <c r="R79" s="11"/>
    </row>
    <row r="80" spans="1:18" x14ac:dyDescent="0.35">
      <c r="A80" s="10">
        <v>69</v>
      </c>
      <c r="B80" s="6">
        <v>202531947</v>
      </c>
      <c r="C80" s="6" t="s">
        <v>71</v>
      </c>
      <c r="D80" s="6">
        <v>100</v>
      </c>
      <c r="E80" s="6">
        <v>50</v>
      </c>
      <c r="F80" s="6">
        <v>100</v>
      </c>
      <c r="G80" s="6">
        <v>0</v>
      </c>
      <c r="H80" s="6">
        <v>85</v>
      </c>
      <c r="I80" s="6">
        <v>75</v>
      </c>
      <c r="J80" s="6">
        <v>100</v>
      </c>
      <c r="K80" s="6">
        <v>100</v>
      </c>
      <c r="L80" s="6">
        <v>50</v>
      </c>
      <c r="M80" s="6">
        <v>90</v>
      </c>
      <c r="N80" s="6">
        <v>70</v>
      </c>
      <c r="O80" s="6">
        <v>0</v>
      </c>
      <c r="P80" s="6">
        <v>0</v>
      </c>
      <c r="Q80" s="6">
        <v>0</v>
      </c>
      <c r="R80" s="11"/>
    </row>
    <row r="81" spans="1:18" x14ac:dyDescent="0.35">
      <c r="A81" s="10">
        <v>70</v>
      </c>
      <c r="B81" s="6">
        <v>202532062</v>
      </c>
      <c r="C81" s="6" t="s">
        <v>72</v>
      </c>
      <c r="D81" s="6">
        <v>0</v>
      </c>
      <c r="E81" s="6">
        <v>50</v>
      </c>
      <c r="F81" s="6">
        <v>100</v>
      </c>
      <c r="G81" s="6">
        <v>0</v>
      </c>
      <c r="H81" s="6">
        <v>85</v>
      </c>
      <c r="I81" s="6">
        <v>100</v>
      </c>
      <c r="J81" s="6">
        <v>100</v>
      </c>
      <c r="K81" s="6">
        <v>100</v>
      </c>
      <c r="L81" s="6">
        <v>50</v>
      </c>
      <c r="M81" s="6">
        <v>0</v>
      </c>
      <c r="N81" s="6">
        <v>20</v>
      </c>
      <c r="O81" s="6">
        <v>100</v>
      </c>
      <c r="P81" s="6">
        <v>100</v>
      </c>
      <c r="Q81" s="6">
        <v>100</v>
      </c>
      <c r="R81" s="11"/>
    </row>
    <row r="82" spans="1:18" x14ac:dyDescent="0.35">
      <c r="A82" s="10">
        <v>71</v>
      </c>
      <c r="B82" s="6">
        <v>202532079</v>
      </c>
      <c r="C82" s="6" t="s">
        <v>73</v>
      </c>
      <c r="D82" s="6">
        <v>0</v>
      </c>
      <c r="E82" s="6">
        <v>50</v>
      </c>
      <c r="F82" s="6">
        <v>100</v>
      </c>
      <c r="G82" s="6">
        <v>0</v>
      </c>
      <c r="H82" s="6">
        <v>0</v>
      </c>
      <c r="I82" s="6">
        <v>50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11"/>
    </row>
    <row r="83" spans="1:18" x14ac:dyDescent="0.35">
      <c r="A83" s="10">
        <v>72</v>
      </c>
      <c r="B83" s="6">
        <v>202530466</v>
      </c>
      <c r="C83" s="6" t="s">
        <v>74</v>
      </c>
      <c r="D83" s="6">
        <v>100</v>
      </c>
      <c r="E83" s="6">
        <v>50</v>
      </c>
      <c r="F83" s="6">
        <v>100</v>
      </c>
      <c r="G83" s="6">
        <v>100</v>
      </c>
      <c r="H83" s="6">
        <v>100</v>
      </c>
      <c r="I83" s="6">
        <v>100</v>
      </c>
      <c r="J83" s="6">
        <v>100</v>
      </c>
      <c r="K83" s="6">
        <v>100</v>
      </c>
      <c r="L83" s="6">
        <v>100</v>
      </c>
      <c r="M83" s="6">
        <v>100</v>
      </c>
      <c r="N83" s="6">
        <v>100</v>
      </c>
      <c r="O83" s="6">
        <v>100</v>
      </c>
      <c r="P83" s="6">
        <v>100</v>
      </c>
      <c r="Q83" s="6">
        <v>100</v>
      </c>
      <c r="R83" s="11"/>
    </row>
    <row r="84" spans="1:18" ht="15" thickBot="1" x14ac:dyDescent="0.4">
      <c r="A84" s="12">
        <v>73</v>
      </c>
      <c r="B84" s="13">
        <v>202030192</v>
      </c>
      <c r="C84" s="13" t="s">
        <v>75</v>
      </c>
      <c r="D84" s="13">
        <v>0</v>
      </c>
      <c r="E84" s="6">
        <v>50</v>
      </c>
      <c r="F84" s="13">
        <v>50</v>
      </c>
      <c r="G84" s="13">
        <v>75</v>
      </c>
      <c r="H84" s="13">
        <v>0</v>
      </c>
      <c r="I84" s="13">
        <v>100</v>
      </c>
      <c r="J84" s="13">
        <v>100</v>
      </c>
      <c r="K84" s="13">
        <v>100</v>
      </c>
      <c r="L84" s="13">
        <v>100</v>
      </c>
      <c r="M84" s="13">
        <v>85</v>
      </c>
      <c r="N84" s="13">
        <v>0</v>
      </c>
      <c r="O84" s="13">
        <v>0</v>
      </c>
      <c r="P84" s="13">
        <v>0</v>
      </c>
      <c r="Q84" s="13">
        <v>0</v>
      </c>
      <c r="R84" s="14"/>
    </row>
  </sheetData>
  <mergeCells count="1">
    <mergeCell ref="D5:H5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 FINALES</vt:lpstr>
      <vt:lpstr>Porcentaje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Ivan Rivera</cp:lastModifiedBy>
  <cp:lastPrinted>2025-10-31T06:24:23Z</cp:lastPrinted>
  <dcterms:created xsi:type="dcterms:W3CDTF">2025-10-26T19:08:22Z</dcterms:created>
  <dcterms:modified xsi:type="dcterms:W3CDTF">2025-10-31T06:24:29Z</dcterms:modified>
</cp:coreProperties>
</file>