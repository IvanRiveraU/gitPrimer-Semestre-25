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icacion C a D\Documentos\gitPrimer-Semetre-25\PRACTICAS DOCENCIA\LABORATORIO MB1\LISTADO COMPLETO MACROS\"/>
    </mc:Choice>
  </mc:AlternateContent>
  <xr:revisionPtr revIDLastSave="0" documentId="13_ncr:1_{B59FF727-A8B3-49DA-8F2B-FE3565FB6BC2}" xr6:coauthVersionLast="47" xr6:coauthVersionMax="47" xr10:uidLastSave="{00000000-0000-0000-0000-000000000000}"/>
  <bookViews>
    <workbookView xWindow="-110" yWindow="-110" windowWidth="19420" windowHeight="10420" xr2:uid="{B120FE9F-51A9-4E3A-8CF4-53BECC398D17}"/>
  </bookViews>
  <sheets>
    <sheet name="Notas Principales" sheetId="3" r:id="rId1"/>
    <sheet name="Porcentaje de Notas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H5" i="1"/>
  <c r="I5" i="1"/>
  <c r="J5" i="1"/>
  <c r="K5" i="1"/>
  <c r="L5" i="1"/>
  <c r="M5" i="1"/>
  <c r="N5" i="1"/>
  <c r="O5" i="1"/>
  <c r="P5" i="1"/>
  <c r="G6" i="1"/>
  <c r="H6" i="1"/>
  <c r="I6" i="1"/>
  <c r="J6" i="1"/>
  <c r="K6" i="1"/>
  <c r="L6" i="1"/>
  <c r="M6" i="1"/>
  <c r="N6" i="1"/>
  <c r="O6" i="1"/>
  <c r="P6" i="1"/>
  <c r="G7" i="1"/>
  <c r="H7" i="1"/>
  <c r="I7" i="1"/>
  <c r="J7" i="1"/>
  <c r="K7" i="1"/>
  <c r="L7" i="1"/>
  <c r="M7" i="1"/>
  <c r="N7" i="1"/>
  <c r="O7" i="1"/>
  <c r="P7" i="1"/>
  <c r="G8" i="1"/>
  <c r="H8" i="1"/>
  <c r="I8" i="1"/>
  <c r="J8" i="1"/>
  <c r="K8" i="1"/>
  <c r="L8" i="1"/>
  <c r="M8" i="1"/>
  <c r="N8" i="1"/>
  <c r="O8" i="1"/>
  <c r="P8" i="1"/>
  <c r="G9" i="1"/>
  <c r="H9" i="1"/>
  <c r="I9" i="1"/>
  <c r="J9" i="1"/>
  <c r="K9" i="1"/>
  <c r="L9" i="1"/>
  <c r="M9" i="1"/>
  <c r="N9" i="1"/>
  <c r="O9" i="1"/>
  <c r="P9" i="1"/>
  <c r="G10" i="1"/>
  <c r="H10" i="1"/>
  <c r="I10" i="1"/>
  <c r="J10" i="1"/>
  <c r="K10" i="1"/>
  <c r="L10" i="1"/>
  <c r="M10" i="1"/>
  <c r="N10" i="1"/>
  <c r="O10" i="1"/>
  <c r="P10" i="1"/>
  <c r="G11" i="1"/>
  <c r="H11" i="1"/>
  <c r="I11" i="1"/>
  <c r="J11" i="1"/>
  <c r="K11" i="1"/>
  <c r="L11" i="1"/>
  <c r="M11" i="1"/>
  <c r="N11" i="1"/>
  <c r="O11" i="1"/>
  <c r="P11" i="1"/>
  <c r="G12" i="1"/>
  <c r="H12" i="1"/>
  <c r="I12" i="1"/>
  <c r="J12" i="1"/>
  <c r="K12" i="1"/>
  <c r="L12" i="1"/>
  <c r="M12" i="1"/>
  <c r="N12" i="1"/>
  <c r="O12" i="1"/>
  <c r="P12" i="1"/>
  <c r="G13" i="1"/>
  <c r="H13" i="1"/>
  <c r="I13" i="1"/>
  <c r="J13" i="1"/>
  <c r="K13" i="1"/>
  <c r="L13" i="1"/>
  <c r="M13" i="1"/>
  <c r="N13" i="1"/>
  <c r="O13" i="1"/>
  <c r="P13" i="1"/>
  <c r="G14" i="1"/>
  <c r="H14" i="1"/>
  <c r="I14" i="1"/>
  <c r="J14" i="1"/>
  <c r="K14" i="1"/>
  <c r="L14" i="1"/>
  <c r="M14" i="1"/>
  <c r="N14" i="1"/>
  <c r="O14" i="1"/>
  <c r="P14" i="1"/>
  <c r="G15" i="1"/>
  <c r="H15" i="1"/>
  <c r="I15" i="1"/>
  <c r="J15" i="1"/>
  <c r="K15" i="1"/>
  <c r="L15" i="1"/>
  <c r="M15" i="1"/>
  <c r="N15" i="1"/>
  <c r="O15" i="1"/>
  <c r="P15" i="1"/>
  <c r="G16" i="1"/>
  <c r="H16" i="1"/>
  <c r="I16" i="1"/>
  <c r="J16" i="1"/>
  <c r="K16" i="1"/>
  <c r="L16" i="1"/>
  <c r="M16" i="1"/>
  <c r="N16" i="1"/>
  <c r="O16" i="1"/>
  <c r="P16" i="1"/>
  <c r="G17" i="1"/>
  <c r="H17" i="1"/>
  <c r="I17" i="1"/>
  <c r="J17" i="1"/>
  <c r="K17" i="1"/>
  <c r="L17" i="1"/>
  <c r="M17" i="1"/>
  <c r="N17" i="1"/>
  <c r="O17" i="1"/>
  <c r="P17" i="1"/>
  <c r="G18" i="1"/>
  <c r="H18" i="1"/>
  <c r="I18" i="1"/>
  <c r="J18" i="1"/>
  <c r="K18" i="1"/>
  <c r="L18" i="1"/>
  <c r="M18" i="1"/>
  <c r="N18" i="1"/>
  <c r="O18" i="1"/>
  <c r="P18" i="1"/>
  <c r="G19" i="1"/>
  <c r="H19" i="1"/>
  <c r="I19" i="1"/>
  <c r="J19" i="1"/>
  <c r="K19" i="1"/>
  <c r="L19" i="1"/>
  <c r="M19" i="1"/>
  <c r="N19" i="1"/>
  <c r="O19" i="1"/>
  <c r="P19" i="1"/>
  <c r="G20" i="1"/>
  <c r="H20" i="1"/>
  <c r="I20" i="1"/>
  <c r="J20" i="1"/>
  <c r="K20" i="1"/>
  <c r="L20" i="1"/>
  <c r="M20" i="1"/>
  <c r="N20" i="1"/>
  <c r="O20" i="1"/>
  <c r="P20" i="1"/>
  <c r="G21" i="1"/>
  <c r="H21" i="1"/>
  <c r="I21" i="1"/>
  <c r="J21" i="1"/>
  <c r="K21" i="1"/>
  <c r="L21" i="1"/>
  <c r="M21" i="1"/>
  <c r="N21" i="1"/>
  <c r="O21" i="1"/>
  <c r="P21" i="1"/>
  <c r="G22" i="1"/>
  <c r="H22" i="1"/>
  <c r="I22" i="1"/>
  <c r="J22" i="1"/>
  <c r="K22" i="1"/>
  <c r="L22" i="1"/>
  <c r="M22" i="1"/>
  <c r="N22" i="1"/>
  <c r="O22" i="1"/>
  <c r="P22" i="1"/>
  <c r="G23" i="1"/>
  <c r="H23" i="1"/>
  <c r="I23" i="1"/>
  <c r="J23" i="1"/>
  <c r="K23" i="1"/>
  <c r="L23" i="1"/>
  <c r="M23" i="1"/>
  <c r="N23" i="1"/>
  <c r="O23" i="1"/>
  <c r="P23" i="1"/>
  <c r="G24" i="1"/>
  <c r="H24" i="1"/>
  <c r="I24" i="1"/>
  <c r="J24" i="1"/>
  <c r="K24" i="1"/>
  <c r="L24" i="1"/>
  <c r="M24" i="1"/>
  <c r="N24" i="1"/>
  <c r="O24" i="1"/>
  <c r="P24" i="1"/>
  <c r="G25" i="1"/>
  <c r="H25" i="1"/>
  <c r="I25" i="1"/>
  <c r="J25" i="1"/>
  <c r="K25" i="1"/>
  <c r="L25" i="1"/>
  <c r="M25" i="1"/>
  <c r="N25" i="1"/>
  <c r="O25" i="1"/>
  <c r="P25" i="1"/>
  <c r="G26" i="1"/>
  <c r="H26" i="1"/>
  <c r="I26" i="1"/>
  <c r="J26" i="1"/>
  <c r="K26" i="1"/>
  <c r="L26" i="1"/>
  <c r="M26" i="1"/>
  <c r="N26" i="1"/>
  <c r="O26" i="1"/>
  <c r="P26" i="1"/>
  <c r="G27" i="1"/>
  <c r="H27" i="1"/>
  <c r="I27" i="1"/>
  <c r="J27" i="1"/>
  <c r="K27" i="1"/>
  <c r="L27" i="1"/>
  <c r="M27" i="1"/>
  <c r="N27" i="1"/>
  <c r="O27" i="1"/>
  <c r="P27" i="1"/>
  <c r="G28" i="1"/>
  <c r="H28" i="1"/>
  <c r="I28" i="1"/>
  <c r="J28" i="1"/>
  <c r="K28" i="1"/>
  <c r="L28" i="1"/>
  <c r="M28" i="1"/>
  <c r="N28" i="1"/>
  <c r="O28" i="1"/>
  <c r="P28" i="1"/>
  <c r="G29" i="1"/>
  <c r="H29" i="1"/>
  <c r="I29" i="1"/>
  <c r="J29" i="1"/>
  <c r="K29" i="1"/>
  <c r="L29" i="1"/>
  <c r="M29" i="1"/>
  <c r="N29" i="1"/>
  <c r="O29" i="1"/>
  <c r="P29" i="1"/>
  <c r="G30" i="1"/>
  <c r="H30" i="1"/>
  <c r="I30" i="1"/>
  <c r="J30" i="1"/>
  <c r="K30" i="1"/>
  <c r="L30" i="1"/>
  <c r="M30" i="1"/>
  <c r="N30" i="1"/>
  <c r="O30" i="1"/>
  <c r="P30" i="1"/>
  <c r="G31" i="1"/>
  <c r="H31" i="1"/>
  <c r="I31" i="1"/>
  <c r="J31" i="1"/>
  <c r="K31" i="1"/>
  <c r="L31" i="1"/>
  <c r="M31" i="1"/>
  <c r="N31" i="1"/>
  <c r="O31" i="1"/>
  <c r="P31" i="1"/>
  <c r="G32" i="1"/>
  <c r="H32" i="1"/>
  <c r="I32" i="1"/>
  <c r="J32" i="1"/>
  <c r="K32" i="1"/>
  <c r="L32" i="1"/>
  <c r="M32" i="1"/>
  <c r="N32" i="1"/>
  <c r="O32" i="1"/>
  <c r="P32" i="1"/>
  <c r="G33" i="1"/>
  <c r="H33" i="1"/>
  <c r="I33" i="1"/>
  <c r="J33" i="1"/>
  <c r="K33" i="1"/>
  <c r="L33" i="1"/>
  <c r="M33" i="1"/>
  <c r="N33" i="1"/>
  <c r="O33" i="1"/>
  <c r="P33" i="1"/>
  <c r="G34" i="1"/>
  <c r="H34" i="1"/>
  <c r="I34" i="1"/>
  <c r="J34" i="1"/>
  <c r="K34" i="1"/>
  <c r="L34" i="1"/>
  <c r="M34" i="1"/>
  <c r="N34" i="1"/>
  <c r="O34" i="1"/>
  <c r="P34" i="1"/>
  <c r="G35" i="1"/>
  <c r="H35" i="1"/>
  <c r="I35" i="1"/>
  <c r="J35" i="1"/>
  <c r="K35" i="1"/>
  <c r="L35" i="1"/>
  <c r="M35" i="1"/>
  <c r="N35" i="1"/>
  <c r="O35" i="1"/>
  <c r="P35" i="1"/>
  <c r="G36" i="1"/>
  <c r="H36" i="1"/>
  <c r="I36" i="1"/>
  <c r="J36" i="1"/>
  <c r="K36" i="1"/>
  <c r="L36" i="1"/>
  <c r="M36" i="1"/>
  <c r="N36" i="1"/>
  <c r="O36" i="1"/>
  <c r="P36" i="1"/>
  <c r="G37" i="1"/>
  <c r="H37" i="1"/>
  <c r="I37" i="1"/>
  <c r="J37" i="1"/>
  <c r="K37" i="1"/>
  <c r="L37" i="1"/>
  <c r="M37" i="1"/>
  <c r="N37" i="1"/>
  <c r="O37" i="1"/>
  <c r="P37" i="1"/>
  <c r="G38" i="1"/>
  <c r="H38" i="1"/>
  <c r="I38" i="1"/>
  <c r="J38" i="1"/>
  <c r="K38" i="1"/>
  <c r="L38" i="1"/>
  <c r="M38" i="1"/>
  <c r="N38" i="1"/>
  <c r="O38" i="1"/>
  <c r="P38" i="1"/>
  <c r="G39" i="1"/>
  <c r="H39" i="1"/>
  <c r="I39" i="1"/>
  <c r="J39" i="1"/>
  <c r="K39" i="1"/>
  <c r="L39" i="1"/>
  <c r="M39" i="1"/>
  <c r="N39" i="1"/>
  <c r="O39" i="1"/>
  <c r="P39" i="1"/>
  <c r="G40" i="1"/>
  <c r="H40" i="1"/>
  <c r="I40" i="1"/>
  <c r="J40" i="1"/>
  <c r="K40" i="1"/>
  <c r="L40" i="1"/>
  <c r="M40" i="1"/>
  <c r="N40" i="1"/>
  <c r="O40" i="1"/>
  <c r="P40" i="1"/>
  <c r="G41" i="1"/>
  <c r="H41" i="1"/>
  <c r="I41" i="1"/>
  <c r="J41" i="1"/>
  <c r="K41" i="1"/>
  <c r="L41" i="1"/>
  <c r="M41" i="1"/>
  <c r="N41" i="1"/>
  <c r="O41" i="1"/>
  <c r="P41" i="1"/>
  <c r="G42" i="1"/>
  <c r="H42" i="1"/>
  <c r="I42" i="1"/>
  <c r="J42" i="1"/>
  <c r="K42" i="1"/>
  <c r="L42" i="1"/>
  <c r="M42" i="1"/>
  <c r="N42" i="1"/>
  <c r="O42" i="1"/>
  <c r="P42" i="1"/>
  <c r="G43" i="1"/>
  <c r="H43" i="1"/>
  <c r="I43" i="1"/>
  <c r="J43" i="1"/>
  <c r="K43" i="1"/>
  <c r="L43" i="1"/>
  <c r="M43" i="1"/>
  <c r="N43" i="1"/>
  <c r="O43" i="1"/>
  <c r="P43" i="1"/>
  <c r="G44" i="1"/>
  <c r="H44" i="1"/>
  <c r="I44" i="1"/>
  <c r="J44" i="1"/>
  <c r="K44" i="1"/>
  <c r="L44" i="1"/>
  <c r="M44" i="1"/>
  <c r="N44" i="1"/>
  <c r="O44" i="1"/>
  <c r="P44" i="1"/>
  <c r="G45" i="1"/>
  <c r="H45" i="1"/>
  <c r="I45" i="1"/>
  <c r="J45" i="1"/>
  <c r="K45" i="1"/>
  <c r="L45" i="1"/>
  <c r="M45" i="1"/>
  <c r="N45" i="1"/>
  <c r="O45" i="1"/>
  <c r="P45" i="1"/>
  <c r="G46" i="1"/>
  <c r="H46" i="1"/>
  <c r="I46" i="1"/>
  <c r="J46" i="1"/>
  <c r="K46" i="1"/>
  <c r="L46" i="1"/>
  <c r="M46" i="1"/>
  <c r="N46" i="1"/>
  <c r="O46" i="1"/>
  <c r="P46" i="1"/>
  <c r="G47" i="1"/>
  <c r="H47" i="1"/>
  <c r="I47" i="1"/>
  <c r="J47" i="1"/>
  <c r="K47" i="1"/>
  <c r="L47" i="1"/>
  <c r="M47" i="1"/>
  <c r="N47" i="1"/>
  <c r="O47" i="1"/>
  <c r="P47" i="1"/>
  <c r="G48" i="1"/>
  <c r="H48" i="1"/>
  <c r="I48" i="1"/>
  <c r="J48" i="1"/>
  <c r="K48" i="1"/>
  <c r="L48" i="1"/>
  <c r="M48" i="1"/>
  <c r="N48" i="1"/>
  <c r="O48" i="1"/>
  <c r="P48" i="1"/>
  <c r="G49" i="1"/>
  <c r="H49" i="1"/>
  <c r="I49" i="1"/>
  <c r="J49" i="1"/>
  <c r="K49" i="1"/>
  <c r="L49" i="1"/>
  <c r="M49" i="1"/>
  <c r="N49" i="1"/>
  <c r="O49" i="1"/>
  <c r="P49" i="1"/>
  <c r="G50" i="1"/>
  <c r="H50" i="1"/>
  <c r="I50" i="1"/>
  <c r="J50" i="1"/>
  <c r="K50" i="1"/>
  <c r="L50" i="1"/>
  <c r="M50" i="1"/>
  <c r="N50" i="1"/>
  <c r="O50" i="1"/>
  <c r="P50" i="1"/>
  <c r="G51" i="1"/>
  <c r="H51" i="1"/>
  <c r="I51" i="1"/>
  <c r="J51" i="1"/>
  <c r="K51" i="1"/>
  <c r="L51" i="1"/>
  <c r="M51" i="1"/>
  <c r="N51" i="1"/>
  <c r="O51" i="1"/>
  <c r="P51" i="1"/>
  <c r="G52" i="1"/>
  <c r="H52" i="1"/>
  <c r="I52" i="1"/>
  <c r="J52" i="1"/>
  <c r="K52" i="1"/>
  <c r="L52" i="1"/>
  <c r="M52" i="1"/>
  <c r="N52" i="1"/>
  <c r="O52" i="1"/>
  <c r="P52" i="1"/>
  <c r="G53" i="1"/>
  <c r="H53" i="1"/>
  <c r="I53" i="1"/>
  <c r="J53" i="1"/>
  <c r="K53" i="1"/>
  <c r="L53" i="1"/>
  <c r="M53" i="1"/>
  <c r="N53" i="1"/>
  <c r="O53" i="1"/>
  <c r="P53" i="1"/>
  <c r="G54" i="1"/>
  <c r="H54" i="1"/>
  <c r="I54" i="1"/>
  <c r="J54" i="1"/>
  <c r="K54" i="1"/>
  <c r="L54" i="1"/>
  <c r="M54" i="1"/>
  <c r="N54" i="1"/>
  <c r="O54" i="1"/>
  <c r="P54" i="1"/>
  <c r="G55" i="1"/>
  <c r="H55" i="1"/>
  <c r="I55" i="1"/>
  <c r="J55" i="1"/>
  <c r="K55" i="1"/>
  <c r="L55" i="1"/>
  <c r="M55" i="1"/>
  <c r="N55" i="1"/>
  <c r="O55" i="1"/>
  <c r="P55" i="1"/>
  <c r="G56" i="1"/>
  <c r="H56" i="1"/>
  <c r="I56" i="1"/>
  <c r="J56" i="1"/>
  <c r="K56" i="1"/>
  <c r="L56" i="1"/>
  <c r="M56" i="1"/>
  <c r="N56" i="1"/>
  <c r="O56" i="1"/>
  <c r="P56" i="1"/>
  <c r="G57" i="1"/>
  <c r="H57" i="1"/>
  <c r="I57" i="1"/>
  <c r="J57" i="1"/>
  <c r="K57" i="1"/>
  <c r="L57" i="1"/>
  <c r="M57" i="1"/>
  <c r="N57" i="1"/>
  <c r="O57" i="1"/>
  <c r="P57" i="1"/>
  <c r="G58" i="1"/>
  <c r="H58" i="1"/>
  <c r="I58" i="1"/>
  <c r="J58" i="1"/>
  <c r="K58" i="1"/>
  <c r="L58" i="1"/>
  <c r="M58" i="1"/>
  <c r="N58" i="1"/>
  <c r="O58" i="1"/>
  <c r="P58" i="1"/>
  <c r="G59" i="1"/>
  <c r="H59" i="1"/>
  <c r="I59" i="1"/>
  <c r="J59" i="1"/>
  <c r="K59" i="1"/>
  <c r="L59" i="1"/>
  <c r="M59" i="1"/>
  <c r="N59" i="1"/>
  <c r="O59" i="1"/>
  <c r="P59" i="1"/>
  <c r="G60" i="1"/>
  <c r="H60" i="1"/>
  <c r="I60" i="1"/>
  <c r="J60" i="1"/>
  <c r="K60" i="1"/>
  <c r="L60" i="1"/>
  <c r="M60" i="1"/>
  <c r="N60" i="1"/>
  <c r="O60" i="1"/>
  <c r="P60" i="1"/>
  <c r="G61" i="1"/>
  <c r="H61" i="1"/>
  <c r="I61" i="1"/>
  <c r="J61" i="1"/>
  <c r="K61" i="1"/>
  <c r="L61" i="1"/>
  <c r="M61" i="1"/>
  <c r="N61" i="1"/>
  <c r="O61" i="1"/>
  <c r="P61" i="1"/>
  <c r="G62" i="1"/>
  <c r="H62" i="1"/>
  <c r="I62" i="1"/>
  <c r="J62" i="1"/>
  <c r="K62" i="1"/>
  <c r="L62" i="1"/>
  <c r="M62" i="1"/>
  <c r="N62" i="1"/>
  <c r="O62" i="1"/>
  <c r="P62" i="1"/>
  <c r="G63" i="1"/>
  <c r="H63" i="1"/>
  <c r="I63" i="1"/>
  <c r="J63" i="1"/>
  <c r="K63" i="1"/>
  <c r="L63" i="1"/>
  <c r="M63" i="1"/>
  <c r="N63" i="1"/>
  <c r="O63" i="1"/>
  <c r="P63" i="1"/>
  <c r="G64" i="1"/>
  <c r="H64" i="1"/>
  <c r="I64" i="1"/>
  <c r="J64" i="1"/>
  <c r="K64" i="1"/>
  <c r="L64" i="1"/>
  <c r="M64" i="1"/>
  <c r="N64" i="1"/>
  <c r="O64" i="1"/>
  <c r="P64" i="1"/>
  <c r="G65" i="1"/>
  <c r="H65" i="1"/>
  <c r="I65" i="1"/>
  <c r="J65" i="1"/>
  <c r="K65" i="1"/>
  <c r="L65" i="1"/>
  <c r="M65" i="1"/>
  <c r="N65" i="1"/>
  <c r="O65" i="1"/>
  <c r="P65" i="1"/>
  <c r="G66" i="1"/>
  <c r="H66" i="1"/>
  <c r="I66" i="1"/>
  <c r="J66" i="1"/>
  <c r="K66" i="1"/>
  <c r="L66" i="1"/>
  <c r="M66" i="1"/>
  <c r="N66" i="1"/>
  <c r="O66" i="1"/>
  <c r="P66" i="1"/>
  <c r="G67" i="1"/>
  <c r="H67" i="1"/>
  <c r="I67" i="1"/>
  <c r="J67" i="1"/>
  <c r="K67" i="1"/>
  <c r="L67" i="1"/>
  <c r="M67" i="1"/>
  <c r="N67" i="1"/>
  <c r="O67" i="1"/>
  <c r="P67" i="1"/>
  <c r="G68" i="1"/>
  <c r="H68" i="1"/>
  <c r="I68" i="1"/>
  <c r="J68" i="1"/>
  <c r="K68" i="1"/>
  <c r="L68" i="1"/>
  <c r="M68" i="1"/>
  <c r="N68" i="1"/>
  <c r="O68" i="1"/>
  <c r="P68" i="1"/>
  <c r="G69" i="1"/>
  <c r="H69" i="1"/>
  <c r="I69" i="1"/>
  <c r="J69" i="1"/>
  <c r="K69" i="1"/>
  <c r="L69" i="1"/>
  <c r="M69" i="1"/>
  <c r="N69" i="1"/>
  <c r="O69" i="1"/>
  <c r="P69" i="1"/>
  <c r="G70" i="1"/>
  <c r="H70" i="1"/>
  <c r="I70" i="1"/>
  <c r="J70" i="1"/>
  <c r="K70" i="1"/>
  <c r="L70" i="1"/>
  <c r="M70" i="1"/>
  <c r="N70" i="1"/>
  <c r="O70" i="1"/>
  <c r="P70" i="1"/>
  <c r="G71" i="1"/>
  <c r="H71" i="1"/>
  <c r="I71" i="1"/>
  <c r="J71" i="1"/>
  <c r="K71" i="1"/>
  <c r="L71" i="1"/>
  <c r="M71" i="1"/>
  <c r="N71" i="1"/>
  <c r="O71" i="1"/>
  <c r="P71" i="1"/>
  <c r="G72" i="1"/>
  <c r="H72" i="1"/>
  <c r="I72" i="1"/>
  <c r="J72" i="1"/>
  <c r="K72" i="1"/>
  <c r="L72" i="1"/>
  <c r="M72" i="1"/>
  <c r="N72" i="1"/>
  <c r="O72" i="1"/>
  <c r="P72" i="1"/>
  <c r="G73" i="1"/>
  <c r="H73" i="1"/>
  <c r="I73" i="1"/>
  <c r="J73" i="1"/>
  <c r="K73" i="1"/>
  <c r="L73" i="1"/>
  <c r="M73" i="1"/>
  <c r="N73" i="1"/>
  <c r="O73" i="1"/>
  <c r="P73" i="1"/>
  <c r="G74" i="1"/>
  <c r="H74" i="1"/>
  <c r="I74" i="1"/>
  <c r="J74" i="1"/>
  <c r="K74" i="1"/>
  <c r="L74" i="1"/>
  <c r="M74" i="1"/>
  <c r="N74" i="1"/>
  <c r="O74" i="1"/>
  <c r="P74" i="1"/>
  <c r="G75" i="1"/>
  <c r="H75" i="1"/>
  <c r="I75" i="1"/>
  <c r="J75" i="1"/>
  <c r="K75" i="1"/>
  <c r="L75" i="1"/>
  <c r="M75" i="1"/>
  <c r="N75" i="1"/>
  <c r="O75" i="1"/>
  <c r="P75" i="1"/>
  <c r="G76" i="1"/>
  <c r="H76" i="1"/>
  <c r="I76" i="1"/>
  <c r="J76" i="1"/>
  <c r="K76" i="1"/>
  <c r="L76" i="1"/>
  <c r="M76" i="1"/>
  <c r="N76" i="1"/>
  <c r="O76" i="1"/>
  <c r="P76" i="1"/>
  <c r="G77" i="1"/>
  <c r="H77" i="1"/>
  <c r="I77" i="1"/>
  <c r="J77" i="1"/>
  <c r="K77" i="1"/>
  <c r="L77" i="1"/>
  <c r="M77" i="1"/>
  <c r="N77" i="1"/>
  <c r="O77" i="1"/>
  <c r="P77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5" i="1"/>
  <c r="T3" i="1"/>
  <c r="T3" i="3" l="1"/>
  <c r="H6" i="3"/>
  <c r="I6" i="3"/>
  <c r="J6" i="3"/>
  <c r="K6" i="3"/>
  <c r="L6" i="3"/>
  <c r="M6" i="3"/>
  <c r="N6" i="3"/>
  <c r="O6" i="3"/>
  <c r="P6" i="3"/>
  <c r="H7" i="3"/>
  <c r="I7" i="3"/>
  <c r="J7" i="3"/>
  <c r="K7" i="3"/>
  <c r="L7" i="3"/>
  <c r="M7" i="3"/>
  <c r="N7" i="3"/>
  <c r="O7" i="3"/>
  <c r="P7" i="3"/>
  <c r="H8" i="3"/>
  <c r="I8" i="3"/>
  <c r="J8" i="3"/>
  <c r="K8" i="3"/>
  <c r="L8" i="3"/>
  <c r="M8" i="3"/>
  <c r="N8" i="3"/>
  <c r="O8" i="3"/>
  <c r="P8" i="3"/>
  <c r="H9" i="3"/>
  <c r="I9" i="3"/>
  <c r="J9" i="3"/>
  <c r="K9" i="3"/>
  <c r="L9" i="3"/>
  <c r="M9" i="3"/>
  <c r="N9" i="3"/>
  <c r="O9" i="3"/>
  <c r="P9" i="3"/>
  <c r="H10" i="3"/>
  <c r="I10" i="3"/>
  <c r="J10" i="3"/>
  <c r="K10" i="3"/>
  <c r="L10" i="3"/>
  <c r="M10" i="3"/>
  <c r="N10" i="3"/>
  <c r="O10" i="3"/>
  <c r="P10" i="3"/>
  <c r="H11" i="3"/>
  <c r="I11" i="3"/>
  <c r="J11" i="3"/>
  <c r="K11" i="3"/>
  <c r="L11" i="3"/>
  <c r="M11" i="3"/>
  <c r="N11" i="3"/>
  <c r="O11" i="3"/>
  <c r="P11" i="3"/>
  <c r="H12" i="3"/>
  <c r="I12" i="3"/>
  <c r="J12" i="3"/>
  <c r="K12" i="3"/>
  <c r="L12" i="3"/>
  <c r="M12" i="3"/>
  <c r="N12" i="3"/>
  <c r="O12" i="3"/>
  <c r="P12" i="3"/>
  <c r="H13" i="3"/>
  <c r="I13" i="3"/>
  <c r="J13" i="3"/>
  <c r="K13" i="3"/>
  <c r="L13" i="3"/>
  <c r="M13" i="3"/>
  <c r="N13" i="3"/>
  <c r="O13" i="3"/>
  <c r="P13" i="3"/>
  <c r="H14" i="3"/>
  <c r="I14" i="3"/>
  <c r="J14" i="3"/>
  <c r="K14" i="3"/>
  <c r="L14" i="3"/>
  <c r="M14" i="3"/>
  <c r="N14" i="3"/>
  <c r="O14" i="3"/>
  <c r="P14" i="3"/>
  <c r="H15" i="3"/>
  <c r="I15" i="3"/>
  <c r="J15" i="3"/>
  <c r="K15" i="3"/>
  <c r="L15" i="3"/>
  <c r="M15" i="3"/>
  <c r="N15" i="3"/>
  <c r="O15" i="3"/>
  <c r="P15" i="3"/>
  <c r="H16" i="3"/>
  <c r="I16" i="3"/>
  <c r="J16" i="3"/>
  <c r="K16" i="3"/>
  <c r="L16" i="3"/>
  <c r="M16" i="3"/>
  <c r="N16" i="3"/>
  <c r="O16" i="3"/>
  <c r="P16" i="3"/>
  <c r="H17" i="3"/>
  <c r="I17" i="3"/>
  <c r="J17" i="3"/>
  <c r="K17" i="3"/>
  <c r="L17" i="3"/>
  <c r="M17" i="3"/>
  <c r="N17" i="3"/>
  <c r="O17" i="3"/>
  <c r="P17" i="3"/>
  <c r="H18" i="3"/>
  <c r="I18" i="3"/>
  <c r="J18" i="3"/>
  <c r="K18" i="3"/>
  <c r="L18" i="3"/>
  <c r="M18" i="3"/>
  <c r="N18" i="3"/>
  <c r="O18" i="3"/>
  <c r="P18" i="3"/>
  <c r="H19" i="3"/>
  <c r="I19" i="3"/>
  <c r="J19" i="3"/>
  <c r="K19" i="3"/>
  <c r="L19" i="3"/>
  <c r="M19" i="3"/>
  <c r="N19" i="3"/>
  <c r="O19" i="3"/>
  <c r="P19" i="3"/>
  <c r="H20" i="3"/>
  <c r="I20" i="3"/>
  <c r="J20" i="3"/>
  <c r="K20" i="3"/>
  <c r="L20" i="3"/>
  <c r="M20" i="3"/>
  <c r="N20" i="3"/>
  <c r="O20" i="3"/>
  <c r="P20" i="3"/>
  <c r="H21" i="3"/>
  <c r="I21" i="3"/>
  <c r="J21" i="3"/>
  <c r="K21" i="3"/>
  <c r="L21" i="3"/>
  <c r="M21" i="3"/>
  <c r="N21" i="3"/>
  <c r="O21" i="3"/>
  <c r="P21" i="3"/>
  <c r="H22" i="3"/>
  <c r="I22" i="3"/>
  <c r="J22" i="3"/>
  <c r="K22" i="3"/>
  <c r="L22" i="3"/>
  <c r="M22" i="3"/>
  <c r="N22" i="3"/>
  <c r="O22" i="3"/>
  <c r="P22" i="3"/>
  <c r="H23" i="3"/>
  <c r="I23" i="3"/>
  <c r="J23" i="3"/>
  <c r="K23" i="3"/>
  <c r="L23" i="3"/>
  <c r="M23" i="3"/>
  <c r="N23" i="3"/>
  <c r="O23" i="3"/>
  <c r="P23" i="3"/>
  <c r="H24" i="3"/>
  <c r="I24" i="3"/>
  <c r="J24" i="3"/>
  <c r="K24" i="3"/>
  <c r="L24" i="3"/>
  <c r="M24" i="3"/>
  <c r="N24" i="3"/>
  <c r="O24" i="3"/>
  <c r="P24" i="3"/>
  <c r="H25" i="3"/>
  <c r="I25" i="3"/>
  <c r="J25" i="3"/>
  <c r="K25" i="3"/>
  <c r="L25" i="3"/>
  <c r="M25" i="3"/>
  <c r="N25" i="3"/>
  <c r="O25" i="3"/>
  <c r="P25" i="3"/>
  <c r="H26" i="3"/>
  <c r="I26" i="3"/>
  <c r="J26" i="3"/>
  <c r="K26" i="3"/>
  <c r="L26" i="3"/>
  <c r="M26" i="3"/>
  <c r="N26" i="3"/>
  <c r="O26" i="3"/>
  <c r="P26" i="3"/>
  <c r="H27" i="3"/>
  <c r="I27" i="3"/>
  <c r="J27" i="3"/>
  <c r="K27" i="3"/>
  <c r="L27" i="3"/>
  <c r="M27" i="3"/>
  <c r="N27" i="3"/>
  <c r="O27" i="3"/>
  <c r="P27" i="3"/>
  <c r="H28" i="3"/>
  <c r="I28" i="3"/>
  <c r="J28" i="3"/>
  <c r="K28" i="3"/>
  <c r="L28" i="3"/>
  <c r="M28" i="3"/>
  <c r="N28" i="3"/>
  <c r="O28" i="3"/>
  <c r="P28" i="3"/>
  <c r="H29" i="3"/>
  <c r="I29" i="3"/>
  <c r="J29" i="3"/>
  <c r="K29" i="3"/>
  <c r="L29" i="3"/>
  <c r="M29" i="3"/>
  <c r="N29" i="3"/>
  <c r="O29" i="3"/>
  <c r="P29" i="3"/>
  <c r="H30" i="3"/>
  <c r="I30" i="3"/>
  <c r="J30" i="3"/>
  <c r="K30" i="3"/>
  <c r="L30" i="3"/>
  <c r="M30" i="3"/>
  <c r="N30" i="3"/>
  <c r="O30" i="3"/>
  <c r="P30" i="3"/>
  <c r="H31" i="3"/>
  <c r="I31" i="3"/>
  <c r="J31" i="3"/>
  <c r="K31" i="3"/>
  <c r="L31" i="3"/>
  <c r="M31" i="3"/>
  <c r="N31" i="3"/>
  <c r="O31" i="3"/>
  <c r="P31" i="3"/>
  <c r="H32" i="3"/>
  <c r="I32" i="3"/>
  <c r="J32" i="3"/>
  <c r="K32" i="3"/>
  <c r="L32" i="3"/>
  <c r="M32" i="3"/>
  <c r="N32" i="3"/>
  <c r="O32" i="3"/>
  <c r="P32" i="3"/>
  <c r="H33" i="3"/>
  <c r="I33" i="3"/>
  <c r="J33" i="3"/>
  <c r="K33" i="3"/>
  <c r="L33" i="3"/>
  <c r="M33" i="3"/>
  <c r="N33" i="3"/>
  <c r="O33" i="3"/>
  <c r="P33" i="3"/>
  <c r="H34" i="3"/>
  <c r="I34" i="3"/>
  <c r="J34" i="3"/>
  <c r="K34" i="3"/>
  <c r="L34" i="3"/>
  <c r="M34" i="3"/>
  <c r="N34" i="3"/>
  <c r="O34" i="3"/>
  <c r="P34" i="3"/>
  <c r="H35" i="3"/>
  <c r="I35" i="3"/>
  <c r="J35" i="3"/>
  <c r="K35" i="3"/>
  <c r="L35" i="3"/>
  <c r="M35" i="3"/>
  <c r="N35" i="3"/>
  <c r="O35" i="3"/>
  <c r="P35" i="3"/>
  <c r="H36" i="3"/>
  <c r="I36" i="3"/>
  <c r="J36" i="3"/>
  <c r="K36" i="3"/>
  <c r="L36" i="3"/>
  <c r="M36" i="3"/>
  <c r="N36" i="3"/>
  <c r="O36" i="3"/>
  <c r="P36" i="3"/>
  <c r="H37" i="3"/>
  <c r="I37" i="3"/>
  <c r="J37" i="3"/>
  <c r="K37" i="3"/>
  <c r="L37" i="3"/>
  <c r="M37" i="3"/>
  <c r="N37" i="3"/>
  <c r="O37" i="3"/>
  <c r="P37" i="3"/>
  <c r="H38" i="3"/>
  <c r="I38" i="3"/>
  <c r="J38" i="3"/>
  <c r="K38" i="3"/>
  <c r="L38" i="3"/>
  <c r="M38" i="3"/>
  <c r="N38" i="3"/>
  <c r="O38" i="3"/>
  <c r="P38" i="3"/>
  <c r="H39" i="3"/>
  <c r="I39" i="3"/>
  <c r="J39" i="3"/>
  <c r="K39" i="3"/>
  <c r="L39" i="3"/>
  <c r="M39" i="3"/>
  <c r="N39" i="3"/>
  <c r="O39" i="3"/>
  <c r="P39" i="3"/>
  <c r="H40" i="3"/>
  <c r="I40" i="3"/>
  <c r="J40" i="3"/>
  <c r="K40" i="3"/>
  <c r="L40" i="3"/>
  <c r="M40" i="3"/>
  <c r="N40" i="3"/>
  <c r="O40" i="3"/>
  <c r="P40" i="3"/>
  <c r="H41" i="3"/>
  <c r="I41" i="3"/>
  <c r="J41" i="3"/>
  <c r="K41" i="3"/>
  <c r="L41" i="3"/>
  <c r="M41" i="3"/>
  <c r="N41" i="3"/>
  <c r="O41" i="3"/>
  <c r="P41" i="3"/>
  <c r="H42" i="3"/>
  <c r="I42" i="3"/>
  <c r="J42" i="3"/>
  <c r="K42" i="3"/>
  <c r="L42" i="3"/>
  <c r="M42" i="3"/>
  <c r="N42" i="3"/>
  <c r="O42" i="3"/>
  <c r="P42" i="3"/>
  <c r="H43" i="3"/>
  <c r="I43" i="3"/>
  <c r="J43" i="3"/>
  <c r="K43" i="3"/>
  <c r="L43" i="3"/>
  <c r="M43" i="3"/>
  <c r="N43" i="3"/>
  <c r="O43" i="3"/>
  <c r="P43" i="3"/>
  <c r="H44" i="3"/>
  <c r="I44" i="3"/>
  <c r="J44" i="3"/>
  <c r="K44" i="3"/>
  <c r="L44" i="3"/>
  <c r="M44" i="3"/>
  <c r="N44" i="3"/>
  <c r="O44" i="3"/>
  <c r="P44" i="3"/>
  <c r="H45" i="3"/>
  <c r="I45" i="3"/>
  <c r="J45" i="3"/>
  <c r="K45" i="3"/>
  <c r="L45" i="3"/>
  <c r="M45" i="3"/>
  <c r="N45" i="3"/>
  <c r="O45" i="3"/>
  <c r="P45" i="3"/>
  <c r="H46" i="3"/>
  <c r="I46" i="3"/>
  <c r="J46" i="3"/>
  <c r="K46" i="3"/>
  <c r="L46" i="3"/>
  <c r="M46" i="3"/>
  <c r="N46" i="3"/>
  <c r="O46" i="3"/>
  <c r="P46" i="3"/>
  <c r="H47" i="3"/>
  <c r="I47" i="3"/>
  <c r="J47" i="3"/>
  <c r="K47" i="3"/>
  <c r="L47" i="3"/>
  <c r="M47" i="3"/>
  <c r="N47" i="3"/>
  <c r="O47" i="3"/>
  <c r="P47" i="3"/>
  <c r="H48" i="3"/>
  <c r="I48" i="3"/>
  <c r="J48" i="3"/>
  <c r="K48" i="3"/>
  <c r="L48" i="3"/>
  <c r="M48" i="3"/>
  <c r="N48" i="3"/>
  <c r="O48" i="3"/>
  <c r="P48" i="3"/>
  <c r="H49" i="3"/>
  <c r="I49" i="3"/>
  <c r="J49" i="3"/>
  <c r="K49" i="3"/>
  <c r="L49" i="3"/>
  <c r="M49" i="3"/>
  <c r="N49" i="3"/>
  <c r="O49" i="3"/>
  <c r="P49" i="3"/>
  <c r="H50" i="3"/>
  <c r="I50" i="3"/>
  <c r="J50" i="3"/>
  <c r="K50" i="3"/>
  <c r="L50" i="3"/>
  <c r="M50" i="3"/>
  <c r="N50" i="3"/>
  <c r="O50" i="3"/>
  <c r="P50" i="3"/>
  <c r="H51" i="3"/>
  <c r="I51" i="3"/>
  <c r="J51" i="3"/>
  <c r="K51" i="3"/>
  <c r="L51" i="3"/>
  <c r="M51" i="3"/>
  <c r="N51" i="3"/>
  <c r="O51" i="3"/>
  <c r="P51" i="3"/>
  <c r="H52" i="3"/>
  <c r="I52" i="3"/>
  <c r="J52" i="3"/>
  <c r="K52" i="3"/>
  <c r="L52" i="3"/>
  <c r="M52" i="3"/>
  <c r="N52" i="3"/>
  <c r="O52" i="3"/>
  <c r="P52" i="3"/>
  <c r="H53" i="3"/>
  <c r="I53" i="3"/>
  <c r="J53" i="3"/>
  <c r="K53" i="3"/>
  <c r="L53" i="3"/>
  <c r="M53" i="3"/>
  <c r="N53" i="3"/>
  <c r="O53" i="3"/>
  <c r="P53" i="3"/>
  <c r="H54" i="3"/>
  <c r="I54" i="3"/>
  <c r="J54" i="3"/>
  <c r="K54" i="3"/>
  <c r="L54" i="3"/>
  <c r="M54" i="3"/>
  <c r="N54" i="3"/>
  <c r="O54" i="3"/>
  <c r="P54" i="3"/>
  <c r="H55" i="3"/>
  <c r="I55" i="3"/>
  <c r="J55" i="3"/>
  <c r="K55" i="3"/>
  <c r="L55" i="3"/>
  <c r="M55" i="3"/>
  <c r="N55" i="3"/>
  <c r="O55" i="3"/>
  <c r="P55" i="3"/>
  <c r="H56" i="3"/>
  <c r="I56" i="3"/>
  <c r="J56" i="3"/>
  <c r="K56" i="3"/>
  <c r="L56" i="3"/>
  <c r="M56" i="3"/>
  <c r="N56" i="3"/>
  <c r="O56" i="3"/>
  <c r="P56" i="3"/>
  <c r="H57" i="3"/>
  <c r="I57" i="3"/>
  <c r="J57" i="3"/>
  <c r="K57" i="3"/>
  <c r="L57" i="3"/>
  <c r="M57" i="3"/>
  <c r="N57" i="3"/>
  <c r="O57" i="3"/>
  <c r="P57" i="3"/>
  <c r="H58" i="3"/>
  <c r="I58" i="3"/>
  <c r="J58" i="3"/>
  <c r="K58" i="3"/>
  <c r="L58" i="3"/>
  <c r="M58" i="3"/>
  <c r="N58" i="3"/>
  <c r="O58" i="3"/>
  <c r="P58" i="3"/>
  <c r="H59" i="3"/>
  <c r="I59" i="3"/>
  <c r="J59" i="3"/>
  <c r="K59" i="3"/>
  <c r="L59" i="3"/>
  <c r="M59" i="3"/>
  <c r="N59" i="3"/>
  <c r="O59" i="3"/>
  <c r="P59" i="3"/>
  <c r="H60" i="3"/>
  <c r="I60" i="3"/>
  <c r="J60" i="3"/>
  <c r="K60" i="3"/>
  <c r="L60" i="3"/>
  <c r="M60" i="3"/>
  <c r="N60" i="3"/>
  <c r="O60" i="3"/>
  <c r="P60" i="3"/>
  <c r="H61" i="3"/>
  <c r="I61" i="3"/>
  <c r="J61" i="3"/>
  <c r="K61" i="3"/>
  <c r="L61" i="3"/>
  <c r="M61" i="3"/>
  <c r="N61" i="3"/>
  <c r="O61" i="3"/>
  <c r="P61" i="3"/>
  <c r="H62" i="3"/>
  <c r="I62" i="3"/>
  <c r="J62" i="3"/>
  <c r="K62" i="3"/>
  <c r="L62" i="3"/>
  <c r="M62" i="3"/>
  <c r="N62" i="3"/>
  <c r="O62" i="3"/>
  <c r="P62" i="3"/>
  <c r="H63" i="3"/>
  <c r="I63" i="3"/>
  <c r="J63" i="3"/>
  <c r="K63" i="3"/>
  <c r="L63" i="3"/>
  <c r="M63" i="3"/>
  <c r="N63" i="3"/>
  <c r="O63" i="3"/>
  <c r="P63" i="3"/>
  <c r="H64" i="3"/>
  <c r="I64" i="3"/>
  <c r="J64" i="3"/>
  <c r="K64" i="3"/>
  <c r="L64" i="3"/>
  <c r="M64" i="3"/>
  <c r="N64" i="3"/>
  <c r="O64" i="3"/>
  <c r="P64" i="3"/>
  <c r="H65" i="3"/>
  <c r="I65" i="3"/>
  <c r="J65" i="3"/>
  <c r="K65" i="3"/>
  <c r="L65" i="3"/>
  <c r="M65" i="3"/>
  <c r="N65" i="3"/>
  <c r="O65" i="3"/>
  <c r="P65" i="3"/>
  <c r="H66" i="3"/>
  <c r="I66" i="3"/>
  <c r="J66" i="3"/>
  <c r="K66" i="3"/>
  <c r="L66" i="3"/>
  <c r="M66" i="3"/>
  <c r="N66" i="3"/>
  <c r="O66" i="3"/>
  <c r="P66" i="3"/>
  <c r="H67" i="3"/>
  <c r="I67" i="3"/>
  <c r="J67" i="3"/>
  <c r="K67" i="3"/>
  <c r="L67" i="3"/>
  <c r="M67" i="3"/>
  <c r="N67" i="3"/>
  <c r="O67" i="3"/>
  <c r="P67" i="3"/>
  <c r="H68" i="3"/>
  <c r="I68" i="3"/>
  <c r="J68" i="3"/>
  <c r="K68" i="3"/>
  <c r="L68" i="3"/>
  <c r="M68" i="3"/>
  <c r="N68" i="3"/>
  <c r="O68" i="3"/>
  <c r="P68" i="3"/>
  <c r="H69" i="3"/>
  <c r="I69" i="3"/>
  <c r="J69" i="3"/>
  <c r="K69" i="3"/>
  <c r="L69" i="3"/>
  <c r="M69" i="3"/>
  <c r="N69" i="3"/>
  <c r="O69" i="3"/>
  <c r="P69" i="3"/>
  <c r="H70" i="3"/>
  <c r="I70" i="3"/>
  <c r="J70" i="3"/>
  <c r="K70" i="3"/>
  <c r="L70" i="3"/>
  <c r="M70" i="3"/>
  <c r="N70" i="3"/>
  <c r="O70" i="3"/>
  <c r="P70" i="3"/>
  <c r="H71" i="3"/>
  <c r="I71" i="3"/>
  <c r="J71" i="3"/>
  <c r="K71" i="3"/>
  <c r="L71" i="3"/>
  <c r="M71" i="3"/>
  <c r="N71" i="3"/>
  <c r="O71" i="3"/>
  <c r="P71" i="3"/>
  <c r="H72" i="3"/>
  <c r="I72" i="3"/>
  <c r="J72" i="3"/>
  <c r="K72" i="3"/>
  <c r="L72" i="3"/>
  <c r="M72" i="3"/>
  <c r="N72" i="3"/>
  <c r="O72" i="3"/>
  <c r="P72" i="3"/>
  <c r="H73" i="3"/>
  <c r="I73" i="3"/>
  <c r="J73" i="3"/>
  <c r="K73" i="3"/>
  <c r="L73" i="3"/>
  <c r="M73" i="3"/>
  <c r="N73" i="3"/>
  <c r="O73" i="3"/>
  <c r="P73" i="3"/>
  <c r="H74" i="3"/>
  <c r="I74" i="3"/>
  <c r="J74" i="3"/>
  <c r="K74" i="3"/>
  <c r="L74" i="3"/>
  <c r="M74" i="3"/>
  <c r="N74" i="3"/>
  <c r="O74" i="3"/>
  <c r="P74" i="3"/>
  <c r="H75" i="3"/>
  <c r="I75" i="3"/>
  <c r="J75" i="3"/>
  <c r="K75" i="3"/>
  <c r="L75" i="3"/>
  <c r="M75" i="3"/>
  <c r="N75" i="3"/>
  <c r="O75" i="3"/>
  <c r="P75" i="3"/>
  <c r="H76" i="3"/>
  <c r="I76" i="3"/>
  <c r="J76" i="3"/>
  <c r="K76" i="3"/>
  <c r="L76" i="3"/>
  <c r="M76" i="3"/>
  <c r="N76" i="3"/>
  <c r="O76" i="3"/>
  <c r="P76" i="3"/>
  <c r="H77" i="3"/>
  <c r="I77" i="3"/>
  <c r="J77" i="3"/>
  <c r="K77" i="3"/>
  <c r="L77" i="3"/>
  <c r="M77" i="3"/>
  <c r="N77" i="3"/>
  <c r="O77" i="3"/>
  <c r="P77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P5" i="3"/>
  <c r="O5" i="3"/>
  <c r="N5" i="3"/>
  <c r="M5" i="3"/>
  <c r="L5" i="3"/>
  <c r="K5" i="3"/>
  <c r="J5" i="3"/>
  <c r="I5" i="3"/>
  <c r="H5" i="3"/>
  <c r="G5" i="3"/>
  <c r="F5" i="3"/>
  <c r="S6" i="1" l="1"/>
  <c r="S6" i="3" s="1"/>
  <c r="S7" i="1"/>
  <c r="S7" i="3" s="1"/>
  <c r="S8" i="1"/>
  <c r="S8" i="3" s="1"/>
  <c r="S9" i="1"/>
  <c r="S9" i="3" s="1"/>
  <c r="S10" i="1"/>
  <c r="S10" i="3" s="1"/>
  <c r="S11" i="1"/>
  <c r="S11" i="3" s="1"/>
  <c r="S12" i="1"/>
  <c r="S12" i="3" s="1"/>
  <c r="S13" i="1"/>
  <c r="S13" i="3" s="1"/>
  <c r="S14" i="1"/>
  <c r="S14" i="3" s="1"/>
  <c r="S15" i="1"/>
  <c r="S15" i="3" s="1"/>
  <c r="S16" i="1"/>
  <c r="S16" i="3" s="1"/>
  <c r="S17" i="1"/>
  <c r="S17" i="3" s="1"/>
  <c r="S18" i="1"/>
  <c r="S18" i="3" s="1"/>
  <c r="S19" i="1"/>
  <c r="S19" i="3" s="1"/>
  <c r="S20" i="1"/>
  <c r="S20" i="3" s="1"/>
  <c r="S21" i="1"/>
  <c r="S21" i="3" s="1"/>
  <c r="S22" i="1"/>
  <c r="S22" i="3" s="1"/>
  <c r="S23" i="1"/>
  <c r="S23" i="3" s="1"/>
  <c r="S24" i="1"/>
  <c r="S24" i="3" s="1"/>
  <c r="S25" i="1"/>
  <c r="S25" i="3" s="1"/>
  <c r="S26" i="1"/>
  <c r="S26" i="3" s="1"/>
  <c r="S27" i="1"/>
  <c r="S27" i="3" s="1"/>
  <c r="S28" i="1"/>
  <c r="S28" i="3" s="1"/>
  <c r="S29" i="1"/>
  <c r="S29" i="3" s="1"/>
  <c r="S30" i="1"/>
  <c r="S30" i="3" s="1"/>
  <c r="S31" i="1"/>
  <c r="S31" i="3" s="1"/>
  <c r="S32" i="1"/>
  <c r="S32" i="3" s="1"/>
  <c r="S33" i="1"/>
  <c r="S33" i="3" s="1"/>
  <c r="S34" i="1"/>
  <c r="S34" i="3" s="1"/>
  <c r="S35" i="1"/>
  <c r="S35" i="3" s="1"/>
  <c r="S36" i="1"/>
  <c r="S36" i="3" s="1"/>
  <c r="S37" i="1"/>
  <c r="S37" i="3" s="1"/>
  <c r="S38" i="1"/>
  <c r="S38" i="3" s="1"/>
  <c r="S39" i="1"/>
  <c r="S39" i="3" s="1"/>
  <c r="S40" i="1"/>
  <c r="S40" i="3" s="1"/>
  <c r="S41" i="1"/>
  <c r="S41" i="3" s="1"/>
  <c r="S42" i="1"/>
  <c r="S42" i="3" s="1"/>
  <c r="S43" i="1"/>
  <c r="S43" i="3" s="1"/>
  <c r="S44" i="1"/>
  <c r="S44" i="3" s="1"/>
  <c r="S45" i="1"/>
  <c r="S45" i="3" s="1"/>
  <c r="S46" i="1"/>
  <c r="S46" i="3" s="1"/>
  <c r="S47" i="1"/>
  <c r="S47" i="3" s="1"/>
  <c r="S48" i="1"/>
  <c r="S48" i="3" s="1"/>
  <c r="S49" i="1"/>
  <c r="S49" i="3" s="1"/>
  <c r="S50" i="1"/>
  <c r="S50" i="3" s="1"/>
  <c r="S51" i="1"/>
  <c r="S51" i="3" s="1"/>
  <c r="S52" i="1"/>
  <c r="S52" i="3" s="1"/>
  <c r="S53" i="1"/>
  <c r="S53" i="3" s="1"/>
  <c r="S54" i="1"/>
  <c r="S54" i="3" s="1"/>
  <c r="S55" i="1"/>
  <c r="S55" i="3" s="1"/>
  <c r="S56" i="1"/>
  <c r="S56" i="3" s="1"/>
  <c r="S57" i="1"/>
  <c r="S57" i="3" s="1"/>
  <c r="S58" i="1"/>
  <c r="S58" i="3" s="1"/>
  <c r="S59" i="1"/>
  <c r="S59" i="3" s="1"/>
  <c r="S60" i="1"/>
  <c r="S60" i="3" s="1"/>
  <c r="S61" i="1"/>
  <c r="S61" i="3" s="1"/>
  <c r="S62" i="1"/>
  <c r="S62" i="3" s="1"/>
  <c r="S63" i="1"/>
  <c r="S63" i="3" s="1"/>
  <c r="S64" i="1"/>
  <c r="S64" i="3" s="1"/>
  <c r="S65" i="1"/>
  <c r="S65" i="3" s="1"/>
  <c r="S66" i="1"/>
  <c r="S66" i="3" s="1"/>
  <c r="S67" i="1"/>
  <c r="S67" i="3" s="1"/>
  <c r="S68" i="1"/>
  <c r="S68" i="3" s="1"/>
  <c r="S69" i="1"/>
  <c r="S69" i="3" s="1"/>
  <c r="S70" i="1"/>
  <c r="S70" i="3" s="1"/>
  <c r="S71" i="1"/>
  <c r="S71" i="3" s="1"/>
  <c r="S72" i="1"/>
  <c r="S72" i="3" s="1"/>
  <c r="S73" i="1"/>
  <c r="S73" i="3" s="1"/>
  <c r="S74" i="1"/>
  <c r="S74" i="3" s="1"/>
  <c r="S75" i="1"/>
  <c r="S75" i="3" s="1"/>
  <c r="S76" i="1"/>
  <c r="S76" i="3" s="1"/>
  <c r="S77" i="1"/>
  <c r="S77" i="3" s="1"/>
  <c r="S5" i="1"/>
  <c r="S5" i="3" l="1"/>
  <c r="R6" i="1"/>
  <c r="R6" i="3" s="1"/>
  <c r="R7" i="1"/>
  <c r="R7" i="3" s="1"/>
  <c r="R8" i="1"/>
  <c r="R8" i="3" s="1"/>
  <c r="R9" i="1"/>
  <c r="R9" i="3" s="1"/>
  <c r="R10" i="1"/>
  <c r="R10" i="3" s="1"/>
  <c r="R11" i="1"/>
  <c r="R11" i="3" s="1"/>
  <c r="R12" i="1"/>
  <c r="R12" i="3" s="1"/>
  <c r="R13" i="1"/>
  <c r="R13" i="3" s="1"/>
  <c r="R14" i="1"/>
  <c r="R14" i="3" s="1"/>
  <c r="R15" i="1"/>
  <c r="R15" i="3" s="1"/>
  <c r="R16" i="1"/>
  <c r="R16" i="3" s="1"/>
  <c r="R17" i="1"/>
  <c r="R17" i="3" s="1"/>
  <c r="R18" i="1"/>
  <c r="R18" i="3" s="1"/>
  <c r="R19" i="1"/>
  <c r="R19" i="3" s="1"/>
  <c r="R20" i="1"/>
  <c r="R20" i="3" s="1"/>
  <c r="R21" i="1"/>
  <c r="R21" i="3" s="1"/>
  <c r="R22" i="1"/>
  <c r="R22" i="3" s="1"/>
  <c r="R23" i="1"/>
  <c r="R23" i="3" s="1"/>
  <c r="R24" i="1"/>
  <c r="R24" i="3" s="1"/>
  <c r="R25" i="1"/>
  <c r="R25" i="3" s="1"/>
  <c r="R26" i="1"/>
  <c r="R26" i="3" s="1"/>
  <c r="R27" i="1"/>
  <c r="R27" i="3" s="1"/>
  <c r="R28" i="1"/>
  <c r="R28" i="3" s="1"/>
  <c r="R29" i="1"/>
  <c r="R29" i="3" s="1"/>
  <c r="R30" i="1"/>
  <c r="R30" i="3" s="1"/>
  <c r="R31" i="1"/>
  <c r="R31" i="3" s="1"/>
  <c r="R32" i="1"/>
  <c r="R32" i="3" s="1"/>
  <c r="R33" i="1"/>
  <c r="R33" i="3" s="1"/>
  <c r="R34" i="1"/>
  <c r="R34" i="3" s="1"/>
  <c r="R35" i="1"/>
  <c r="R35" i="3" s="1"/>
  <c r="R36" i="1"/>
  <c r="R36" i="3" s="1"/>
  <c r="R37" i="1"/>
  <c r="R37" i="3" s="1"/>
  <c r="R38" i="1"/>
  <c r="R38" i="3" s="1"/>
  <c r="R39" i="1"/>
  <c r="R39" i="3" s="1"/>
  <c r="R40" i="1"/>
  <c r="R40" i="3" s="1"/>
  <c r="R41" i="1"/>
  <c r="R41" i="3" s="1"/>
  <c r="R42" i="1"/>
  <c r="R42" i="3" s="1"/>
  <c r="R43" i="1"/>
  <c r="R43" i="3" s="1"/>
  <c r="R44" i="1"/>
  <c r="R44" i="3" s="1"/>
  <c r="R45" i="1"/>
  <c r="R45" i="3" s="1"/>
  <c r="R46" i="1"/>
  <c r="R46" i="3" s="1"/>
  <c r="R47" i="1"/>
  <c r="R47" i="3" s="1"/>
  <c r="R48" i="1"/>
  <c r="R48" i="3" s="1"/>
  <c r="R49" i="1"/>
  <c r="R49" i="3" s="1"/>
  <c r="R50" i="1"/>
  <c r="R50" i="3" s="1"/>
  <c r="R51" i="1"/>
  <c r="R51" i="3" s="1"/>
  <c r="R52" i="1"/>
  <c r="R52" i="3" s="1"/>
  <c r="R53" i="1"/>
  <c r="R53" i="3" s="1"/>
  <c r="R54" i="1"/>
  <c r="R54" i="3" s="1"/>
  <c r="R55" i="1"/>
  <c r="R55" i="3" s="1"/>
  <c r="R56" i="1"/>
  <c r="R56" i="3" s="1"/>
  <c r="R57" i="1"/>
  <c r="R57" i="3" s="1"/>
  <c r="R58" i="1"/>
  <c r="R58" i="3" s="1"/>
  <c r="R59" i="1"/>
  <c r="R59" i="3" s="1"/>
  <c r="R60" i="1"/>
  <c r="R60" i="3" s="1"/>
  <c r="R61" i="1"/>
  <c r="R61" i="3" s="1"/>
  <c r="R62" i="1"/>
  <c r="R62" i="3" s="1"/>
  <c r="R63" i="1"/>
  <c r="R63" i="3" s="1"/>
  <c r="R64" i="1"/>
  <c r="R64" i="3" s="1"/>
  <c r="R65" i="1"/>
  <c r="R65" i="3" s="1"/>
  <c r="R66" i="1"/>
  <c r="R66" i="3" s="1"/>
  <c r="R67" i="1"/>
  <c r="R67" i="3" s="1"/>
  <c r="R68" i="1"/>
  <c r="R68" i="3" s="1"/>
  <c r="R69" i="1"/>
  <c r="R69" i="3" s="1"/>
  <c r="R70" i="1"/>
  <c r="R70" i="3" s="1"/>
  <c r="R71" i="1"/>
  <c r="R71" i="3" s="1"/>
  <c r="R72" i="1"/>
  <c r="R72" i="3" s="1"/>
  <c r="R73" i="1"/>
  <c r="R73" i="3" s="1"/>
  <c r="R74" i="1"/>
  <c r="R74" i="3" s="1"/>
  <c r="R75" i="1"/>
  <c r="R75" i="3" s="1"/>
  <c r="R76" i="1"/>
  <c r="R76" i="3" s="1"/>
  <c r="R77" i="1"/>
  <c r="R77" i="3" s="1"/>
  <c r="R5" i="1"/>
  <c r="R5" i="3" l="1"/>
  <c r="Q26" i="1"/>
  <c r="Q26" i="3" s="1"/>
  <c r="T26" i="3" s="1"/>
  <c r="Q5" i="1"/>
  <c r="Q6" i="1"/>
  <c r="Q6" i="3" s="1"/>
  <c r="T6" i="3" s="1"/>
  <c r="Q7" i="1"/>
  <c r="Q7" i="3" s="1"/>
  <c r="T7" i="3" s="1"/>
  <c r="Q8" i="1"/>
  <c r="Q8" i="3" s="1"/>
  <c r="T8" i="3" s="1"/>
  <c r="Q9" i="1"/>
  <c r="Q9" i="3" s="1"/>
  <c r="T9" i="3" s="1"/>
  <c r="Q10" i="1"/>
  <c r="Q10" i="3" s="1"/>
  <c r="T10" i="3" s="1"/>
  <c r="Q11" i="1"/>
  <c r="Q11" i="3" s="1"/>
  <c r="T11" i="3" s="1"/>
  <c r="Q12" i="1"/>
  <c r="Q12" i="3" s="1"/>
  <c r="T12" i="3" s="1"/>
  <c r="Q13" i="1"/>
  <c r="Q13" i="3" s="1"/>
  <c r="T13" i="3" s="1"/>
  <c r="Q14" i="1"/>
  <c r="Q14" i="3" s="1"/>
  <c r="T14" i="3" s="1"/>
  <c r="Q15" i="1"/>
  <c r="Q15" i="3" s="1"/>
  <c r="T15" i="3" s="1"/>
  <c r="Q16" i="1"/>
  <c r="Q16" i="3" s="1"/>
  <c r="T16" i="3" s="1"/>
  <c r="Q17" i="1"/>
  <c r="Q17" i="3" s="1"/>
  <c r="T17" i="3" s="1"/>
  <c r="Q18" i="1"/>
  <c r="Q18" i="3" s="1"/>
  <c r="T18" i="3" s="1"/>
  <c r="Q19" i="1"/>
  <c r="Q19" i="3" s="1"/>
  <c r="T19" i="3" s="1"/>
  <c r="Q20" i="1"/>
  <c r="Q20" i="3" s="1"/>
  <c r="T20" i="3" s="1"/>
  <c r="Q21" i="1"/>
  <c r="Q21" i="3" s="1"/>
  <c r="T21" i="3" s="1"/>
  <c r="Q22" i="1"/>
  <c r="Q22" i="3" s="1"/>
  <c r="T22" i="3" s="1"/>
  <c r="Q23" i="1"/>
  <c r="Q23" i="3" s="1"/>
  <c r="T23" i="3" s="1"/>
  <c r="Q24" i="1"/>
  <c r="Q24" i="3" s="1"/>
  <c r="T24" i="3" s="1"/>
  <c r="Q25" i="1"/>
  <c r="Q25" i="3" s="1"/>
  <c r="T25" i="3" s="1"/>
  <c r="Q27" i="1"/>
  <c r="Q27" i="3" s="1"/>
  <c r="T27" i="3" s="1"/>
  <c r="Q28" i="1"/>
  <c r="Q28" i="3" s="1"/>
  <c r="T28" i="3" s="1"/>
  <c r="Q29" i="1"/>
  <c r="Q29" i="3" s="1"/>
  <c r="T29" i="3" s="1"/>
  <c r="Q30" i="1"/>
  <c r="Q30" i="3" s="1"/>
  <c r="T30" i="3" s="1"/>
  <c r="Q31" i="1"/>
  <c r="Q31" i="3" s="1"/>
  <c r="T31" i="3" s="1"/>
  <c r="Q32" i="1"/>
  <c r="Q32" i="3" s="1"/>
  <c r="T32" i="3" s="1"/>
  <c r="Q33" i="1"/>
  <c r="Q33" i="3" s="1"/>
  <c r="T33" i="3" s="1"/>
  <c r="Q34" i="1"/>
  <c r="Q34" i="3" s="1"/>
  <c r="T34" i="3" s="1"/>
  <c r="Q35" i="1"/>
  <c r="Q35" i="3" s="1"/>
  <c r="T35" i="3" s="1"/>
  <c r="Q36" i="1"/>
  <c r="Q36" i="3" s="1"/>
  <c r="T36" i="3" s="1"/>
  <c r="Q37" i="1"/>
  <c r="Q37" i="3" s="1"/>
  <c r="T37" i="3" s="1"/>
  <c r="Q38" i="1"/>
  <c r="Q38" i="3" s="1"/>
  <c r="T38" i="3" s="1"/>
  <c r="Q39" i="1"/>
  <c r="Q39" i="3" s="1"/>
  <c r="T39" i="3" s="1"/>
  <c r="Q40" i="1"/>
  <c r="Q40" i="3" s="1"/>
  <c r="T40" i="3" s="1"/>
  <c r="Q41" i="1"/>
  <c r="Q41" i="3" s="1"/>
  <c r="T41" i="3" s="1"/>
  <c r="Q42" i="1"/>
  <c r="Q42" i="3" s="1"/>
  <c r="T42" i="3" s="1"/>
  <c r="Q43" i="1"/>
  <c r="Q43" i="3" s="1"/>
  <c r="T43" i="3" s="1"/>
  <c r="Q44" i="1"/>
  <c r="Q44" i="3" s="1"/>
  <c r="T44" i="3" s="1"/>
  <c r="Q45" i="1"/>
  <c r="Q45" i="3" s="1"/>
  <c r="T45" i="3" s="1"/>
  <c r="Q46" i="1"/>
  <c r="Q46" i="3" s="1"/>
  <c r="T46" i="3" s="1"/>
  <c r="Q47" i="1"/>
  <c r="Q47" i="3" s="1"/>
  <c r="T47" i="3" s="1"/>
  <c r="Q48" i="1"/>
  <c r="Q48" i="3" s="1"/>
  <c r="T48" i="3" s="1"/>
  <c r="Q49" i="1"/>
  <c r="Q49" i="3" s="1"/>
  <c r="T49" i="3" s="1"/>
  <c r="Q50" i="1"/>
  <c r="Q50" i="3" s="1"/>
  <c r="T50" i="3" s="1"/>
  <c r="Q51" i="1"/>
  <c r="Q51" i="3" s="1"/>
  <c r="T51" i="3" s="1"/>
  <c r="Q52" i="1"/>
  <c r="Q52" i="3" s="1"/>
  <c r="T52" i="3" s="1"/>
  <c r="Q53" i="1"/>
  <c r="Q53" i="3" s="1"/>
  <c r="T53" i="3" s="1"/>
  <c r="Q54" i="1"/>
  <c r="Q54" i="3" s="1"/>
  <c r="T54" i="3" s="1"/>
  <c r="Q55" i="1"/>
  <c r="Q55" i="3" s="1"/>
  <c r="T55" i="3" s="1"/>
  <c r="Q56" i="1"/>
  <c r="Q56" i="3" s="1"/>
  <c r="T56" i="3" s="1"/>
  <c r="Q57" i="1"/>
  <c r="Q57" i="3" s="1"/>
  <c r="T57" i="3" s="1"/>
  <c r="Q58" i="1"/>
  <c r="Q58" i="3" s="1"/>
  <c r="T58" i="3" s="1"/>
  <c r="Q59" i="1"/>
  <c r="Q59" i="3" s="1"/>
  <c r="T59" i="3" s="1"/>
  <c r="Q60" i="1"/>
  <c r="Q60" i="3" s="1"/>
  <c r="T60" i="3" s="1"/>
  <c r="Q61" i="1"/>
  <c r="Q61" i="3" s="1"/>
  <c r="T61" i="3" s="1"/>
  <c r="Q62" i="1"/>
  <c r="Q62" i="3" s="1"/>
  <c r="T62" i="3" s="1"/>
  <c r="Q63" i="1"/>
  <c r="Q63" i="3" s="1"/>
  <c r="T63" i="3" s="1"/>
  <c r="Q64" i="1"/>
  <c r="Q64" i="3" s="1"/>
  <c r="T64" i="3" s="1"/>
  <c r="Q65" i="1"/>
  <c r="Q65" i="3" s="1"/>
  <c r="T65" i="3" s="1"/>
  <c r="Q66" i="1"/>
  <c r="Q66" i="3" s="1"/>
  <c r="T66" i="3" s="1"/>
  <c r="Q67" i="1"/>
  <c r="Q67" i="3" s="1"/>
  <c r="T67" i="3" s="1"/>
  <c r="Q68" i="1"/>
  <c r="Q68" i="3" s="1"/>
  <c r="T68" i="3" s="1"/>
  <c r="Q69" i="1"/>
  <c r="Q69" i="3" s="1"/>
  <c r="T69" i="3" s="1"/>
  <c r="Q70" i="1"/>
  <c r="Q70" i="3" s="1"/>
  <c r="T70" i="3" s="1"/>
  <c r="Q71" i="1"/>
  <c r="Q71" i="3" s="1"/>
  <c r="T71" i="3" s="1"/>
  <c r="Q72" i="1"/>
  <c r="Q72" i="3" s="1"/>
  <c r="T72" i="3" s="1"/>
  <c r="Q73" i="1"/>
  <c r="Q73" i="3" s="1"/>
  <c r="T73" i="3" s="1"/>
  <c r="Q74" i="1"/>
  <c r="Q74" i="3" s="1"/>
  <c r="T74" i="3" s="1"/>
  <c r="Q75" i="1"/>
  <c r="Q75" i="3" s="1"/>
  <c r="T75" i="3" s="1"/>
  <c r="Q76" i="1"/>
  <c r="Q76" i="3" s="1"/>
  <c r="T76" i="3" s="1"/>
  <c r="Q77" i="1"/>
  <c r="Q77" i="3" s="1"/>
  <c r="T77" i="3" s="1"/>
  <c r="Q5" i="3" l="1"/>
  <c r="T5" i="3" s="1"/>
</calcChain>
</file>

<file path=xl/sharedStrings.xml><?xml version="1.0" encoding="utf-8"?>
<sst xmlns="http://schemas.openxmlformats.org/spreadsheetml/2006/main" count="214" uniqueCount="106">
  <si>
    <t>No.</t>
  </si>
  <si>
    <t>Registro</t>
  </si>
  <si>
    <t>Nombres</t>
  </si>
  <si>
    <t>Pérez Aráuz Bily Bilsen Américo</t>
  </si>
  <si>
    <t>Macario Xicara Daniel Enrique</t>
  </si>
  <si>
    <t>Gomez Miranda Ronald Eliu</t>
  </si>
  <si>
    <t>Sum Agustin Cristian Yair</t>
  </si>
  <si>
    <t>Norato Batz Gabriel Alexander</t>
  </si>
  <si>
    <t>Orozco Bautista Cristian Emanuel</t>
  </si>
  <si>
    <t>Juárez Pinzón Yheshua Hermany</t>
  </si>
  <si>
    <t>Poncio Chávez Kevin José Moisés</t>
  </si>
  <si>
    <t>Maldonado Ramírez Leandry Analisse</t>
  </si>
  <si>
    <t>López Pereira Marcos Gadiel</t>
  </si>
  <si>
    <t>Osorio Alvarez Lesther Noel</t>
  </si>
  <si>
    <t>Ventura Ramón Allan Bacilio Guadalupe</t>
  </si>
  <si>
    <t>Gómez Gómez Flor De María</t>
  </si>
  <si>
    <t>Sacalxot Fuentes Ricardo Josué</t>
  </si>
  <si>
    <t>Baquiax Hernández Jackelin Vanessa</t>
  </si>
  <si>
    <t>Colaj Aguilar Juan Carlos</t>
  </si>
  <si>
    <t>De Leon De Leon Wilder Jose Manuel</t>
  </si>
  <si>
    <t>Gabriel Tziquín Francisco Miguel</t>
  </si>
  <si>
    <t>Romero Méndez Hanier Elien</t>
  </si>
  <si>
    <t>García Hernández José Miguel</t>
  </si>
  <si>
    <t>Lem Vicente Kabawil Jose Victor</t>
  </si>
  <si>
    <t>Pérez Güinac Allan Alfonso</t>
  </si>
  <si>
    <t>Caxaj Pérez Monica Silvana</t>
  </si>
  <si>
    <t>Laynez Sanchez Domingo Williams Witt</t>
  </si>
  <si>
    <t>González Agustin Brandon Geovany</t>
  </si>
  <si>
    <t>Estrada Orozco Luis Alessandro</t>
  </si>
  <si>
    <t>Sut Canil Fátima Guadalupe</t>
  </si>
  <si>
    <t>Maldonado Alvarez Willy André</t>
  </si>
  <si>
    <t>Hilario Ixcaticoy David Francisco</t>
  </si>
  <si>
    <t>García Méndez Rubén</t>
  </si>
  <si>
    <t>Lopez Coyoy Daniel Alexander</t>
  </si>
  <si>
    <t>Hernandez Flores Maria De Los Angeles</t>
  </si>
  <si>
    <t>Ramírez Lorenzo Bécket Wenceslao</t>
  </si>
  <si>
    <t>Cux Son Josseline Paola</t>
  </si>
  <si>
    <t>Us Ochoa Emily Paola</t>
  </si>
  <si>
    <t>Montiel Pérez Fulvio Alfredo</t>
  </si>
  <si>
    <t>Aguilar Herrera Kevin Misael</t>
  </si>
  <si>
    <t>Robles Barán Christian Fernando</t>
  </si>
  <si>
    <t>Lopez Rodriguez Marvin Josue</t>
  </si>
  <si>
    <t>Matul Figueroa Estefani Abigail</t>
  </si>
  <si>
    <t>Xiquin Yoxón Fernando David</t>
  </si>
  <si>
    <t>Caxaj Tale Jeremy Roman</t>
  </si>
  <si>
    <t>Say Tax Mario Francisco David</t>
  </si>
  <si>
    <t>Sac Ajxup Joel Isaac</t>
  </si>
  <si>
    <t>Sacalxot Escobar Manuel</t>
  </si>
  <si>
    <t>Poron Quiacain Emman Didier Nicolas</t>
  </si>
  <si>
    <t>Chojolan Macario Heydi Maritza</t>
  </si>
  <si>
    <t>Yancor Ocana Maria Fernanda</t>
  </si>
  <si>
    <t>Salanic Garcia Bryan Rocael</t>
  </si>
  <si>
    <t>Vasquez Peneleu Estuardo Rafael</t>
  </si>
  <si>
    <t>Campollo Garcia Juan Rodrigo</t>
  </si>
  <si>
    <t>Perez Choxom Lidia Alejandra</t>
  </si>
  <si>
    <t>Xivir Xivir Alex Felipe</t>
  </si>
  <si>
    <t>Ramos Cholotio Juan Antonio</t>
  </si>
  <si>
    <t>Fuentes Perez Nelfin Ulises</t>
  </si>
  <si>
    <t>Cac Tzoc Obed Absalon</t>
  </si>
  <si>
    <t>Ramirez García Astrid Alejandra</t>
  </si>
  <si>
    <t>Tistoj Quixtan Daniel Alejandro</t>
  </si>
  <si>
    <t>Copp Elías Esteban Fernando</t>
  </si>
  <si>
    <t>Macario López Débora Marian</t>
  </si>
  <si>
    <t>Lux Xulá Anthony Smaylin</t>
  </si>
  <si>
    <t>Zapeta Pur Angel Herson Jose</t>
  </si>
  <si>
    <t>Garcia Mendez Michael Anderson</t>
  </si>
  <si>
    <t>Juárez González Wilmer Ronaél</t>
  </si>
  <si>
    <t>Recinos Maldonado Jerry Francisco</t>
  </si>
  <si>
    <t>Rodríguez Carreto Brenda Michelle</t>
  </si>
  <si>
    <t>Bach Camaja Ilsi Juanita Magdalena</t>
  </si>
  <si>
    <t>Pelicó Alvarez Astrid Yohana</t>
  </si>
  <si>
    <t>Coyoy Lucas Edgar Inocente Isaac</t>
  </si>
  <si>
    <t>Pastor Cajchum Billy Bequer</t>
  </si>
  <si>
    <t>Jiménez Gómez Angel Daniel Dominique</t>
  </si>
  <si>
    <t xml:space="preserve">José Alexander López Cantoral </t>
  </si>
  <si>
    <t xml:space="preserve">Fredi Horlando Cotom Pérez </t>
  </si>
  <si>
    <t>HT1</t>
  </si>
  <si>
    <t xml:space="preserve">HT2 </t>
  </si>
  <si>
    <t xml:space="preserve">HT3 </t>
  </si>
  <si>
    <t xml:space="preserve">HT4  </t>
  </si>
  <si>
    <t xml:space="preserve">TAREA </t>
  </si>
  <si>
    <t>HT Ingeniero  (29/07/2025)</t>
  </si>
  <si>
    <t>HT Ingeniero   (1/08/2025)</t>
  </si>
  <si>
    <t>HT Ingeniero  (13/08/2025)</t>
  </si>
  <si>
    <t>HT Ingeniero  (29/08/2025)</t>
  </si>
  <si>
    <t>Geometria y ecuaciones (12/08/2025)</t>
  </si>
  <si>
    <t>Evaluar Funciones (19/08/2025)</t>
  </si>
  <si>
    <t>Dominio Funciones (28/08/2025)</t>
  </si>
  <si>
    <t>Graficas   (2/09/2025)</t>
  </si>
  <si>
    <t>Representación Polinomios (11/09/2025)</t>
  </si>
  <si>
    <t>Division de Polinomios (23/09/2025)</t>
  </si>
  <si>
    <t>Funciones Racionales, Asintotas (9/10/2025)</t>
  </si>
  <si>
    <t>Funciones Exp, N, Log      (16/10/2025)</t>
  </si>
  <si>
    <t>Proyecto Final      (23/10/2025)</t>
  </si>
  <si>
    <t>PF</t>
  </si>
  <si>
    <t>NTF</t>
  </si>
  <si>
    <t>NOTAS FINALES</t>
  </si>
  <si>
    <t>Investigacion T. Polinomios (2/09/2025)</t>
  </si>
  <si>
    <t>Puntaje asignado por actividad</t>
  </si>
  <si>
    <t>HT2</t>
  </si>
  <si>
    <t>HT 3</t>
  </si>
  <si>
    <t>HT4</t>
  </si>
  <si>
    <t xml:space="preserve">HT5 </t>
  </si>
  <si>
    <t xml:space="preserve">HT6 </t>
  </si>
  <si>
    <t>HT7</t>
  </si>
  <si>
    <t>HT8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</si>
</sst>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5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3" fillId="0" borderId="2" xfId="0" applyFont="1" applyBorder="1"/>
    <xf numFmtId="0" fontId="2" fillId="0" borderId="5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/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1" fillId="0" borderId="3" xfId="0" applyFont="1" applyBorder="1"/>
    <xf numFmtId="0" fontId="0" fillId="0" borderId="6" xfId="0" applyBorder="1" applyAlignment="1">
      <alignment horizontal="center" vertical="center"/>
    </xf>
    <xf numFmtId="0" fontId="1" fillId="0" borderId="6" xfId="0" applyFont="1" applyBorder="1"/>
    <xf numFmtId="0" fontId="1" fillId="0" borderId="1" xfId="0" applyFont="1" applyBorder="1" applyAlignment="1">
      <alignment horizontal="right" vertical="center"/>
    </xf>
    <xf numFmtId="0" fontId="1" fillId="0" borderId="4" xfId="0" applyFont="1" applyBorder="1"/>
    <xf numFmtId="0" fontId="1" fillId="0" borderId="4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textRotation="90" wrapText="1"/>
    </xf>
    <xf numFmtId="0" fontId="1" fillId="0" borderId="0" xfId="0" applyFont="1" applyAlignment="1">
      <alignment horizontal="center" vertical="center" textRotation="90" wrapText="1"/>
    </xf>
    <xf numFmtId="2" fontId="1" fillId="0" borderId="0" xfId="0" applyNumberFormat="1" applyFont="1"/>
    <xf numFmtId="2" fontId="2" fillId="0" borderId="5" xfId="0" applyNumberFormat="1" applyFont="1" applyBorder="1" applyAlignment="1">
      <alignment horizontal="center" vertical="center" textRotation="90" wrapText="1"/>
    </xf>
    <xf numFmtId="2" fontId="2" fillId="0" borderId="7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/>
    </xf>
    <xf numFmtId="2" fontId="2" fillId="0" borderId="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bicacion%20C%20a%20D\Documentos\gitPrimer-Semetre-25\PRACTICAS%20DOCENCIA\LABORATORIO%20MB1\LISTADO%20COMPLETO%20MACROS\PUNTEOS%20FINALES.xlsx" TargetMode="External"/><Relationship Id="rId1" Type="http://schemas.openxmlformats.org/officeDocument/2006/relationships/externalLinkPath" Target="PUNTEOS%20FIN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5">
          <cell r="F5">
            <v>0</v>
          </cell>
          <cell r="G5">
            <v>0</v>
          </cell>
          <cell r="H5">
            <v>50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</v>
          </cell>
          <cell r="N5">
            <v>0</v>
          </cell>
          <cell r="O5">
            <v>0</v>
          </cell>
          <cell r="P5">
            <v>100</v>
          </cell>
          <cell r="Q5">
            <v>0</v>
          </cell>
          <cell r="R5">
            <v>0</v>
          </cell>
          <cell r="S5">
            <v>0</v>
          </cell>
        </row>
        <row r="6">
          <cell r="F6">
            <v>100</v>
          </cell>
          <cell r="G6">
            <v>0</v>
          </cell>
          <cell r="H6">
            <v>50</v>
          </cell>
          <cell r="I6">
            <v>100</v>
          </cell>
          <cell r="J6">
            <v>100</v>
          </cell>
          <cell r="K6">
            <v>100</v>
          </cell>
          <cell r="L6">
            <v>100</v>
          </cell>
          <cell r="M6">
            <v>100</v>
          </cell>
          <cell r="N6">
            <v>80</v>
          </cell>
          <cell r="O6">
            <v>100</v>
          </cell>
          <cell r="P6">
            <v>100</v>
          </cell>
          <cell r="Q6">
            <v>100</v>
          </cell>
          <cell r="R6">
            <v>100</v>
          </cell>
          <cell r="S6">
            <v>100</v>
          </cell>
        </row>
        <row r="7">
          <cell r="F7">
            <v>100</v>
          </cell>
          <cell r="G7">
            <v>0</v>
          </cell>
          <cell r="H7">
            <v>100</v>
          </cell>
          <cell r="I7">
            <v>0</v>
          </cell>
          <cell r="J7">
            <v>85</v>
          </cell>
          <cell r="K7">
            <v>100</v>
          </cell>
          <cell r="L7">
            <v>100</v>
          </cell>
          <cell r="M7">
            <v>100</v>
          </cell>
          <cell r="N7">
            <v>70</v>
          </cell>
          <cell r="O7">
            <v>0</v>
          </cell>
          <cell r="P7">
            <v>85</v>
          </cell>
          <cell r="Q7">
            <v>80</v>
          </cell>
          <cell r="R7">
            <v>0</v>
          </cell>
          <cell r="S7">
            <v>100</v>
          </cell>
        </row>
        <row r="8"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F9">
            <v>0</v>
          </cell>
          <cell r="G9">
            <v>0</v>
          </cell>
          <cell r="H9">
            <v>100</v>
          </cell>
          <cell r="I9">
            <v>90</v>
          </cell>
          <cell r="J9">
            <v>0</v>
          </cell>
          <cell r="K9">
            <v>50</v>
          </cell>
          <cell r="L9">
            <v>90</v>
          </cell>
          <cell r="M9">
            <v>80</v>
          </cell>
          <cell r="N9">
            <v>75</v>
          </cell>
          <cell r="O9">
            <v>85</v>
          </cell>
          <cell r="P9">
            <v>0</v>
          </cell>
          <cell r="Q9">
            <v>100</v>
          </cell>
          <cell r="R9">
            <v>100</v>
          </cell>
          <cell r="S9">
            <v>100</v>
          </cell>
        </row>
        <row r="10"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F11">
            <v>100</v>
          </cell>
          <cell r="G11">
            <v>0</v>
          </cell>
          <cell r="H11">
            <v>100</v>
          </cell>
          <cell r="I11">
            <v>90</v>
          </cell>
          <cell r="J11">
            <v>60</v>
          </cell>
          <cell r="K11">
            <v>0</v>
          </cell>
          <cell r="L11">
            <v>100</v>
          </cell>
          <cell r="M11">
            <v>100</v>
          </cell>
          <cell r="N11">
            <v>50</v>
          </cell>
          <cell r="O11">
            <v>0</v>
          </cell>
          <cell r="P11">
            <v>65</v>
          </cell>
          <cell r="Q11">
            <v>80</v>
          </cell>
          <cell r="R11">
            <v>100</v>
          </cell>
          <cell r="S11">
            <v>0</v>
          </cell>
        </row>
        <row r="12">
          <cell r="F12">
            <v>0</v>
          </cell>
          <cell r="G12">
            <v>100</v>
          </cell>
          <cell r="H12">
            <v>0</v>
          </cell>
          <cell r="I12">
            <v>0</v>
          </cell>
          <cell r="J12">
            <v>100</v>
          </cell>
          <cell r="K12">
            <v>100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70</v>
          </cell>
          <cell r="Q12">
            <v>80</v>
          </cell>
          <cell r="R12">
            <v>0</v>
          </cell>
          <cell r="S12">
            <v>100</v>
          </cell>
        </row>
        <row r="13">
          <cell r="F13">
            <v>100</v>
          </cell>
          <cell r="G13">
            <v>0</v>
          </cell>
          <cell r="H13">
            <v>100</v>
          </cell>
          <cell r="I13">
            <v>100</v>
          </cell>
          <cell r="J13">
            <v>100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>
            <v>65</v>
          </cell>
          <cell r="P13">
            <v>80</v>
          </cell>
          <cell r="Q13">
            <v>100</v>
          </cell>
          <cell r="R13">
            <v>100</v>
          </cell>
          <cell r="S13">
            <v>100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100</v>
          </cell>
          <cell r="J14">
            <v>75</v>
          </cell>
          <cell r="K14">
            <v>90</v>
          </cell>
          <cell r="L14">
            <v>100</v>
          </cell>
          <cell r="M14">
            <v>80</v>
          </cell>
          <cell r="N14">
            <v>70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100</v>
          </cell>
        </row>
        <row r="15">
          <cell r="F15">
            <v>0</v>
          </cell>
          <cell r="G15">
            <v>0</v>
          </cell>
          <cell r="H15">
            <v>100</v>
          </cell>
          <cell r="I15">
            <v>0</v>
          </cell>
          <cell r="J15">
            <v>60</v>
          </cell>
          <cell r="K15">
            <v>0</v>
          </cell>
          <cell r="L15">
            <v>90</v>
          </cell>
          <cell r="M15">
            <v>100</v>
          </cell>
          <cell r="N15">
            <v>0</v>
          </cell>
          <cell r="O15">
            <v>0</v>
          </cell>
          <cell r="P15">
            <v>30</v>
          </cell>
          <cell r="Q15">
            <v>0</v>
          </cell>
          <cell r="R15">
            <v>0</v>
          </cell>
          <cell r="S15">
            <v>0</v>
          </cell>
        </row>
        <row r="16">
          <cell r="F16">
            <v>100</v>
          </cell>
          <cell r="G16">
            <v>0</v>
          </cell>
          <cell r="H16">
            <v>100</v>
          </cell>
          <cell r="I16">
            <v>100</v>
          </cell>
          <cell r="J16">
            <v>100</v>
          </cell>
          <cell r="K16">
            <v>100</v>
          </cell>
          <cell r="L16">
            <v>100</v>
          </cell>
          <cell r="M16">
            <v>100</v>
          </cell>
          <cell r="N16">
            <v>50</v>
          </cell>
          <cell r="O16">
            <v>100</v>
          </cell>
          <cell r="P16">
            <v>50</v>
          </cell>
          <cell r="Q16">
            <v>0</v>
          </cell>
          <cell r="R16">
            <v>0</v>
          </cell>
          <cell r="S16">
            <v>100</v>
          </cell>
        </row>
        <row r="17">
          <cell r="F17">
            <v>100</v>
          </cell>
          <cell r="G17">
            <v>0</v>
          </cell>
          <cell r="H17">
            <v>50</v>
          </cell>
          <cell r="I17">
            <v>90</v>
          </cell>
          <cell r="J17">
            <v>100</v>
          </cell>
          <cell r="K17">
            <v>85</v>
          </cell>
          <cell r="L17">
            <v>100</v>
          </cell>
          <cell r="M17">
            <v>100</v>
          </cell>
          <cell r="N17">
            <v>70</v>
          </cell>
          <cell r="O17">
            <v>75</v>
          </cell>
          <cell r="P17">
            <v>70</v>
          </cell>
          <cell r="Q17">
            <v>100</v>
          </cell>
          <cell r="R17">
            <v>100</v>
          </cell>
          <cell r="S17">
            <v>100</v>
          </cell>
        </row>
        <row r="18">
          <cell r="F18">
            <v>100</v>
          </cell>
          <cell r="G18">
            <v>0</v>
          </cell>
          <cell r="H18">
            <v>50</v>
          </cell>
          <cell r="I18">
            <v>100</v>
          </cell>
          <cell r="J18">
            <v>85</v>
          </cell>
          <cell r="K18">
            <v>100</v>
          </cell>
          <cell r="L18">
            <v>100</v>
          </cell>
          <cell r="M18">
            <v>100</v>
          </cell>
          <cell r="N18">
            <v>50</v>
          </cell>
          <cell r="O18">
            <v>100</v>
          </cell>
          <cell r="P18">
            <v>100</v>
          </cell>
          <cell r="Q18">
            <v>100</v>
          </cell>
          <cell r="R18">
            <v>100</v>
          </cell>
          <cell r="S18">
            <v>100</v>
          </cell>
        </row>
        <row r="19">
          <cell r="F19">
            <v>100</v>
          </cell>
          <cell r="G19">
            <v>0</v>
          </cell>
          <cell r="H19">
            <v>0</v>
          </cell>
          <cell r="I19">
            <v>0</v>
          </cell>
          <cell r="J19">
            <v>100</v>
          </cell>
          <cell r="K19">
            <v>100</v>
          </cell>
          <cell r="L19">
            <v>100</v>
          </cell>
          <cell r="M19">
            <v>100</v>
          </cell>
          <cell r="N19">
            <v>80</v>
          </cell>
          <cell r="O19">
            <v>100</v>
          </cell>
          <cell r="P19">
            <v>100</v>
          </cell>
          <cell r="Q19">
            <v>0</v>
          </cell>
          <cell r="R19">
            <v>0</v>
          </cell>
          <cell r="S19">
            <v>0</v>
          </cell>
        </row>
        <row r="20">
          <cell r="F20">
            <v>100</v>
          </cell>
          <cell r="G20">
            <v>100</v>
          </cell>
          <cell r="H20">
            <v>100</v>
          </cell>
          <cell r="I20">
            <v>90</v>
          </cell>
          <cell r="J20">
            <v>85</v>
          </cell>
          <cell r="K20">
            <v>100</v>
          </cell>
          <cell r="L20">
            <v>100</v>
          </cell>
          <cell r="M20">
            <v>100</v>
          </cell>
          <cell r="N20">
            <v>70</v>
          </cell>
          <cell r="O20">
            <v>85</v>
          </cell>
          <cell r="P20">
            <v>85</v>
          </cell>
          <cell r="Q20">
            <v>80</v>
          </cell>
          <cell r="R20">
            <v>100</v>
          </cell>
          <cell r="S20">
            <v>100</v>
          </cell>
        </row>
        <row r="21">
          <cell r="F21">
            <v>100</v>
          </cell>
          <cell r="G21">
            <v>0</v>
          </cell>
          <cell r="H21">
            <v>50</v>
          </cell>
          <cell r="I21">
            <v>100</v>
          </cell>
          <cell r="J21">
            <v>85</v>
          </cell>
          <cell r="K21">
            <v>100</v>
          </cell>
          <cell r="L21">
            <v>100</v>
          </cell>
          <cell r="M21">
            <v>100</v>
          </cell>
          <cell r="N21">
            <v>50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>
            <v>100</v>
          </cell>
        </row>
        <row r="22">
          <cell r="F22">
            <v>100</v>
          </cell>
          <cell r="G22">
            <v>100</v>
          </cell>
          <cell r="H22">
            <v>100</v>
          </cell>
          <cell r="I22">
            <v>100</v>
          </cell>
          <cell r="J22">
            <v>100</v>
          </cell>
          <cell r="K22">
            <v>100</v>
          </cell>
          <cell r="L22">
            <v>100</v>
          </cell>
          <cell r="M22">
            <v>100</v>
          </cell>
          <cell r="N22">
            <v>50</v>
          </cell>
          <cell r="O22">
            <v>90</v>
          </cell>
          <cell r="P22">
            <v>45</v>
          </cell>
          <cell r="Q22">
            <v>80</v>
          </cell>
          <cell r="R22">
            <v>100</v>
          </cell>
          <cell r="S22">
            <v>100</v>
          </cell>
        </row>
        <row r="23">
          <cell r="F23">
            <v>100</v>
          </cell>
          <cell r="G23">
            <v>0</v>
          </cell>
          <cell r="H23">
            <v>100</v>
          </cell>
          <cell r="I23">
            <v>100</v>
          </cell>
          <cell r="J23">
            <v>75</v>
          </cell>
          <cell r="K23">
            <v>100</v>
          </cell>
          <cell r="L23">
            <v>100</v>
          </cell>
          <cell r="M23">
            <v>100</v>
          </cell>
          <cell r="N23">
            <v>90</v>
          </cell>
          <cell r="O23">
            <v>95</v>
          </cell>
          <cell r="P23">
            <v>90</v>
          </cell>
          <cell r="Q23">
            <v>0</v>
          </cell>
          <cell r="R23">
            <v>0</v>
          </cell>
          <cell r="S23">
            <v>0</v>
          </cell>
        </row>
        <row r="24">
          <cell r="F24">
            <v>0</v>
          </cell>
          <cell r="G24">
            <v>0</v>
          </cell>
          <cell r="H24">
            <v>100</v>
          </cell>
          <cell r="I24">
            <v>100</v>
          </cell>
          <cell r="J24">
            <v>0</v>
          </cell>
          <cell r="K24">
            <v>0</v>
          </cell>
          <cell r="L24">
            <v>100</v>
          </cell>
          <cell r="M24">
            <v>0</v>
          </cell>
          <cell r="N24">
            <v>0</v>
          </cell>
          <cell r="O24">
            <v>15</v>
          </cell>
          <cell r="P24">
            <v>90</v>
          </cell>
          <cell r="Q24">
            <v>100</v>
          </cell>
          <cell r="R24">
            <v>0</v>
          </cell>
          <cell r="S24">
            <v>100</v>
          </cell>
        </row>
        <row r="25">
          <cell r="F25">
            <v>0</v>
          </cell>
          <cell r="G25">
            <v>100</v>
          </cell>
          <cell r="H25">
            <v>0</v>
          </cell>
          <cell r="I25">
            <v>0</v>
          </cell>
          <cell r="J25">
            <v>0</v>
          </cell>
          <cell r="K25">
            <v>100</v>
          </cell>
          <cell r="L25">
            <v>0</v>
          </cell>
          <cell r="M25">
            <v>100</v>
          </cell>
          <cell r="N25">
            <v>0</v>
          </cell>
          <cell r="O25">
            <v>85</v>
          </cell>
          <cell r="P25">
            <v>70</v>
          </cell>
          <cell r="Q25">
            <v>80</v>
          </cell>
          <cell r="R25">
            <v>100</v>
          </cell>
          <cell r="S25">
            <v>100</v>
          </cell>
        </row>
        <row r="26">
          <cell r="F26">
            <v>100</v>
          </cell>
          <cell r="G26">
            <v>0</v>
          </cell>
          <cell r="H26">
            <v>0</v>
          </cell>
          <cell r="I26">
            <v>100</v>
          </cell>
          <cell r="J26">
            <v>50</v>
          </cell>
          <cell r="K26">
            <v>50</v>
          </cell>
          <cell r="L26">
            <v>50</v>
          </cell>
          <cell r="M26">
            <v>100</v>
          </cell>
          <cell r="N26">
            <v>25</v>
          </cell>
          <cell r="O26">
            <v>25</v>
          </cell>
          <cell r="P26">
            <v>100</v>
          </cell>
          <cell r="Q26">
            <v>80</v>
          </cell>
          <cell r="R26">
            <v>0</v>
          </cell>
          <cell r="S26">
            <v>100</v>
          </cell>
        </row>
        <row r="27">
          <cell r="F27">
            <v>100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100</v>
          </cell>
          <cell r="L27">
            <v>100</v>
          </cell>
          <cell r="M27">
            <v>100</v>
          </cell>
          <cell r="N27">
            <v>70</v>
          </cell>
          <cell r="O27">
            <v>100</v>
          </cell>
          <cell r="P27">
            <v>100</v>
          </cell>
          <cell r="Q27">
            <v>0</v>
          </cell>
          <cell r="R27">
            <v>0</v>
          </cell>
          <cell r="S27">
            <v>0</v>
          </cell>
        </row>
        <row r="28">
          <cell r="F28">
            <v>100</v>
          </cell>
          <cell r="G28">
            <v>0</v>
          </cell>
          <cell r="H28">
            <v>100</v>
          </cell>
          <cell r="I28">
            <v>100</v>
          </cell>
          <cell r="J28">
            <v>75</v>
          </cell>
          <cell r="K28">
            <v>100</v>
          </cell>
          <cell r="L28">
            <v>90</v>
          </cell>
          <cell r="M28">
            <v>100</v>
          </cell>
          <cell r="N28">
            <v>70</v>
          </cell>
          <cell r="O28">
            <v>95</v>
          </cell>
          <cell r="P28">
            <v>90</v>
          </cell>
          <cell r="Q28">
            <v>0</v>
          </cell>
          <cell r="R28">
            <v>0</v>
          </cell>
          <cell r="S28">
            <v>0</v>
          </cell>
        </row>
        <row r="29">
          <cell r="F29">
            <v>100</v>
          </cell>
          <cell r="G29">
            <v>0</v>
          </cell>
          <cell r="H29">
            <v>0</v>
          </cell>
          <cell r="I29">
            <v>100</v>
          </cell>
          <cell r="J29">
            <v>50</v>
          </cell>
          <cell r="K29">
            <v>50</v>
          </cell>
          <cell r="L29">
            <v>50</v>
          </cell>
          <cell r="M29">
            <v>0</v>
          </cell>
          <cell r="N29">
            <v>25</v>
          </cell>
          <cell r="O29">
            <v>25</v>
          </cell>
          <cell r="P29">
            <v>100</v>
          </cell>
          <cell r="Q29">
            <v>80</v>
          </cell>
          <cell r="R29">
            <v>0</v>
          </cell>
          <cell r="S29">
            <v>100</v>
          </cell>
        </row>
        <row r="30">
          <cell r="F30">
            <v>0</v>
          </cell>
          <cell r="G30">
            <v>0</v>
          </cell>
          <cell r="H30">
            <v>100</v>
          </cell>
          <cell r="I30">
            <v>100</v>
          </cell>
          <cell r="J30">
            <v>100</v>
          </cell>
          <cell r="K30">
            <v>75</v>
          </cell>
          <cell r="L30">
            <v>90</v>
          </cell>
          <cell r="M30">
            <v>100</v>
          </cell>
          <cell r="N30">
            <v>80</v>
          </cell>
          <cell r="O30">
            <v>90</v>
          </cell>
          <cell r="P30">
            <v>60</v>
          </cell>
          <cell r="Q30">
            <v>0</v>
          </cell>
          <cell r="R30">
            <v>0</v>
          </cell>
          <cell r="S30">
            <v>0</v>
          </cell>
        </row>
        <row r="31">
          <cell r="F31">
            <v>100</v>
          </cell>
          <cell r="G31">
            <v>0</v>
          </cell>
          <cell r="H31">
            <v>100</v>
          </cell>
          <cell r="I31">
            <v>100</v>
          </cell>
          <cell r="J31">
            <v>100</v>
          </cell>
          <cell r="K31">
            <v>100</v>
          </cell>
          <cell r="L31">
            <v>100</v>
          </cell>
          <cell r="M31">
            <v>100</v>
          </cell>
          <cell r="N31">
            <v>100</v>
          </cell>
          <cell r="O31">
            <v>0</v>
          </cell>
          <cell r="P31">
            <v>100</v>
          </cell>
          <cell r="Q31">
            <v>80</v>
          </cell>
          <cell r="R31">
            <v>100</v>
          </cell>
          <cell r="S31">
            <v>100</v>
          </cell>
        </row>
        <row r="32">
          <cell r="F32">
            <v>100</v>
          </cell>
          <cell r="G32">
            <v>100</v>
          </cell>
          <cell r="H32">
            <v>100</v>
          </cell>
          <cell r="I32">
            <v>100</v>
          </cell>
          <cell r="J32">
            <v>100</v>
          </cell>
          <cell r="K32">
            <v>90</v>
          </cell>
          <cell r="L32">
            <v>100</v>
          </cell>
          <cell r="M32">
            <v>100</v>
          </cell>
          <cell r="N32">
            <v>70</v>
          </cell>
          <cell r="O32">
            <v>100</v>
          </cell>
          <cell r="P32">
            <v>100</v>
          </cell>
          <cell r="Q32">
            <v>90</v>
          </cell>
          <cell r="R32">
            <v>100</v>
          </cell>
          <cell r="S32">
            <v>100</v>
          </cell>
        </row>
        <row r="33">
          <cell r="F33">
            <v>100</v>
          </cell>
          <cell r="G33">
            <v>0</v>
          </cell>
          <cell r="H33">
            <v>100</v>
          </cell>
          <cell r="I33">
            <v>100</v>
          </cell>
          <cell r="J33">
            <v>100</v>
          </cell>
          <cell r="K33">
            <v>100</v>
          </cell>
          <cell r="L33">
            <v>100</v>
          </cell>
          <cell r="M33">
            <v>100</v>
          </cell>
          <cell r="N33">
            <v>50</v>
          </cell>
          <cell r="O33">
            <v>100</v>
          </cell>
          <cell r="P33">
            <v>50</v>
          </cell>
          <cell r="Q33">
            <v>80</v>
          </cell>
          <cell r="R33">
            <v>100</v>
          </cell>
          <cell r="S33">
            <v>100</v>
          </cell>
        </row>
        <row r="34">
          <cell r="F34">
            <v>100</v>
          </cell>
          <cell r="G34">
            <v>0</v>
          </cell>
          <cell r="H34">
            <v>100</v>
          </cell>
          <cell r="I34">
            <v>0</v>
          </cell>
          <cell r="J34">
            <v>100</v>
          </cell>
          <cell r="K34">
            <v>95</v>
          </cell>
          <cell r="L34">
            <v>100</v>
          </cell>
          <cell r="M34">
            <v>100</v>
          </cell>
          <cell r="N34">
            <v>70</v>
          </cell>
          <cell r="O34">
            <v>85</v>
          </cell>
          <cell r="P34">
            <v>65</v>
          </cell>
          <cell r="Q34">
            <v>80</v>
          </cell>
          <cell r="R34">
            <v>100</v>
          </cell>
          <cell r="S34">
            <v>100</v>
          </cell>
        </row>
        <row r="35">
          <cell r="F35">
            <v>0</v>
          </cell>
          <cell r="G35">
            <v>0</v>
          </cell>
          <cell r="H35">
            <v>100</v>
          </cell>
          <cell r="I35">
            <v>100</v>
          </cell>
          <cell r="J35">
            <v>100</v>
          </cell>
          <cell r="K35">
            <v>75</v>
          </cell>
          <cell r="L35">
            <v>100</v>
          </cell>
          <cell r="M35">
            <v>100</v>
          </cell>
          <cell r="N35">
            <v>80</v>
          </cell>
          <cell r="O35">
            <v>90</v>
          </cell>
          <cell r="P35">
            <v>60</v>
          </cell>
          <cell r="Q35">
            <v>100</v>
          </cell>
          <cell r="R35">
            <v>100</v>
          </cell>
          <cell r="S35">
            <v>100</v>
          </cell>
        </row>
        <row r="36">
          <cell r="F36">
            <v>100</v>
          </cell>
          <cell r="G36">
            <v>0</v>
          </cell>
          <cell r="H36">
            <v>100</v>
          </cell>
          <cell r="I36">
            <v>100</v>
          </cell>
          <cell r="J36">
            <v>100</v>
          </cell>
          <cell r="K36">
            <v>100</v>
          </cell>
          <cell r="L36">
            <v>100</v>
          </cell>
          <cell r="M36">
            <v>100</v>
          </cell>
          <cell r="N36">
            <v>80</v>
          </cell>
          <cell r="O36">
            <v>65</v>
          </cell>
          <cell r="P36">
            <v>80</v>
          </cell>
          <cell r="Q36">
            <v>100</v>
          </cell>
          <cell r="R36">
            <v>100</v>
          </cell>
          <cell r="S36">
            <v>100</v>
          </cell>
        </row>
        <row r="37">
          <cell r="F37">
            <v>100</v>
          </cell>
          <cell r="G37">
            <v>100</v>
          </cell>
          <cell r="H37">
            <v>100</v>
          </cell>
          <cell r="I37">
            <v>100</v>
          </cell>
          <cell r="J37">
            <v>100</v>
          </cell>
          <cell r="K37">
            <v>100</v>
          </cell>
          <cell r="L37">
            <v>100</v>
          </cell>
          <cell r="M37">
            <v>100</v>
          </cell>
          <cell r="N37">
            <v>50</v>
          </cell>
          <cell r="O37">
            <v>90</v>
          </cell>
          <cell r="P37">
            <v>45</v>
          </cell>
          <cell r="Q37">
            <v>80</v>
          </cell>
          <cell r="R37">
            <v>100</v>
          </cell>
          <cell r="S37">
            <v>100</v>
          </cell>
        </row>
        <row r="38">
          <cell r="F38">
            <v>100</v>
          </cell>
          <cell r="G38">
            <v>0</v>
          </cell>
          <cell r="H38">
            <v>100</v>
          </cell>
          <cell r="I38">
            <v>90</v>
          </cell>
          <cell r="J38">
            <v>75</v>
          </cell>
          <cell r="K38">
            <v>55</v>
          </cell>
          <cell r="L38">
            <v>100</v>
          </cell>
          <cell r="M38">
            <v>100</v>
          </cell>
          <cell r="N38">
            <v>90</v>
          </cell>
          <cell r="O38">
            <v>75</v>
          </cell>
          <cell r="P38">
            <v>100</v>
          </cell>
          <cell r="Q38">
            <v>95</v>
          </cell>
          <cell r="R38">
            <v>100</v>
          </cell>
          <cell r="S38">
            <v>100</v>
          </cell>
        </row>
        <row r="39">
          <cell r="F39">
            <v>100</v>
          </cell>
          <cell r="G39">
            <v>0</v>
          </cell>
          <cell r="H39">
            <v>100</v>
          </cell>
          <cell r="I39">
            <v>0</v>
          </cell>
          <cell r="J39">
            <v>100</v>
          </cell>
          <cell r="K39">
            <v>100</v>
          </cell>
          <cell r="L39">
            <v>100</v>
          </cell>
          <cell r="M39">
            <v>100</v>
          </cell>
          <cell r="N39">
            <v>50</v>
          </cell>
          <cell r="O39">
            <v>85</v>
          </cell>
          <cell r="P39">
            <v>80</v>
          </cell>
          <cell r="Q39">
            <v>100</v>
          </cell>
          <cell r="R39">
            <v>100</v>
          </cell>
          <cell r="S39">
            <v>100</v>
          </cell>
        </row>
        <row r="40">
          <cell r="F40">
            <v>100</v>
          </cell>
          <cell r="G40">
            <v>0</v>
          </cell>
          <cell r="H40">
            <v>100</v>
          </cell>
          <cell r="I40">
            <v>0</v>
          </cell>
          <cell r="J40">
            <v>100</v>
          </cell>
          <cell r="K40">
            <v>100</v>
          </cell>
          <cell r="L40">
            <v>100</v>
          </cell>
          <cell r="M40">
            <v>100</v>
          </cell>
          <cell r="N40">
            <v>50</v>
          </cell>
          <cell r="O40">
            <v>80</v>
          </cell>
          <cell r="P40">
            <v>80</v>
          </cell>
          <cell r="Q40">
            <v>0</v>
          </cell>
          <cell r="R40">
            <v>0</v>
          </cell>
          <cell r="S40">
            <v>0</v>
          </cell>
        </row>
        <row r="41">
          <cell r="F41">
            <v>0</v>
          </cell>
          <cell r="G41">
            <v>100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F42">
            <v>100</v>
          </cell>
          <cell r="G42">
            <v>0</v>
          </cell>
          <cell r="H42">
            <v>100</v>
          </cell>
          <cell r="I42">
            <v>90</v>
          </cell>
          <cell r="J42">
            <v>70</v>
          </cell>
          <cell r="K42">
            <v>100</v>
          </cell>
          <cell r="L42">
            <v>100</v>
          </cell>
          <cell r="M42">
            <v>100</v>
          </cell>
          <cell r="N42">
            <v>70</v>
          </cell>
          <cell r="O42">
            <v>60</v>
          </cell>
          <cell r="P42">
            <v>65</v>
          </cell>
          <cell r="Q42">
            <v>80</v>
          </cell>
          <cell r="R42">
            <v>100</v>
          </cell>
          <cell r="S42">
            <v>100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100</v>
          </cell>
          <cell r="J43">
            <v>0</v>
          </cell>
          <cell r="K43">
            <v>100</v>
          </cell>
          <cell r="L43">
            <v>100</v>
          </cell>
          <cell r="M43">
            <v>100</v>
          </cell>
          <cell r="N43">
            <v>70</v>
          </cell>
          <cell r="O43">
            <v>95</v>
          </cell>
          <cell r="P43">
            <v>0</v>
          </cell>
          <cell r="Q43">
            <v>50</v>
          </cell>
          <cell r="R43">
            <v>0</v>
          </cell>
          <cell r="S43">
            <v>100</v>
          </cell>
        </row>
        <row r="44">
          <cell r="F44">
            <v>0</v>
          </cell>
          <cell r="G44">
            <v>0</v>
          </cell>
          <cell r="H44">
            <v>50</v>
          </cell>
          <cell r="I44">
            <v>0</v>
          </cell>
          <cell r="J44">
            <v>100</v>
          </cell>
          <cell r="K44">
            <v>100</v>
          </cell>
          <cell r="L44">
            <v>90</v>
          </cell>
          <cell r="M44">
            <v>100</v>
          </cell>
          <cell r="N44">
            <v>50</v>
          </cell>
          <cell r="O44">
            <v>85</v>
          </cell>
          <cell r="P44">
            <v>70</v>
          </cell>
          <cell r="Q44">
            <v>0</v>
          </cell>
          <cell r="R44">
            <v>0</v>
          </cell>
          <cell r="S44">
            <v>0</v>
          </cell>
        </row>
        <row r="45">
          <cell r="F45">
            <v>100</v>
          </cell>
          <cell r="G45">
            <v>0</v>
          </cell>
          <cell r="H45">
            <v>100</v>
          </cell>
          <cell r="I45">
            <v>0</v>
          </cell>
          <cell r="J45">
            <v>100</v>
          </cell>
          <cell r="K45">
            <v>0</v>
          </cell>
          <cell r="L45">
            <v>100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F46">
            <v>100</v>
          </cell>
          <cell r="G46">
            <v>0</v>
          </cell>
          <cell r="H46">
            <v>100</v>
          </cell>
          <cell r="I46">
            <v>0</v>
          </cell>
          <cell r="J46">
            <v>100</v>
          </cell>
          <cell r="K46">
            <v>100</v>
          </cell>
          <cell r="L46">
            <v>0</v>
          </cell>
          <cell r="M46">
            <v>100</v>
          </cell>
          <cell r="N46">
            <v>70</v>
          </cell>
          <cell r="O46">
            <v>85</v>
          </cell>
          <cell r="P46">
            <v>50</v>
          </cell>
          <cell r="Q46">
            <v>80</v>
          </cell>
          <cell r="R46">
            <v>100</v>
          </cell>
          <cell r="S46">
            <v>100</v>
          </cell>
        </row>
        <row r="47"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100</v>
          </cell>
          <cell r="K47">
            <v>100</v>
          </cell>
          <cell r="L47">
            <v>0</v>
          </cell>
          <cell r="M47">
            <v>100</v>
          </cell>
          <cell r="N47">
            <v>70</v>
          </cell>
          <cell r="O47">
            <v>85</v>
          </cell>
          <cell r="P47">
            <v>85</v>
          </cell>
          <cell r="Q47">
            <v>80</v>
          </cell>
          <cell r="R47">
            <v>100</v>
          </cell>
          <cell r="S47">
            <v>100</v>
          </cell>
        </row>
        <row r="48">
          <cell r="F48">
            <v>100</v>
          </cell>
          <cell r="G48">
            <v>0</v>
          </cell>
          <cell r="H48">
            <v>100</v>
          </cell>
          <cell r="I48">
            <v>90</v>
          </cell>
          <cell r="J48">
            <v>100</v>
          </cell>
          <cell r="K48">
            <v>100</v>
          </cell>
          <cell r="L48">
            <v>90</v>
          </cell>
          <cell r="M48">
            <v>100</v>
          </cell>
          <cell r="N48">
            <v>50</v>
          </cell>
          <cell r="O48">
            <v>85</v>
          </cell>
          <cell r="P48">
            <v>55</v>
          </cell>
          <cell r="Q48">
            <v>100</v>
          </cell>
          <cell r="R48">
            <v>100</v>
          </cell>
          <cell r="S48">
            <v>100</v>
          </cell>
        </row>
        <row r="49">
          <cell r="F49">
            <v>0</v>
          </cell>
          <cell r="G49">
            <v>0</v>
          </cell>
          <cell r="H49">
            <v>50</v>
          </cell>
          <cell r="I49">
            <v>100</v>
          </cell>
          <cell r="J49">
            <v>75</v>
          </cell>
          <cell r="K49">
            <v>100</v>
          </cell>
          <cell r="L49">
            <v>100</v>
          </cell>
          <cell r="M49">
            <v>100</v>
          </cell>
          <cell r="N49">
            <v>90</v>
          </cell>
          <cell r="O49">
            <v>95</v>
          </cell>
          <cell r="P49">
            <v>65</v>
          </cell>
          <cell r="Q49">
            <v>100</v>
          </cell>
          <cell r="R49">
            <v>100</v>
          </cell>
          <cell r="S49">
            <v>100</v>
          </cell>
        </row>
        <row r="50">
          <cell r="F50">
            <v>100</v>
          </cell>
          <cell r="G50">
            <v>0</v>
          </cell>
          <cell r="H50">
            <v>100</v>
          </cell>
          <cell r="I50">
            <v>90</v>
          </cell>
          <cell r="J50">
            <v>100</v>
          </cell>
          <cell r="K50">
            <v>75</v>
          </cell>
          <cell r="L50">
            <v>100</v>
          </cell>
          <cell r="M50">
            <v>100</v>
          </cell>
          <cell r="N50">
            <v>100</v>
          </cell>
          <cell r="O50">
            <v>90</v>
          </cell>
          <cell r="P50">
            <v>70</v>
          </cell>
          <cell r="Q50">
            <v>100</v>
          </cell>
          <cell r="R50">
            <v>100</v>
          </cell>
          <cell r="S50">
            <v>100</v>
          </cell>
        </row>
        <row r="51">
          <cell r="F51">
            <v>0</v>
          </cell>
          <cell r="G51">
            <v>0</v>
          </cell>
          <cell r="H51">
            <v>100</v>
          </cell>
          <cell r="I51">
            <v>90</v>
          </cell>
          <cell r="J51">
            <v>100</v>
          </cell>
          <cell r="K51">
            <v>55</v>
          </cell>
          <cell r="L51">
            <v>100</v>
          </cell>
          <cell r="M51">
            <v>100</v>
          </cell>
          <cell r="N51">
            <v>95</v>
          </cell>
          <cell r="O51">
            <v>0</v>
          </cell>
          <cell r="P51">
            <v>55</v>
          </cell>
          <cell r="Q51">
            <v>100</v>
          </cell>
          <cell r="R51">
            <v>100</v>
          </cell>
          <cell r="S51">
            <v>100</v>
          </cell>
        </row>
        <row r="52">
          <cell r="F52">
            <v>100</v>
          </cell>
          <cell r="G52">
            <v>0</v>
          </cell>
          <cell r="H52">
            <v>100</v>
          </cell>
          <cell r="I52">
            <v>90</v>
          </cell>
          <cell r="J52">
            <v>70</v>
          </cell>
          <cell r="K52">
            <v>100</v>
          </cell>
          <cell r="L52">
            <v>90</v>
          </cell>
          <cell r="M52">
            <v>100</v>
          </cell>
          <cell r="N52">
            <v>50</v>
          </cell>
          <cell r="O52">
            <v>85</v>
          </cell>
          <cell r="P52">
            <v>55</v>
          </cell>
          <cell r="Q52">
            <v>100</v>
          </cell>
          <cell r="R52">
            <v>100</v>
          </cell>
          <cell r="S52">
            <v>100</v>
          </cell>
        </row>
        <row r="53">
          <cell r="F53">
            <v>0</v>
          </cell>
          <cell r="G53">
            <v>0</v>
          </cell>
          <cell r="H53">
            <v>100</v>
          </cell>
          <cell r="I53">
            <v>0</v>
          </cell>
          <cell r="J53">
            <v>0</v>
          </cell>
          <cell r="K53">
            <v>100</v>
          </cell>
          <cell r="L53">
            <v>0</v>
          </cell>
          <cell r="M53">
            <v>100</v>
          </cell>
          <cell r="N53">
            <v>70</v>
          </cell>
          <cell r="O53">
            <v>85</v>
          </cell>
          <cell r="P53">
            <v>85</v>
          </cell>
          <cell r="Q53">
            <v>80</v>
          </cell>
          <cell r="R53">
            <v>100</v>
          </cell>
          <cell r="S53">
            <v>100</v>
          </cell>
        </row>
        <row r="54">
          <cell r="F54">
            <v>100</v>
          </cell>
          <cell r="G54">
            <v>100</v>
          </cell>
          <cell r="H54">
            <v>100</v>
          </cell>
          <cell r="I54">
            <v>90</v>
          </cell>
          <cell r="J54">
            <v>100</v>
          </cell>
          <cell r="K54">
            <v>90</v>
          </cell>
          <cell r="L54">
            <v>100</v>
          </cell>
          <cell r="M54">
            <v>100</v>
          </cell>
          <cell r="N54">
            <v>80</v>
          </cell>
          <cell r="O54">
            <v>100</v>
          </cell>
          <cell r="P54">
            <v>100</v>
          </cell>
          <cell r="Q54">
            <v>90</v>
          </cell>
          <cell r="R54">
            <v>100</v>
          </cell>
          <cell r="S54">
            <v>100</v>
          </cell>
        </row>
        <row r="55">
          <cell r="F55">
            <v>0</v>
          </cell>
          <cell r="G55">
            <v>0</v>
          </cell>
          <cell r="H55">
            <v>100</v>
          </cell>
          <cell r="I55">
            <v>100</v>
          </cell>
          <cell r="J55">
            <v>75</v>
          </cell>
          <cell r="K55">
            <v>90</v>
          </cell>
          <cell r="L55">
            <v>100</v>
          </cell>
          <cell r="M55">
            <v>80</v>
          </cell>
          <cell r="N55">
            <v>70</v>
          </cell>
          <cell r="O55">
            <v>45</v>
          </cell>
          <cell r="P55">
            <v>0</v>
          </cell>
          <cell r="Q55">
            <v>80</v>
          </cell>
          <cell r="R55">
            <v>100</v>
          </cell>
          <cell r="S55">
            <v>100</v>
          </cell>
        </row>
        <row r="56">
          <cell r="F56">
            <v>100</v>
          </cell>
          <cell r="G56">
            <v>0</v>
          </cell>
          <cell r="H56">
            <v>100</v>
          </cell>
          <cell r="I56">
            <v>100</v>
          </cell>
          <cell r="J56">
            <v>85</v>
          </cell>
          <cell r="K56">
            <v>100</v>
          </cell>
          <cell r="L56">
            <v>100</v>
          </cell>
          <cell r="M56">
            <v>100</v>
          </cell>
          <cell r="N56">
            <v>100</v>
          </cell>
          <cell r="O56">
            <v>95</v>
          </cell>
          <cell r="P56">
            <v>85</v>
          </cell>
          <cell r="Q56">
            <v>95</v>
          </cell>
          <cell r="R56">
            <v>0</v>
          </cell>
          <cell r="S56">
            <v>100</v>
          </cell>
        </row>
        <row r="57">
          <cell r="F57">
            <v>100</v>
          </cell>
          <cell r="G57">
            <v>0</v>
          </cell>
          <cell r="H57">
            <v>50</v>
          </cell>
          <cell r="I57">
            <v>100</v>
          </cell>
          <cell r="J57">
            <v>75</v>
          </cell>
          <cell r="K57">
            <v>100</v>
          </cell>
          <cell r="L57">
            <v>100</v>
          </cell>
          <cell r="M57">
            <v>100</v>
          </cell>
          <cell r="N57">
            <v>50</v>
          </cell>
          <cell r="O57">
            <v>0</v>
          </cell>
          <cell r="P57">
            <v>50</v>
          </cell>
          <cell r="Q57">
            <v>100</v>
          </cell>
          <cell r="R57">
            <v>100</v>
          </cell>
          <cell r="S57">
            <v>100</v>
          </cell>
        </row>
        <row r="58">
          <cell r="F58">
            <v>100</v>
          </cell>
          <cell r="G58">
            <v>100</v>
          </cell>
          <cell r="H58">
            <v>100</v>
          </cell>
          <cell r="I58">
            <v>90</v>
          </cell>
          <cell r="J58">
            <v>100</v>
          </cell>
          <cell r="K58">
            <v>100</v>
          </cell>
          <cell r="L58">
            <v>100</v>
          </cell>
          <cell r="M58">
            <v>100</v>
          </cell>
          <cell r="N58">
            <v>80</v>
          </cell>
          <cell r="O58">
            <v>90</v>
          </cell>
          <cell r="P58">
            <v>100</v>
          </cell>
          <cell r="Q58">
            <v>90</v>
          </cell>
          <cell r="R58">
            <v>100</v>
          </cell>
          <cell r="S58">
            <v>100</v>
          </cell>
        </row>
        <row r="59">
          <cell r="F59">
            <v>100</v>
          </cell>
          <cell r="G59">
            <v>0</v>
          </cell>
          <cell r="H59">
            <v>100</v>
          </cell>
          <cell r="I59">
            <v>100</v>
          </cell>
          <cell r="J59">
            <v>100</v>
          </cell>
          <cell r="K59">
            <v>100</v>
          </cell>
          <cell r="L59">
            <v>100</v>
          </cell>
          <cell r="M59">
            <v>100</v>
          </cell>
          <cell r="N59">
            <v>70</v>
          </cell>
          <cell r="O59">
            <v>0</v>
          </cell>
          <cell r="P59">
            <v>75</v>
          </cell>
          <cell r="Q59">
            <v>80</v>
          </cell>
          <cell r="R59">
            <v>0</v>
          </cell>
          <cell r="S59">
            <v>100</v>
          </cell>
        </row>
        <row r="60">
          <cell r="F60">
            <v>100</v>
          </cell>
          <cell r="G60">
            <v>100</v>
          </cell>
          <cell r="H60">
            <v>50</v>
          </cell>
          <cell r="I60">
            <v>90</v>
          </cell>
          <cell r="J60">
            <v>100</v>
          </cell>
          <cell r="K60">
            <v>100</v>
          </cell>
          <cell r="L60">
            <v>100</v>
          </cell>
          <cell r="M60">
            <v>100</v>
          </cell>
          <cell r="N60">
            <v>70</v>
          </cell>
          <cell r="O60">
            <v>100</v>
          </cell>
          <cell r="P60">
            <v>90</v>
          </cell>
          <cell r="Q60">
            <v>80</v>
          </cell>
          <cell r="R60">
            <v>100</v>
          </cell>
          <cell r="S60">
            <v>100</v>
          </cell>
        </row>
        <row r="61">
          <cell r="F61">
            <v>0</v>
          </cell>
          <cell r="G61">
            <v>0</v>
          </cell>
          <cell r="H61">
            <v>50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</row>
        <row r="63">
          <cell r="F63">
            <v>100</v>
          </cell>
          <cell r="G63">
            <v>0</v>
          </cell>
          <cell r="H63">
            <v>100</v>
          </cell>
          <cell r="I63">
            <v>90</v>
          </cell>
          <cell r="J63">
            <v>100</v>
          </cell>
          <cell r="K63">
            <v>95</v>
          </cell>
          <cell r="L63">
            <v>100</v>
          </cell>
          <cell r="M63">
            <v>100</v>
          </cell>
          <cell r="N63">
            <v>50</v>
          </cell>
          <cell r="O63">
            <v>0</v>
          </cell>
          <cell r="P63">
            <v>65</v>
          </cell>
          <cell r="Q63">
            <v>100</v>
          </cell>
          <cell r="R63">
            <v>100</v>
          </cell>
          <cell r="S63">
            <v>100</v>
          </cell>
        </row>
        <row r="64">
          <cell r="F64">
            <v>100</v>
          </cell>
          <cell r="G64">
            <v>0</v>
          </cell>
          <cell r="H64">
            <v>100</v>
          </cell>
          <cell r="I64">
            <v>90</v>
          </cell>
          <cell r="J64">
            <v>100</v>
          </cell>
          <cell r="K64">
            <v>85</v>
          </cell>
          <cell r="L64">
            <v>100</v>
          </cell>
          <cell r="M64">
            <v>100</v>
          </cell>
          <cell r="N64">
            <v>70</v>
          </cell>
          <cell r="O64">
            <v>75</v>
          </cell>
          <cell r="P64">
            <v>55</v>
          </cell>
          <cell r="Q64">
            <v>95</v>
          </cell>
          <cell r="R64">
            <v>100</v>
          </cell>
          <cell r="S64">
            <v>100</v>
          </cell>
        </row>
        <row r="65">
          <cell r="F65">
            <v>100</v>
          </cell>
          <cell r="G65">
            <v>0</v>
          </cell>
          <cell r="H65">
            <v>100</v>
          </cell>
          <cell r="I65">
            <v>0</v>
          </cell>
          <cell r="J65">
            <v>75</v>
          </cell>
          <cell r="K65">
            <v>100</v>
          </cell>
          <cell r="L65">
            <v>100</v>
          </cell>
          <cell r="M65">
            <v>100</v>
          </cell>
          <cell r="N65">
            <v>70</v>
          </cell>
          <cell r="O65">
            <v>45</v>
          </cell>
          <cell r="P65">
            <v>75</v>
          </cell>
          <cell r="Q65">
            <v>0</v>
          </cell>
          <cell r="R65">
            <v>0</v>
          </cell>
          <cell r="S65">
            <v>100</v>
          </cell>
        </row>
        <row r="66">
          <cell r="F66">
            <v>100</v>
          </cell>
          <cell r="G66">
            <v>100</v>
          </cell>
          <cell r="H66">
            <v>100</v>
          </cell>
          <cell r="I66">
            <v>90</v>
          </cell>
          <cell r="J66">
            <v>100</v>
          </cell>
          <cell r="K66">
            <v>100</v>
          </cell>
          <cell r="L66">
            <v>100</v>
          </cell>
          <cell r="M66">
            <v>0</v>
          </cell>
          <cell r="N66">
            <v>40</v>
          </cell>
          <cell r="O66">
            <v>90</v>
          </cell>
          <cell r="P66">
            <v>100</v>
          </cell>
          <cell r="Q66">
            <v>90</v>
          </cell>
          <cell r="R66">
            <v>100</v>
          </cell>
          <cell r="S66">
            <v>100</v>
          </cell>
        </row>
        <row r="67">
          <cell r="F67">
            <v>100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F68">
            <v>100</v>
          </cell>
          <cell r="G68">
            <v>0</v>
          </cell>
          <cell r="H68">
            <v>50</v>
          </cell>
          <cell r="I68">
            <v>90</v>
          </cell>
          <cell r="J68">
            <v>40</v>
          </cell>
          <cell r="K68">
            <v>85</v>
          </cell>
          <cell r="L68">
            <v>100</v>
          </cell>
          <cell r="M68">
            <v>100</v>
          </cell>
          <cell r="N68">
            <v>70</v>
          </cell>
          <cell r="O68">
            <v>75</v>
          </cell>
          <cell r="P68">
            <v>70</v>
          </cell>
          <cell r="Q68">
            <v>100</v>
          </cell>
          <cell r="R68">
            <v>100</v>
          </cell>
          <cell r="S68">
            <v>100</v>
          </cell>
        </row>
        <row r="69">
          <cell r="F69">
            <v>100</v>
          </cell>
          <cell r="G69">
            <v>0</v>
          </cell>
          <cell r="H69">
            <v>100</v>
          </cell>
          <cell r="I69">
            <v>0</v>
          </cell>
          <cell r="J69">
            <v>0</v>
          </cell>
          <cell r="K69">
            <v>100</v>
          </cell>
          <cell r="L69">
            <v>100</v>
          </cell>
          <cell r="M69">
            <v>100</v>
          </cell>
          <cell r="N69">
            <v>0</v>
          </cell>
          <cell r="O69">
            <v>60</v>
          </cell>
          <cell r="P69">
            <v>65</v>
          </cell>
          <cell r="Q69">
            <v>80</v>
          </cell>
          <cell r="R69">
            <v>100</v>
          </cell>
          <cell r="S69">
            <v>100</v>
          </cell>
        </row>
        <row r="70">
          <cell r="F70">
            <v>100</v>
          </cell>
          <cell r="G70">
            <v>0</v>
          </cell>
          <cell r="H70">
            <v>100</v>
          </cell>
          <cell r="I70">
            <v>90</v>
          </cell>
          <cell r="J70">
            <v>75</v>
          </cell>
          <cell r="K70">
            <v>85</v>
          </cell>
          <cell r="L70">
            <v>100</v>
          </cell>
          <cell r="M70">
            <v>100</v>
          </cell>
          <cell r="N70">
            <v>70</v>
          </cell>
          <cell r="O70">
            <v>90</v>
          </cell>
          <cell r="P70">
            <v>100</v>
          </cell>
          <cell r="Q70">
            <v>100</v>
          </cell>
          <cell r="R70">
            <v>100</v>
          </cell>
          <cell r="S70">
            <v>100</v>
          </cell>
        </row>
        <row r="71">
          <cell r="F71">
            <v>100</v>
          </cell>
          <cell r="G71">
            <v>0</v>
          </cell>
          <cell r="H71">
            <v>100</v>
          </cell>
          <cell r="I71">
            <v>100</v>
          </cell>
          <cell r="J71">
            <v>100</v>
          </cell>
          <cell r="K71">
            <v>100</v>
          </cell>
          <cell r="L71">
            <v>100</v>
          </cell>
          <cell r="M71">
            <v>100</v>
          </cell>
          <cell r="N71">
            <v>100</v>
          </cell>
          <cell r="O71">
            <v>0</v>
          </cell>
          <cell r="P71">
            <v>100</v>
          </cell>
          <cell r="Q71">
            <v>0</v>
          </cell>
          <cell r="R71">
            <v>0</v>
          </cell>
          <cell r="S71">
            <v>0</v>
          </cell>
        </row>
        <row r="72">
          <cell r="F72">
            <v>100</v>
          </cell>
          <cell r="G72">
            <v>0</v>
          </cell>
          <cell r="H72">
            <v>100</v>
          </cell>
          <cell r="I72">
            <v>100</v>
          </cell>
          <cell r="J72">
            <v>85</v>
          </cell>
          <cell r="K72">
            <v>100</v>
          </cell>
          <cell r="L72">
            <v>100</v>
          </cell>
          <cell r="M72">
            <v>100</v>
          </cell>
          <cell r="N72">
            <v>90</v>
          </cell>
          <cell r="O72">
            <v>95</v>
          </cell>
          <cell r="P72">
            <v>85</v>
          </cell>
          <cell r="Q72">
            <v>95</v>
          </cell>
          <cell r="R72">
            <v>0</v>
          </cell>
          <cell r="S72">
            <v>100</v>
          </cell>
        </row>
        <row r="73">
          <cell r="F73">
            <v>100</v>
          </cell>
          <cell r="G73">
            <v>0</v>
          </cell>
          <cell r="H73">
            <v>100</v>
          </cell>
          <cell r="I73">
            <v>0</v>
          </cell>
          <cell r="J73">
            <v>85</v>
          </cell>
          <cell r="K73">
            <v>75</v>
          </cell>
          <cell r="L73">
            <v>100</v>
          </cell>
          <cell r="M73">
            <v>100</v>
          </cell>
          <cell r="N73">
            <v>50</v>
          </cell>
          <cell r="O73">
            <v>90</v>
          </cell>
          <cell r="P73">
            <v>70</v>
          </cell>
          <cell r="Q73">
            <v>0</v>
          </cell>
          <cell r="R73">
            <v>0</v>
          </cell>
          <cell r="S73">
            <v>0</v>
          </cell>
        </row>
        <row r="74">
          <cell r="F74">
            <v>0</v>
          </cell>
          <cell r="G74">
            <v>0</v>
          </cell>
          <cell r="H74">
            <v>100</v>
          </cell>
          <cell r="I74">
            <v>0</v>
          </cell>
          <cell r="J74">
            <v>85</v>
          </cell>
          <cell r="K74">
            <v>100</v>
          </cell>
          <cell r="L74">
            <v>100</v>
          </cell>
          <cell r="M74">
            <v>100</v>
          </cell>
          <cell r="N74">
            <v>50</v>
          </cell>
          <cell r="O74">
            <v>0</v>
          </cell>
          <cell r="P74">
            <v>20</v>
          </cell>
          <cell r="Q74">
            <v>100</v>
          </cell>
          <cell r="R74">
            <v>100</v>
          </cell>
          <cell r="S74">
            <v>100</v>
          </cell>
        </row>
        <row r="75">
          <cell r="F75">
            <v>0</v>
          </cell>
          <cell r="G75">
            <v>0</v>
          </cell>
          <cell r="H75">
            <v>100</v>
          </cell>
          <cell r="I75">
            <v>0</v>
          </cell>
          <cell r="J75">
            <v>0</v>
          </cell>
          <cell r="K75">
            <v>50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F76">
            <v>100</v>
          </cell>
          <cell r="G76">
            <v>0</v>
          </cell>
          <cell r="H76">
            <v>100</v>
          </cell>
          <cell r="I76">
            <v>100</v>
          </cell>
          <cell r="J76">
            <v>100</v>
          </cell>
          <cell r="K76">
            <v>100</v>
          </cell>
          <cell r="L76">
            <v>100</v>
          </cell>
          <cell r="M76">
            <v>100</v>
          </cell>
          <cell r="N76">
            <v>100</v>
          </cell>
          <cell r="O76">
            <v>100</v>
          </cell>
          <cell r="P76">
            <v>100</v>
          </cell>
          <cell r="Q76">
            <v>100</v>
          </cell>
          <cell r="R76">
            <v>100</v>
          </cell>
          <cell r="S76">
            <v>100</v>
          </cell>
        </row>
        <row r="77">
          <cell r="F77">
            <v>0</v>
          </cell>
          <cell r="G77">
            <v>0</v>
          </cell>
          <cell r="H77">
            <v>50</v>
          </cell>
          <cell r="I77">
            <v>75</v>
          </cell>
          <cell r="J77">
            <v>0</v>
          </cell>
          <cell r="K77">
            <v>100</v>
          </cell>
          <cell r="L77">
            <v>100</v>
          </cell>
          <cell r="M77">
            <v>100</v>
          </cell>
          <cell r="N77">
            <v>100</v>
          </cell>
          <cell r="O77">
            <v>85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5CC2-11E2-4B97-8653-2071B7EFBC48}">
  <dimension ref="C1:X77"/>
  <sheetViews>
    <sheetView tabSelected="1" zoomScale="70" zoomScaleNormal="70" workbookViewId="0">
      <selection activeCell="P73" sqref="P73"/>
    </sheetView>
  </sheetViews>
  <sheetFormatPr baseColWidth="10" defaultRowHeight="14.5" x14ac:dyDescent="0.35"/>
  <cols>
    <col min="3" max="3" width="4.90625" customWidth="1"/>
    <col min="4" max="4" width="12.6328125" customWidth="1"/>
    <col min="5" max="5" width="35.81640625" customWidth="1"/>
    <col min="6" max="19" width="5.7265625" customWidth="1"/>
    <col min="20" max="20" width="9.6328125" style="45" customWidth="1"/>
    <col min="21" max="21" width="9.6328125" customWidth="1"/>
  </cols>
  <sheetData>
    <row r="1" spans="3:24" ht="15" thickBot="1" x14ac:dyDescent="0.4"/>
    <row r="2" spans="3:24" s="1" customFormat="1" ht="130.5" customHeight="1" x14ac:dyDescent="0.35">
      <c r="C2" s="18"/>
      <c r="D2" s="18"/>
      <c r="E2" s="27"/>
      <c r="F2" s="42" t="s">
        <v>81</v>
      </c>
      <c r="G2" s="43" t="s">
        <v>82</v>
      </c>
      <c r="H2" s="43" t="s">
        <v>83</v>
      </c>
      <c r="I2" s="21" t="s">
        <v>84</v>
      </c>
      <c r="J2" s="42" t="s">
        <v>85</v>
      </c>
      <c r="K2" s="43" t="s">
        <v>86</v>
      </c>
      <c r="L2" s="43" t="s">
        <v>87</v>
      </c>
      <c r="M2" s="43" t="s">
        <v>97</v>
      </c>
      <c r="N2" s="43" t="s">
        <v>88</v>
      </c>
      <c r="O2" s="43" t="s">
        <v>89</v>
      </c>
      <c r="P2" s="43" t="s">
        <v>90</v>
      </c>
      <c r="Q2" s="43" t="s">
        <v>91</v>
      </c>
      <c r="R2" s="43" t="s">
        <v>92</v>
      </c>
      <c r="S2" s="43" t="s">
        <v>93</v>
      </c>
      <c r="T2" s="46" t="s">
        <v>96</v>
      </c>
      <c r="U2" s="44"/>
      <c r="V2" s="4"/>
      <c r="W2" s="3"/>
      <c r="X2" s="3"/>
    </row>
    <row r="3" spans="3:24" s="2" customFormat="1" x14ac:dyDescent="0.35">
      <c r="C3" s="22"/>
      <c r="D3" s="22"/>
      <c r="E3" s="23" t="s">
        <v>98</v>
      </c>
      <c r="F3" s="24">
        <v>0.5</v>
      </c>
      <c r="G3" s="25">
        <v>0.5</v>
      </c>
      <c r="H3" s="25">
        <v>0.5</v>
      </c>
      <c r="I3" s="26">
        <v>0.5</v>
      </c>
      <c r="J3" s="24">
        <v>1</v>
      </c>
      <c r="K3" s="25">
        <v>1</v>
      </c>
      <c r="L3" s="25">
        <v>1</v>
      </c>
      <c r="M3" s="25">
        <v>1.5</v>
      </c>
      <c r="N3" s="25">
        <v>2</v>
      </c>
      <c r="O3" s="25">
        <v>2</v>
      </c>
      <c r="P3" s="25">
        <v>2</v>
      </c>
      <c r="Q3" s="25">
        <v>1</v>
      </c>
      <c r="R3" s="25">
        <v>1.5</v>
      </c>
      <c r="S3" s="25">
        <v>5</v>
      </c>
      <c r="T3" s="47">
        <f>SUM(F3:S3)</f>
        <v>20</v>
      </c>
      <c r="U3" s="4"/>
    </row>
    <row r="4" spans="3:24" s="1" customFormat="1" x14ac:dyDescent="0.35">
      <c r="C4" s="18" t="s">
        <v>0</v>
      </c>
      <c r="D4" s="18" t="s">
        <v>1</v>
      </c>
      <c r="E4" s="27" t="s">
        <v>2</v>
      </c>
      <c r="F4" s="28" t="s">
        <v>76</v>
      </c>
      <c r="G4" s="29" t="s">
        <v>77</v>
      </c>
      <c r="H4" s="29" t="s">
        <v>78</v>
      </c>
      <c r="I4" s="30" t="s">
        <v>79</v>
      </c>
      <c r="J4" s="28" t="s">
        <v>76</v>
      </c>
      <c r="K4" s="29" t="s">
        <v>99</v>
      </c>
      <c r="L4" s="29" t="s">
        <v>100</v>
      </c>
      <c r="M4" s="29" t="s">
        <v>101</v>
      </c>
      <c r="N4" s="29" t="s">
        <v>80</v>
      </c>
      <c r="O4" s="29" t="s">
        <v>102</v>
      </c>
      <c r="P4" s="29" t="s">
        <v>103</v>
      </c>
      <c r="Q4" s="29" t="s">
        <v>104</v>
      </c>
      <c r="R4" s="29" t="s">
        <v>105</v>
      </c>
      <c r="S4" s="29" t="s">
        <v>94</v>
      </c>
      <c r="T4" s="48" t="s">
        <v>95</v>
      </c>
      <c r="U4" s="3"/>
    </row>
    <row r="5" spans="3:24" x14ac:dyDescent="0.35">
      <c r="C5" s="19">
        <v>1</v>
      </c>
      <c r="D5" s="19">
        <v>202030174</v>
      </c>
      <c r="E5" s="20" t="s">
        <v>3</v>
      </c>
      <c r="F5" s="31">
        <f>IF('Porcentaje de Notas'!F5="","",('Porcentaje de Notas'!F5/100)*$F$3)</f>
        <v>0</v>
      </c>
      <c r="G5" s="19">
        <f>IF('Porcentaje de Notas'!G5="","",('Porcentaje de Notas'!G5/100)*$G$3)</f>
        <v>0</v>
      </c>
      <c r="H5" s="19">
        <f>IF('Porcentaje de Notas'!H5="","",('Porcentaje de Notas'!H5/100)*$H$3)</f>
        <v>0.25</v>
      </c>
      <c r="I5" s="32">
        <f>IF('Porcentaje de Notas'!I5="","",('Porcentaje de Notas'!I5/100)*$I$3)</f>
        <v>0</v>
      </c>
      <c r="J5" s="31">
        <f>IF('Porcentaje de Notas'!J5="","",('Porcentaje de Notas'!J5/100)*$J$3)</f>
        <v>0</v>
      </c>
      <c r="K5" s="19">
        <f>IF('Porcentaje de Notas'!K5="","",('Porcentaje de Notas'!K5/100)*$K$3)</f>
        <v>0</v>
      </c>
      <c r="L5" s="19">
        <f>IF('Porcentaje de Notas'!L5="","",('Porcentaje de Notas'!L5/100)*$L$3)</f>
        <v>0</v>
      </c>
      <c r="M5" s="19">
        <f>IF('Porcentaje de Notas'!M5="","",('Porcentaje de Notas'!M5/100)*$M$3)</f>
        <v>1.5</v>
      </c>
      <c r="N5" s="19">
        <f>IF('Porcentaje de Notas'!N5="","",('Porcentaje de Notas'!N5/100)*$N$3)</f>
        <v>0</v>
      </c>
      <c r="O5" s="19">
        <f>IF('Porcentaje de Notas'!O5="","",('Porcentaje de Notas'!O5/100)*$O$3)</f>
        <v>0</v>
      </c>
      <c r="P5" s="19">
        <f>IF('Porcentaje de Notas'!P5="","",('Porcentaje de Notas'!P5/100)*$P$3)</f>
        <v>2</v>
      </c>
      <c r="Q5" s="19">
        <f>IF('Porcentaje de Notas'!Q5="","",('Porcentaje de Notas'!Q5/100)*$Q$3)</f>
        <v>0</v>
      </c>
      <c r="R5" s="19">
        <f>IF('Porcentaje de Notas'!R5="","",('Porcentaje de Notas'!R5/100)*$R$3)</f>
        <v>0</v>
      </c>
      <c r="S5" s="19">
        <f>IF('Porcentaje de Notas'!S5="","",('Porcentaje de Notas'!S5/100)*$S$3)</f>
        <v>0</v>
      </c>
      <c r="T5" s="49">
        <f>SUM(F5:S5)</f>
        <v>3.75</v>
      </c>
    </row>
    <row r="6" spans="3:24" x14ac:dyDescent="0.35">
      <c r="C6" s="19">
        <v>2</v>
      </c>
      <c r="D6" s="19">
        <v>202032032</v>
      </c>
      <c r="E6" s="20" t="s">
        <v>4</v>
      </c>
      <c r="F6" s="31">
        <f>IF('Porcentaje de Notas'!F6="","",('Porcentaje de Notas'!F6/100)*$F$3)</f>
        <v>0.5</v>
      </c>
      <c r="G6" s="19">
        <f>IF('Porcentaje de Notas'!G6="","",('Porcentaje de Notas'!G6/100)*$G$3)</f>
        <v>0</v>
      </c>
      <c r="H6" s="19">
        <f>IF('Porcentaje de Notas'!H6="","",('Porcentaje de Notas'!H6/100)*$H$3)</f>
        <v>0.25</v>
      </c>
      <c r="I6" s="32">
        <f>IF('Porcentaje de Notas'!I6="","",('Porcentaje de Notas'!I6/100)*$I$3)</f>
        <v>0.5</v>
      </c>
      <c r="J6" s="31">
        <f>IF('Porcentaje de Notas'!J6="","",('Porcentaje de Notas'!J6/100)*$J$3)</f>
        <v>1</v>
      </c>
      <c r="K6" s="19">
        <f>IF('Porcentaje de Notas'!K6="","",('Porcentaje de Notas'!K6/100)*$K$3)</f>
        <v>1</v>
      </c>
      <c r="L6" s="19">
        <f>IF('Porcentaje de Notas'!L6="","",('Porcentaje de Notas'!L6/100)*$L$3)</f>
        <v>1</v>
      </c>
      <c r="M6" s="19">
        <f>IF('Porcentaje de Notas'!M6="","",('Porcentaje de Notas'!M6/100)*$M$3)</f>
        <v>1.5</v>
      </c>
      <c r="N6" s="19">
        <f>IF('Porcentaje de Notas'!N6="","",('Porcentaje de Notas'!N6/100)*$N$3)</f>
        <v>1.6</v>
      </c>
      <c r="O6" s="19">
        <f>IF('Porcentaje de Notas'!O6="","",('Porcentaje de Notas'!O6/100)*$O$3)</f>
        <v>2</v>
      </c>
      <c r="P6" s="19">
        <f>IF('Porcentaje de Notas'!P6="","",('Porcentaje de Notas'!P6/100)*$P$3)</f>
        <v>2</v>
      </c>
      <c r="Q6" s="19">
        <f>IF('Porcentaje de Notas'!Q6="","",('Porcentaje de Notas'!Q6/100)*$Q$3)</f>
        <v>1</v>
      </c>
      <c r="R6" s="19">
        <f>IF('Porcentaje de Notas'!R6="","",('Porcentaje de Notas'!R6/100)*$R$3)</f>
        <v>1.5</v>
      </c>
      <c r="S6" s="19">
        <f>IF('Porcentaje de Notas'!S6="","",('Porcentaje de Notas'!S6/100)*$S$3)</f>
        <v>5</v>
      </c>
      <c r="T6" s="49">
        <f t="shared" ref="T6:T69" si="0">SUM(F6:S6)</f>
        <v>18.850000000000001</v>
      </c>
    </row>
    <row r="7" spans="3:24" x14ac:dyDescent="0.35">
      <c r="C7" s="19">
        <v>3</v>
      </c>
      <c r="D7" s="19">
        <v>202231116</v>
      </c>
      <c r="E7" s="20" t="s">
        <v>5</v>
      </c>
      <c r="F7" s="31">
        <f>IF('Porcentaje de Notas'!F7="","",('Porcentaje de Notas'!F7/100)*$F$3)</f>
        <v>0.5</v>
      </c>
      <c r="G7" s="19">
        <f>IF('Porcentaje de Notas'!G7="","",('Porcentaje de Notas'!G7/100)*$G$3)</f>
        <v>0</v>
      </c>
      <c r="H7" s="19">
        <f>IF('Porcentaje de Notas'!H7="","",('Porcentaje de Notas'!H7/100)*$H$3)</f>
        <v>0.5</v>
      </c>
      <c r="I7" s="32">
        <f>IF('Porcentaje de Notas'!I7="","",('Porcentaje de Notas'!I7/100)*$I$3)</f>
        <v>0</v>
      </c>
      <c r="J7" s="31">
        <f>IF('Porcentaje de Notas'!J7="","",('Porcentaje de Notas'!J7/100)*$J$3)</f>
        <v>0.85</v>
      </c>
      <c r="K7" s="19">
        <f>IF('Porcentaje de Notas'!K7="","",('Porcentaje de Notas'!K7/100)*$K$3)</f>
        <v>1</v>
      </c>
      <c r="L7" s="19">
        <f>IF('Porcentaje de Notas'!L7="","",('Porcentaje de Notas'!L7/100)*$L$3)</f>
        <v>1</v>
      </c>
      <c r="M7" s="19">
        <f>IF('Porcentaje de Notas'!M7="","",('Porcentaje de Notas'!M7/100)*$M$3)</f>
        <v>1.5</v>
      </c>
      <c r="N7" s="19">
        <f>IF('Porcentaje de Notas'!N7="","",('Porcentaje de Notas'!N7/100)*$N$3)</f>
        <v>1.4</v>
      </c>
      <c r="O7" s="19">
        <f>IF('Porcentaje de Notas'!O7="","",('Porcentaje de Notas'!O7/100)*$O$3)</f>
        <v>0</v>
      </c>
      <c r="P7" s="19">
        <f>IF('Porcentaje de Notas'!P7="","",('Porcentaje de Notas'!P7/100)*$P$3)</f>
        <v>1.7</v>
      </c>
      <c r="Q7" s="19">
        <f>IF('Porcentaje de Notas'!Q7="","",('Porcentaje de Notas'!Q7/100)*$Q$3)</f>
        <v>0.8</v>
      </c>
      <c r="R7" s="19">
        <f>IF('Porcentaje de Notas'!R7="","",('Porcentaje de Notas'!R7/100)*$R$3)</f>
        <v>0</v>
      </c>
      <c r="S7" s="19">
        <f>IF('Porcentaje de Notas'!S7="","",('Porcentaje de Notas'!S7/100)*$S$3)</f>
        <v>5</v>
      </c>
      <c r="T7" s="49">
        <f t="shared" si="0"/>
        <v>14.25</v>
      </c>
    </row>
    <row r="8" spans="3:24" x14ac:dyDescent="0.35">
      <c r="C8" s="19">
        <v>4</v>
      </c>
      <c r="D8" s="19">
        <v>202330276</v>
      </c>
      <c r="E8" s="20" t="s">
        <v>6</v>
      </c>
      <c r="F8" s="31">
        <f>IF('Porcentaje de Notas'!F8="","",('Porcentaje de Notas'!F8/100)*$F$3)</f>
        <v>0</v>
      </c>
      <c r="G8" s="19">
        <f>IF('Porcentaje de Notas'!G8="","",('Porcentaje de Notas'!G8/100)*$G$3)</f>
        <v>0</v>
      </c>
      <c r="H8" s="19">
        <f>IF('Porcentaje de Notas'!H8="","",('Porcentaje de Notas'!H8/100)*$H$3)</f>
        <v>0</v>
      </c>
      <c r="I8" s="32">
        <f>IF('Porcentaje de Notas'!I8="","",('Porcentaje de Notas'!I8/100)*$I$3)</f>
        <v>0</v>
      </c>
      <c r="J8" s="31">
        <f>IF('Porcentaje de Notas'!J8="","",('Porcentaje de Notas'!J8/100)*$J$3)</f>
        <v>0</v>
      </c>
      <c r="K8" s="19">
        <f>IF('Porcentaje de Notas'!K8="","",('Porcentaje de Notas'!K8/100)*$K$3)</f>
        <v>0</v>
      </c>
      <c r="L8" s="19">
        <f>IF('Porcentaje de Notas'!L8="","",('Porcentaje de Notas'!L8/100)*$L$3)</f>
        <v>0</v>
      </c>
      <c r="M8" s="19">
        <f>IF('Porcentaje de Notas'!M8="","",('Porcentaje de Notas'!M8/100)*$M$3)</f>
        <v>0</v>
      </c>
      <c r="N8" s="19">
        <f>IF('Porcentaje de Notas'!N8="","",('Porcentaje de Notas'!N8/100)*$N$3)</f>
        <v>0</v>
      </c>
      <c r="O8" s="19">
        <f>IF('Porcentaje de Notas'!O8="","",('Porcentaje de Notas'!O8/100)*$O$3)</f>
        <v>0</v>
      </c>
      <c r="P8" s="19">
        <f>IF('Porcentaje de Notas'!P8="","",('Porcentaje de Notas'!P8/100)*$P$3)</f>
        <v>0</v>
      </c>
      <c r="Q8" s="19">
        <f>IF('Porcentaje de Notas'!Q8="","",('Porcentaje de Notas'!Q8/100)*$Q$3)</f>
        <v>0</v>
      </c>
      <c r="R8" s="19">
        <f>IF('Porcentaje de Notas'!R8="","",('Porcentaje de Notas'!R8/100)*$R$3)</f>
        <v>0</v>
      </c>
      <c r="S8" s="19">
        <f>IF('Porcentaje de Notas'!S8="","",('Porcentaje de Notas'!S8/100)*$S$3)</f>
        <v>0</v>
      </c>
      <c r="T8" s="49">
        <f t="shared" si="0"/>
        <v>0</v>
      </c>
    </row>
    <row r="9" spans="3:24" x14ac:dyDescent="0.35">
      <c r="C9" s="19">
        <v>5</v>
      </c>
      <c r="D9" s="19">
        <v>202331587</v>
      </c>
      <c r="E9" s="20" t="s">
        <v>7</v>
      </c>
      <c r="F9" s="31">
        <f>IF('Porcentaje de Notas'!F9="","",('Porcentaje de Notas'!F9/100)*$F$3)</f>
        <v>0</v>
      </c>
      <c r="G9" s="19">
        <f>IF('Porcentaje de Notas'!G9="","",('Porcentaje de Notas'!G9/100)*$G$3)</f>
        <v>0</v>
      </c>
      <c r="H9" s="19">
        <f>IF('Porcentaje de Notas'!H9="","",('Porcentaje de Notas'!H9/100)*$H$3)</f>
        <v>0.5</v>
      </c>
      <c r="I9" s="32">
        <f>IF('Porcentaje de Notas'!I9="","",('Porcentaje de Notas'!I9/100)*$I$3)</f>
        <v>0.45</v>
      </c>
      <c r="J9" s="31">
        <f>IF('Porcentaje de Notas'!J9="","",('Porcentaje de Notas'!J9/100)*$J$3)</f>
        <v>0</v>
      </c>
      <c r="K9" s="19">
        <f>IF('Porcentaje de Notas'!K9="","",('Porcentaje de Notas'!K9/100)*$K$3)</f>
        <v>0.5</v>
      </c>
      <c r="L9" s="19">
        <f>IF('Porcentaje de Notas'!L9="","",('Porcentaje de Notas'!L9/100)*$L$3)</f>
        <v>0.9</v>
      </c>
      <c r="M9" s="19">
        <f>IF('Porcentaje de Notas'!M9="","",('Porcentaje de Notas'!M9/100)*$M$3)</f>
        <v>1.2000000000000002</v>
      </c>
      <c r="N9" s="19">
        <f>IF('Porcentaje de Notas'!N9="","",('Porcentaje de Notas'!N9/100)*$N$3)</f>
        <v>1.5</v>
      </c>
      <c r="O9" s="19">
        <f>IF('Porcentaje de Notas'!O9="","",('Porcentaje de Notas'!O9/100)*$O$3)</f>
        <v>1.7</v>
      </c>
      <c r="P9" s="19">
        <f>IF('Porcentaje de Notas'!P9="","",('Porcentaje de Notas'!P9/100)*$P$3)</f>
        <v>0</v>
      </c>
      <c r="Q9" s="19">
        <f>IF('Porcentaje de Notas'!Q9="","",('Porcentaje de Notas'!Q9/100)*$Q$3)</f>
        <v>1</v>
      </c>
      <c r="R9" s="19">
        <f>IF('Porcentaje de Notas'!R9="","",('Porcentaje de Notas'!R9/100)*$R$3)</f>
        <v>1.5</v>
      </c>
      <c r="S9" s="19">
        <f>IF('Porcentaje de Notas'!S9="","",('Porcentaje de Notas'!S9/100)*$S$3)</f>
        <v>5</v>
      </c>
      <c r="T9" s="49">
        <f t="shared" si="0"/>
        <v>14.25</v>
      </c>
    </row>
    <row r="10" spans="3:24" x14ac:dyDescent="0.35">
      <c r="C10" s="19">
        <v>6</v>
      </c>
      <c r="D10" s="19">
        <v>202332049</v>
      </c>
      <c r="E10" s="20" t="s">
        <v>8</v>
      </c>
      <c r="F10" s="31">
        <f>IF('Porcentaje de Notas'!F10="","",('Porcentaje de Notas'!F10/100)*$F$3)</f>
        <v>0</v>
      </c>
      <c r="G10" s="19">
        <f>IF('Porcentaje de Notas'!G10="","",('Porcentaje de Notas'!G10/100)*$G$3)</f>
        <v>0</v>
      </c>
      <c r="H10" s="19">
        <f>IF('Porcentaje de Notas'!H10="","",('Porcentaje de Notas'!H10/100)*$H$3)</f>
        <v>0</v>
      </c>
      <c r="I10" s="32">
        <f>IF('Porcentaje de Notas'!I10="","",('Porcentaje de Notas'!I10/100)*$I$3)</f>
        <v>0</v>
      </c>
      <c r="J10" s="31">
        <f>IF('Porcentaje de Notas'!J10="","",('Porcentaje de Notas'!J10/100)*$J$3)</f>
        <v>0</v>
      </c>
      <c r="K10" s="19">
        <f>IF('Porcentaje de Notas'!K10="","",('Porcentaje de Notas'!K10/100)*$K$3)</f>
        <v>0</v>
      </c>
      <c r="L10" s="19">
        <f>IF('Porcentaje de Notas'!L10="","",('Porcentaje de Notas'!L10/100)*$L$3)</f>
        <v>0</v>
      </c>
      <c r="M10" s="19">
        <f>IF('Porcentaje de Notas'!M10="","",('Porcentaje de Notas'!M10/100)*$M$3)</f>
        <v>0</v>
      </c>
      <c r="N10" s="19">
        <f>IF('Porcentaje de Notas'!N10="","",('Porcentaje de Notas'!N10/100)*$N$3)</f>
        <v>0</v>
      </c>
      <c r="O10" s="19">
        <f>IF('Porcentaje de Notas'!O10="","",('Porcentaje de Notas'!O10/100)*$O$3)</f>
        <v>0</v>
      </c>
      <c r="P10" s="19">
        <f>IF('Porcentaje de Notas'!P10="","",('Porcentaje de Notas'!P10/100)*$P$3)</f>
        <v>0</v>
      </c>
      <c r="Q10" s="19">
        <f>IF('Porcentaje de Notas'!Q10="","",('Porcentaje de Notas'!Q10/100)*$Q$3)</f>
        <v>0</v>
      </c>
      <c r="R10" s="19">
        <f>IF('Porcentaje de Notas'!R10="","",('Porcentaje de Notas'!R10/100)*$R$3)</f>
        <v>0</v>
      </c>
      <c r="S10" s="19">
        <f>IF('Porcentaje de Notas'!S10="","",('Porcentaje de Notas'!S10/100)*$S$3)</f>
        <v>0</v>
      </c>
      <c r="T10" s="49">
        <f t="shared" si="0"/>
        <v>0</v>
      </c>
    </row>
    <row r="11" spans="3:24" x14ac:dyDescent="0.35">
      <c r="C11" s="19">
        <v>7</v>
      </c>
      <c r="D11" s="19">
        <v>202402553</v>
      </c>
      <c r="E11" s="20" t="s">
        <v>9</v>
      </c>
      <c r="F11" s="31">
        <f>IF('Porcentaje de Notas'!F11="","",('Porcentaje de Notas'!F11/100)*$F$3)</f>
        <v>0.5</v>
      </c>
      <c r="G11" s="19">
        <f>IF('Porcentaje de Notas'!G11="","",('Porcentaje de Notas'!G11/100)*$G$3)</f>
        <v>0</v>
      </c>
      <c r="H11" s="19">
        <f>IF('Porcentaje de Notas'!H11="","",('Porcentaje de Notas'!H11/100)*$H$3)</f>
        <v>0.5</v>
      </c>
      <c r="I11" s="32">
        <f>IF('Porcentaje de Notas'!I11="","",('Porcentaje de Notas'!I11/100)*$I$3)</f>
        <v>0.45</v>
      </c>
      <c r="J11" s="31">
        <f>IF('Porcentaje de Notas'!J11="","",('Porcentaje de Notas'!J11/100)*$J$3)</f>
        <v>0.6</v>
      </c>
      <c r="K11" s="19">
        <f>IF('Porcentaje de Notas'!K11="","",('Porcentaje de Notas'!K11/100)*$K$3)</f>
        <v>0</v>
      </c>
      <c r="L11" s="19">
        <f>IF('Porcentaje de Notas'!L11="","",('Porcentaje de Notas'!L11/100)*$L$3)</f>
        <v>1</v>
      </c>
      <c r="M11" s="19">
        <f>IF('Porcentaje de Notas'!M11="","",('Porcentaje de Notas'!M11/100)*$M$3)</f>
        <v>1.5</v>
      </c>
      <c r="N11" s="19">
        <f>IF('Porcentaje de Notas'!N11="","",('Porcentaje de Notas'!N11/100)*$N$3)</f>
        <v>1</v>
      </c>
      <c r="O11" s="19">
        <f>IF('Porcentaje de Notas'!O11="","",('Porcentaje de Notas'!O11/100)*$O$3)</f>
        <v>0</v>
      </c>
      <c r="P11" s="19">
        <f>IF('Porcentaje de Notas'!P11="","",('Porcentaje de Notas'!P11/100)*$P$3)</f>
        <v>1.3</v>
      </c>
      <c r="Q11" s="19">
        <f>IF('Porcentaje de Notas'!Q11="","",('Porcentaje de Notas'!Q11/100)*$Q$3)</f>
        <v>0.8</v>
      </c>
      <c r="R11" s="19">
        <f>IF('Porcentaje de Notas'!R11="","",('Porcentaje de Notas'!R11/100)*$R$3)</f>
        <v>1.5</v>
      </c>
      <c r="S11" s="19">
        <f>IF('Porcentaje de Notas'!S11="","",('Porcentaje de Notas'!S11/100)*$S$3)</f>
        <v>0</v>
      </c>
      <c r="T11" s="49">
        <f t="shared" si="0"/>
        <v>9.1499999999999986</v>
      </c>
    </row>
    <row r="12" spans="3:24" x14ac:dyDescent="0.35">
      <c r="C12" s="19">
        <v>8</v>
      </c>
      <c r="D12" s="19">
        <v>202430271</v>
      </c>
      <c r="E12" s="20" t="s">
        <v>10</v>
      </c>
      <c r="F12" s="31">
        <f>IF('Porcentaje de Notas'!F12="","",('Porcentaje de Notas'!F12/100)*$F$3)</f>
        <v>0</v>
      </c>
      <c r="G12" s="19">
        <f>IF('Porcentaje de Notas'!G12="","",('Porcentaje de Notas'!G12/100)*$G$3)</f>
        <v>0.5</v>
      </c>
      <c r="H12" s="19">
        <f>IF('Porcentaje de Notas'!H12="","",('Porcentaje de Notas'!H12/100)*$H$3)</f>
        <v>0</v>
      </c>
      <c r="I12" s="32">
        <f>IF('Porcentaje de Notas'!I12="","",('Porcentaje de Notas'!I12/100)*$I$3)</f>
        <v>0</v>
      </c>
      <c r="J12" s="31">
        <f>IF('Porcentaje de Notas'!J12="","",('Porcentaje de Notas'!J12/100)*$J$3)</f>
        <v>1</v>
      </c>
      <c r="K12" s="19">
        <f>IF('Porcentaje de Notas'!K12="","",('Porcentaje de Notas'!K12/100)*$K$3)</f>
        <v>1</v>
      </c>
      <c r="L12" s="19">
        <f>IF('Porcentaje de Notas'!L12="","",('Porcentaje de Notas'!L12/100)*$L$3)</f>
        <v>0</v>
      </c>
      <c r="M12" s="19">
        <f>IF('Porcentaje de Notas'!M12="","",('Porcentaje de Notas'!M12/100)*$M$3)</f>
        <v>0</v>
      </c>
      <c r="N12" s="19">
        <f>IF('Porcentaje de Notas'!N12="","",('Porcentaje de Notas'!N12/100)*$N$3)</f>
        <v>0</v>
      </c>
      <c r="O12" s="19">
        <f>IF('Porcentaje de Notas'!O12="","",('Porcentaje de Notas'!O12/100)*$O$3)</f>
        <v>0</v>
      </c>
      <c r="P12" s="19">
        <f>IF('Porcentaje de Notas'!P12="","",('Porcentaje de Notas'!P12/100)*$P$3)</f>
        <v>1.4</v>
      </c>
      <c r="Q12" s="19">
        <f>IF('Porcentaje de Notas'!Q12="","",('Porcentaje de Notas'!Q12/100)*$Q$3)</f>
        <v>0.8</v>
      </c>
      <c r="R12" s="19">
        <f>IF('Porcentaje de Notas'!R12="","",('Porcentaje de Notas'!R12/100)*$R$3)</f>
        <v>0</v>
      </c>
      <c r="S12" s="19">
        <f>IF('Porcentaje de Notas'!S12="","",('Porcentaje de Notas'!S12/100)*$S$3)</f>
        <v>5</v>
      </c>
      <c r="T12" s="49">
        <f t="shared" si="0"/>
        <v>9.6999999999999993</v>
      </c>
    </row>
    <row r="13" spans="3:24" x14ac:dyDescent="0.35">
      <c r="C13" s="19">
        <v>9</v>
      </c>
      <c r="D13" s="19">
        <v>202430532</v>
      </c>
      <c r="E13" s="20" t="s">
        <v>11</v>
      </c>
      <c r="F13" s="31">
        <f>IF('Porcentaje de Notas'!F13="","",('Porcentaje de Notas'!F13/100)*$F$3)</f>
        <v>0.5</v>
      </c>
      <c r="G13" s="19">
        <f>IF('Porcentaje de Notas'!G13="","",('Porcentaje de Notas'!G13/100)*$G$3)</f>
        <v>0</v>
      </c>
      <c r="H13" s="19">
        <f>IF('Porcentaje de Notas'!H13="","",('Porcentaje de Notas'!H13/100)*$H$3)</f>
        <v>0.5</v>
      </c>
      <c r="I13" s="32">
        <f>IF('Porcentaje de Notas'!I13="","",('Porcentaje de Notas'!I13/100)*$I$3)</f>
        <v>0.5</v>
      </c>
      <c r="J13" s="31">
        <f>IF('Porcentaje de Notas'!J13="","",('Porcentaje de Notas'!J13/100)*$J$3)</f>
        <v>1</v>
      </c>
      <c r="K13" s="19">
        <f>IF('Porcentaje de Notas'!K13="","",('Porcentaje de Notas'!K13/100)*$K$3)</f>
        <v>1</v>
      </c>
      <c r="L13" s="19">
        <f>IF('Porcentaje de Notas'!L13="","",('Porcentaje de Notas'!L13/100)*$L$3)</f>
        <v>1</v>
      </c>
      <c r="M13" s="19">
        <f>IF('Porcentaje de Notas'!M13="","",('Porcentaje de Notas'!M13/100)*$M$3)</f>
        <v>1.5</v>
      </c>
      <c r="N13" s="19">
        <f>IF('Porcentaje de Notas'!N13="","",('Porcentaje de Notas'!N13/100)*$N$3)</f>
        <v>2</v>
      </c>
      <c r="O13" s="19">
        <f>IF('Porcentaje de Notas'!O13="","",('Porcentaje de Notas'!O13/100)*$O$3)</f>
        <v>1.3</v>
      </c>
      <c r="P13" s="19">
        <f>IF('Porcentaje de Notas'!P13="","",('Porcentaje de Notas'!P13/100)*$P$3)</f>
        <v>1.6</v>
      </c>
      <c r="Q13" s="19">
        <f>IF('Porcentaje de Notas'!Q13="","",('Porcentaje de Notas'!Q13/100)*$Q$3)</f>
        <v>1</v>
      </c>
      <c r="R13" s="19">
        <f>IF('Porcentaje de Notas'!R13="","",('Porcentaje de Notas'!R13/100)*$R$3)</f>
        <v>1.5</v>
      </c>
      <c r="S13" s="19">
        <f>IF('Porcentaje de Notas'!S13="","",('Porcentaje de Notas'!S13/100)*$S$3)</f>
        <v>5</v>
      </c>
      <c r="T13" s="49">
        <f t="shared" si="0"/>
        <v>18.399999999999999</v>
      </c>
    </row>
    <row r="14" spans="3:24" x14ac:dyDescent="0.35">
      <c r="C14" s="19">
        <v>10</v>
      </c>
      <c r="D14" s="19">
        <v>202430589</v>
      </c>
      <c r="E14" s="20" t="s">
        <v>12</v>
      </c>
      <c r="F14" s="31">
        <f>IF('Porcentaje de Notas'!F14="","",('Porcentaje de Notas'!F14/100)*$F$3)</f>
        <v>0</v>
      </c>
      <c r="G14" s="19">
        <f>IF('Porcentaje de Notas'!G14="","",('Porcentaje de Notas'!G14/100)*$G$3)</f>
        <v>0</v>
      </c>
      <c r="H14" s="19">
        <f>IF('Porcentaje de Notas'!H14="","",('Porcentaje de Notas'!H14/100)*$H$3)</f>
        <v>0</v>
      </c>
      <c r="I14" s="32">
        <f>IF('Porcentaje de Notas'!I14="","",('Porcentaje de Notas'!I14/100)*$I$3)</f>
        <v>0.5</v>
      </c>
      <c r="J14" s="31">
        <f>IF('Porcentaje de Notas'!J14="","",('Porcentaje de Notas'!J14/100)*$J$3)</f>
        <v>0.75</v>
      </c>
      <c r="K14" s="19">
        <f>IF('Porcentaje de Notas'!K14="","",('Porcentaje de Notas'!K14/100)*$K$3)</f>
        <v>0.9</v>
      </c>
      <c r="L14" s="19">
        <f>IF('Porcentaje de Notas'!L14="","",('Porcentaje de Notas'!L14/100)*$L$3)</f>
        <v>1</v>
      </c>
      <c r="M14" s="19">
        <f>IF('Porcentaje de Notas'!M14="","",('Porcentaje de Notas'!M14/100)*$M$3)</f>
        <v>1.2000000000000002</v>
      </c>
      <c r="N14" s="19">
        <f>IF('Porcentaje de Notas'!N14="","",('Porcentaje de Notas'!N14/100)*$N$3)</f>
        <v>1.4</v>
      </c>
      <c r="O14" s="19">
        <f>IF('Porcentaje de Notas'!O14="","",('Porcentaje de Notas'!O14/100)*$O$3)</f>
        <v>0</v>
      </c>
      <c r="P14" s="19">
        <f>IF('Porcentaje de Notas'!P14="","",('Porcentaje de Notas'!P14/100)*$P$3)</f>
        <v>0</v>
      </c>
      <c r="Q14" s="19">
        <f>IF('Porcentaje de Notas'!Q14="","",('Porcentaje de Notas'!Q14/100)*$Q$3)</f>
        <v>0</v>
      </c>
      <c r="R14" s="19">
        <f>IF('Porcentaje de Notas'!R14="","",('Porcentaje de Notas'!R14/100)*$R$3)</f>
        <v>0</v>
      </c>
      <c r="S14" s="19">
        <f>IF('Porcentaje de Notas'!S14="","",('Porcentaje de Notas'!S14/100)*$S$3)</f>
        <v>5</v>
      </c>
      <c r="T14" s="49">
        <f t="shared" si="0"/>
        <v>10.75</v>
      </c>
    </row>
    <row r="15" spans="3:24" x14ac:dyDescent="0.35">
      <c r="C15" s="19">
        <v>11</v>
      </c>
      <c r="D15" s="19">
        <v>202430602</v>
      </c>
      <c r="E15" s="20" t="s">
        <v>13</v>
      </c>
      <c r="F15" s="31">
        <f>IF('Porcentaje de Notas'!F15="","",('Porcentaje de Notas'!F15/100)*$F$3)</f>
        <v>0</v>
      </c>
      <c r="G15" s="19">
        <f>IF('Porcentaje de Notas'!G15="","",('Porcentaje de Notas'!G15/100)*$G$3)</f>
        <v>0</v>
      </c>
      <c r="H15" s="19">
        <f>IF('Porcentaje de Notas'!H15="","",('Porcentaje de Notas'!H15/100)*$H$3)</f>
        <v>0.5</v>
      </c>
      <c r="I15" s="32">
        <f>IF('Porcentaje de Notas'!I15="","",('Porcentaje de Notas'!I15/100)*$I$3)</f>
        <v>0</v>
      </c>
      <c r="J15" s="31">
        <f>IF('Porcentaje de Notas'!J15="","",('Porcentaje de Notas'!J15/100)*$J$3)</f>
        <v>0.6</v>
      </c>
      <c r="K15" s="19">
        <f>IF('Porcentaje de Notas'!K15="","",('Porcentaje de Notas'!K15/100)*$K$3)</f>
        <v>0</v>
      </c>
      <c r="L15" s="19">
        <f>IF('Porcentaje de Notas'!L15="","",('Porcentaje de Notas'!L15/100)*$L$3)</f>
        <v>0.9</v>
      </c>
      <c r="M15" s="19">
        <f>IF('Porcentaje de Notas'!M15="","",('Porcentaje de Notas'!M15/100)*$M$3)</f>
        <v>1.5</v>
      </c>
      <c r="N15" s="19">
        <f>IF('Porcentaje de Notas'!N15="","",('Porcentaje de Notas'!N15/100)*$N$3)</f>
        <v>0</v>
      </c>
      <c r="O15" s="19">
        <f>IF('Porcentaje de Notas'!O15="","",('Porcentaje de Notas'!O15/100)*$O$3)</f>
        <v>0</v>
      </c>
      <c r="P15" s="19">
        <f>IF('Porcentaje de Notas'!P15="","",('Porcentaje de Notas'!P15/100)*$P$3)</f>
        <v>0.6</v>
      </c>
      <c r="Q15" s="19">
        <f>IF('Porcentaje de Notas'!Q15="","",('Porcentaje de Notas'!Q15/100)*$Q$3)</f>
        <v>0</v>
      </c>
      <c r="R15" s="19">
        <f>IF('Porcentaje de Notas'!R15="","",('Porcentaje de Notas'!R15/100)*$R$3)</f>
        <v>0</v>
      </c>
      <c r="S15" s="19">
        <f>IF('Porcentaje de Notas'!S15="","",('Porcentaje de Notas'!S15/100)*$S$3)</f>
        <v>0</v>
      </c>
      <c r="T15" s="49">
        <f t="shared" si="0"/>
        <v>4.0999999999999996</v>
      </c>
    </row>
    <row r="16" spans="3:24" x14ac:dyDescent="0.35">
      <c r="C16" s="19">
        <v>12</v>
      </c>
      <c r="D16" s="19">
        <v>202430633</v>
      </c>
      <c r="E16" s="20" t="s">
        <v>14</v>
      </c>
      <c r="F16" s="31">
        <f>IF('Porcentaje de Notas'!F16="","",('Porcentaje de Notas'!F16/100)*$F$3)</f>
        <v>0.5</v>
      </c>
      <c r="G16" s="19">
        <f>IF('Porcentaje de Notas'!G16="","",('Porcentaje de Notas'!G16/100)*$G$3)</f>
        <v>0</v>
      </c>
      <c r="H16" s="19">
        <f>IF('Porcentaje de Notas'!H16="","",('Porcentaje de Notas'!H16/100)*$H$3)</f>
        <v>0.5</v>
      </c>
      <c r="I16" s="32">
        <f>IF('Porcentaje de Notas'!I16="","",('Porcentaje de Notas'!I16/100)*$I$3)</f>
        <v>0.5</v>
      </c>
      <c r="J16" s="31">
        <f>IF('Porcentaje de Notas'!J16="","",('Porcentaje de Notas'!J16/100)*$J$3)</f>
        <v>1</v>
      </c>
      <c r="K16" s="19">
        <f>IF('Porcentaje de Notas'!K16="","",('Porcentaje de Notas'!K16/100)*$K$3)</f>
        <v>1</v>
      </c>
      <c r="L16" s="19">
        <f>IF('Porcentaje de Notas'!L16="","",('Porcentaje de Notas'!L16/100)*$L$3)</f>
        <v>1</v>
      </c>
      <c r="M16" s="19">
        <f>IF('Porcentaje de Notas'!M16="","",('Porcentaje de Notas'!M16/100)*$M$3)</f>
        <v>1.5</v>
      </c>
      <c r="N16" s="19">
        <f>IF('Porcentaje de Notas'!N16="","",('Porcentaje de Notas'!N16/100)*$N$3)</f>
        <v>1</v>
      </c>
      <c r="O16" s="19">
        <f>IF('Porcentaje de Notas'!O16="","",('Porcentaje de Notas'!O16/100)*$O$3)</f>
        <v>2</v>
      </c>
      <c r="P16" s="19">
        <f>IF('Porcentaje de Notas'!P16="","",('Porcentaje de Notas'!P16/100)*$P$3)</f>
        <v>1</v>
      </c>
      <c r="Q16" s="19">
        <f>IF('Porcentaje de Notas'!Q16="","",('Porcentaje de Notas'!Q16/100)*$Q$3)</f>
        <v>0</v>
      </c>
      <c r="R16" s="19">
        <f>IF('Porcentaje de Notas'!R16="","",('Porcentaje de Notas'!R16/100)*$R$3)</f>
        <v>0</v>
      </c>
      <c r="S16" s="19">
        <f>IF('Porcentaje de Notas'!S16="","",('Porcentaje de Notas'!S16/100)*$S$3)</f>
        <v>5</v>
      </c>
      <c r="T16" s="49">
        <f t="shared" si="0"/>
        <v>15</v>
      </c>
    </row>
    <row r="17" spans="3:20" x14ac:dyDescent="0.35">
      <c r="C17" s="19">
        <v>13</v>
      </c>
      <c r="D17" s="19">
        <v>202430645</v>
      </c>
      <c r="E17" s="20" t="s">
        <v>15</v>
      </c>
      <c r="F17" s="31">
        <f>IF('Porcentaje de Notas'!F17="","",('Porcentaje de Notas'!F17/100)*$F$3)</f>
        <v>0.5</v>
      </c>
      <c r="G17" s="19">
        <f>IF('Porcentaje de Notas'!G17="","",('Porcentaje de Notas'!G17/100)*$G$3)</f>
        <v>0</v>
      </c>
      <c r="H17" s="19">
        <f>IF('Porcentaje de Notas'!H17="","",('Porcentaje de Notas'!H17/100)*$H$3)</f>
        <v>0.25</v>
      </c>
      <c r="I17" s="32">
        <f>IF('Porcentaje de Notas'!I17="","",('Porcentaje de Notas'!I17/100)*$I$3)</f>
        <v>0.45</v>
      </c>
      <c r="J17" s="31">
        <f>IF('Porcentaje de Notas'!J17="","",('Porcentaje de Notas'!J17/100)*$J$3)</f>
        <v>1</v>
      </c>
      <c r="K17" s="19">
        <f>IF('Porcentaje de Notas'!K17="","",('Porcentaje de Notas'!K17/100)*$K$3)</f>
        <v>0.85</v>
      </c>
      <c r="L17" s="19">
        <f>IF('Porcentaje de Notas'!L17="","",('Porcentaje de Notas'!L17/100)*$L$3)</f>
        <v>1</v>
      </c>
      <c r="M17" s="19">
        <f>IF('Porcentaje de Notas'!M17="","",('Porcentaje de Notas'!M17/100)*$M$3)</f>
        <v>1.5</v>
      </c>
      <c r="N17" s="19">
        <f>IF('Porcentaje de Notas'!N17="","",('Porcentaje de Notas'!N17/100)*$N$3)</f>
        <v>1.4</v>
      </c>
      <c r="O17" s="19">
        <f>IF('Porcentaje de Notas'!O17="","",('Porcentaje de Notas'!O17/100)*$O$3)</f>
        <v>1.5</v>
      </c>
      <c r="P17" s="19">
        <f>IF('Porcentaje de Notas'!P17="","",('Porcentaje de Notas'!P17/100)*$P$3)</f>
        <v>1.4</v>
      </c>
      <c r="Q17" s="19">
        <f>IF('Porcentaje de Notas'!Q17="","",('Porcentaje de Notas'!Q17/100)*$Q$3)</f>
        <v>1</v>
      </c>
      <c r="R17" s="19">
        <f>IF('Porcentaje de Notas'!R17="","",('Porcentaje de Notas'!R17/100)*$R$3)</f>
        <v>1.5</v>
      </c>
      <c r="S17" s="19">
        <f>IF('Porcentaje de Notas'!S17="","",('Porcentaje de Notas'!S17/100)*$S$3)</f>
        <v>5</v>
      </c>
      <c r="T17" s="49">
        <f t="shared" si="0"/>
        <v>17.350000000000001</v>
      </c>
    </row>
    <row r="18" spans="3:20" x14ac:dyDescent="0.35">
      <c r="C18" s="19">
        <v>14</v>
      </c>
      <c r="D18" s="19">
        <v>202430733</v>
      </c>
      <c r="E18" s="20" t="s">
        <v>16</v>
      </c>
      <c r="F18" s="31">
        <f>IF('Porcentaje de Notas'!F18="","",('Porcentaje de Notas'!F18/100)*$F$3)</f>
        <v>0.5</v>
      </c>
      <c r="G18" s="19">
        <f>IF('Porcentaje de Notas'!G18="","",('Porcentaje de Notas'!G18/100)*$G$3)</f>
        <v>0</v>
      </c>
      <c r="H18" s="19">
        <f>IF('Porcentaje de Notas'!H18="","",('Porcentaje de Notas'!H18/100)*$H$3)</f>
        <v>0.25</v>
      </c>
      <c r="I18" s="32">
        <f>IF('Porcentaje de Notas'!I18="","",('Porcentaje de Notas'!I18/100)*$I$3)</f>
        <v>0.5</v>
      </c>
      <c r="J18" s="31">
        <f>IF('Porcentaje de Notas'!J18="","",('Porcentaje de Notas'!J18/100)*$J$3)</f>
        <v>0.85</v>
      </c>
      <c r="K18" s="19">
        <f>IF('Porcentaje de Notas'!K18="","",('Porcentaje de Notas'!K18/100)*$K$3)</f>
        <v>1</v>
      </c>
      <c r="L18" s="19">
        <f>IF('Porcentaje de Notas'!L18="","",('Porcentaje de Notas'!L18/100)*$L$3)</f>
        <v>1</v>
      </c>
      <c r="M18" s="19">
        <f>IF('Porcentaje de Notas'!M18="","",('Porcentaje de Notas'!M18/100)*$M$3)</f>
        <v>1.5</v>
      </c>
      <c r="N18" s="19">
        <f>IF('Porcentaje de Notas'!N18="","",('Porcentaje de Notas'!N18/100)*$N$3)</f>
        <v>1</v>
      </c>
      <c r="O18" s="19">
        <f>IF('Porcentaje de Notas'!O18="","",('Porcentaje de Notas'!O18/100)*$O$3)</f>
        <v>2</v>
      </c>
      <c r="P18" s="19">
        <f>IF('Porcentaje de Notas'!P18="","",('Porcentaje de Notas'!P18/100)*$P$3)</f>
        <v>2</v>
      </c>
      <c r="Q18" s="19">
        <f>IF('Porcentaje de Notas'!Q18="","",('Porcentaje de Notas'!Q18/100)*$Q$3)</f>
        <v>1</v>
      </c>
      <c r="R18" s="19">
        <f>IF('Porcentaje de Notas'!R18="","",('Porcentaje de Notas'!R18/100)*$R$3)</f>
        <v>1.5</v>
      </c>
      <c r="S18" s="19">
        <f>IF('Porcentaje de Notas'!S18="","",('Porcentaje de Notas'!S18/100)*$S$3)</f>
        <v>5</v>
      </c>
      <c r="T18" s="49">
        <f t="shared" si="0"/>
        <v>18.100000000000001</v>
      </c>
    </row>
    <row r="19" spans="3:20" x14ac:dyDescent="0.35">
      <c r="C19" s="19">
        <v>15</v>
      </c>
      <c r="D19" s="19">
        <v>202430804</v>
      </c>
      <c r="E19" s="20" t="s">
        <v>17</v>
      </c>
      <c r="F19" s="31">
        <f>IF('Porcentaje de Notas'!F19="","",('Porcentaje de Notas'!F19/100)*$F$3)</f>
        <v>0.5</v>
      </c>
      <c r="G19" s="19">
        <f>IF('Porcentaje de Notas'!G19="","",('Porcentaje de Notas'!G19/100)*$G$3)</f>
        <v>0</v>
      </c>
      <c r="H19" s="19">
        <f>IF('Porcentaje de Notas'!H19="","",('Porcentaje de Notas'!H19/100)*$H$3)</f>
        <v>0</v>
      </c>
      <c r="I19" s="32">
        <f>IF('Porcentaje de Notas'!I19="","",('Porcentaje de Notas'!I19/100)*$I$3)</f>
        <v>0</v>
      </c>
      <c r="J19" s="31">
        <f>IF('Porcentaje de Notas'!J19="","",('Porcentaje de Notas'!J19/100)*$J$3)</f>
        <v>1</v>
      </c>
      <c r="K19" s="19">
        <f>IF('Porcentaje de Notas'!K19="","",('Porcentaje de Notas'!K19/100)*$K$3)</f>
        <v>1</v>
      </c>
      <c r="L19" s="19">
        <f>IF('Porcentaje de Notas'!L19="","",('Porcentaje de Notas'!L19/100)*$L$3)</f>
        <v>1</v>
      </c>
      <c r="M19" s="19">
        <f>IF('Porcentaje de Notas'!M19="","",('Porcentaje de Notas'!M19/100)*$M$3)</f>
        <v>1.5</v>
      </c>
      <c r="N19" s="19">
        <f>IF('Porcentaje de Notas'!N19="","",('Porcentaje de Notas'!N19/100)*$N$3)</f>
        <v>1.6</v>
      </c>
      <c r="O19" s="19">
        <f>IF('Porcentaje de Notas'!O19="","",('Porcentaje de Notas'!O19/100)*$O$3)</f>
        <v>2</v>
      </c>
      <c r="P19" s="19">
        <f>IF('Porcentaje de Notas'!P19="","",('Porcentaje de Notas'!P19/100)*$P$3)</f>
        <v>2</v>
      </c>
      <c r="Q19" s="19">
        <f>IF('Porcentaje de Notas'!Q19="","",('Porcentaje de Notas'!Q19/100)*$Q$3)</f>
        <v>0</v>
      </c>
      <c r="R19" s="19">
        <f>IF('Porcentaje de Notas'!R19="","",('Porcentaje de Notas'!R19/100)*$R$3)</f>
        <v>0</v>
      </c>
      <c r="S19" s="19">
        <f>IF('Porcentaje de Notas'!S19="","",('Porcentaje de Notas'!S19/100)*$S$3)</f>
        <v>0</v>
      </c>
      <c r="T19" s="49">
        <f t="shared" si="0"/>
        <v>10.6</v>
      </c>
    </row>
    <row r="20" spans="3:20" x14ac:dyDescent="0.35">
      <c r="C20" s="19">
        <v>16</v>
      </c>
      <c r="D20" s="19">
        <v>202430829</v>
      </c>
      <c r="E20" s="20" t="s">
        <v>18</v>
      </c>
      <c r="F20" s="31">
        <f>IF('Porcentaje de Notas'!F20="","",('Porcentaje de Notas'!F20/100)*$F$3)</f>
        <v>0.5</v>
      </c>
      <c r="G20" s="19">
        <f>IF('Porcentaje de Notas'!G20="","",('Porcentaje de Notas'!G20/100)*$G$3)</f>
        <v>0.5</v>
      </c>
      <c r="H20" s="19">
        <f>IF('Porcentaje de Notas'!H20="","",('Porcentaje de Notas'!H20/100)*$H$3)</f>
        <v>0.5</v>
      </c>
      <c r="I20" s="32">
        <f>IF('Porcentaje de Notas'!I20="","",('Porcentaje de Notas'!I20/100)*$I$3)</f>
        <v>0.45</v>
      </c>
      <c r="J20" s="31">
        <f>IF('Porcentaje de Notas'!J20="","",('Porcentaje de Notas'!J20/100)*$J$3)</f>
        <v>0.85</v>
      </c>
      <c r="K20" s="19">
        <f>IF('Porcentaje de Notas'!K20="","",('Porcentaje de Notas'!K20/100)*$K$3)</f>
        <v>1</v>
      </c>
      <c r="L20" s="19">
        <f>IF('Porcentaje de Notas'!L20="","",('Porcentaje de Notas'!L20/100)*$L$3)</f>
        <v>1</v>
      </c>
      <c r="M20" s="19">
        <f>IF('Porcentaje de Notas'!M20="","",('Porcentaje de Notas'!M20/100)*$M$3)</f>
        <v>1.5</v>
      </c>
      <c r="N20" s="19">
        <f>IF('Porcentaje de Notas'!N20="","",('Porcentaje de Notas'!N20/100)*$N$3)</f>
        <v>1.4</v>
      </c>
      <c r="O20" s="19">
        <f>IF('Porcentaje de Notas'!O20="","",('Porcentaje de Notas'!O20/100)*$O$3)</f>
        <v>1.7</v>
      </c>
      <c r="P20" s="19">
        <f>IF('Porcentaje de Notas'!P20="","",('Porcentaje de Notas'!P20/100)*$P$3)</f>
        <v>1.7</v>
      </c>
      <c r="Q20" s="19">
        <f>IF('Porcentaje de Notas'!Q20="","",('Porcentaje de Notas'!Q20/100)*$Q$3)</f>
        <v>0.8</v>
      </c>
      <c r="R20" s="19">
        <f>IF('Porcentaje de Notas'!R20="","",('Porcentaje de Notas'!R20/100)*$R$3)</f>
        <v>1.5</v>
      </c>
      <c r="S20" s="19">
        <f>IF('Porcentaje de Notas'!S20="","",('Porcentaje de Notas'!S20/100)*$S$3)</f>
        <v>5</v>
      </c>
      <c r="T20" s="49">
        <f t="shared" si="0"/>
        <v>18.399999999999999</v>
      </c>
    </row>
    <row r="21" spans="3:20" x14ac:dyDescent="0.35">
      <c r="C21" s="19">
        <v>17</v>
      </c>
      <c r="D21" s="19">
        <v>202431169</v>
      </c>
      <c r="E21" s="20" t="s">
        <v>19</v>
      </c>
      <c r="F21" s="31">
        <f>IF('Porcentaje de Notas'!F21="","",('Porcentaje de Notas'!F21/100)*$F$3)</f>
        <v>0.5</v>
      </c>
      <c r="G21" s="19">
        <f>IF('Porcentaje de Notas'!G21="","",('Porcentaje de Notas'!G21/100)*$G$3)</f>
        <v>0</v>
      </c>
      <c r="H21" s="19">
        <f>IF('Porcentaje de Notas'!H21="","",('Porcentaje de Notas'!H21/100)*$H$3)</f>
        <v>0.25</v>
      </c>
      <c r="I21" s="32">
        <f>IF('Porcentaje de Notas'!I21="","",('Porcentaje de Notas'!I21/100)*$I$3)</f>
        <v>0.5</v>
      </c>
      <c r="J21" s="31">
        <f>IF('Porcentaje de Notas'!J21="","",('Porcentaje de Notas'!J21/100)*$J$3)</f>
        <v>0.85</v>
      </c>
      <c r="K21" s="19">
        <f>IF('Porcentaje de Notas'!K21="","",('Porcentaje de Notas'!K21/100)*$K$3)</f>
        <v>1</v>
      </c>
      <c r="L21" s="19">
        <f>IF('Porcentaje de Notas'!L21="","",('Porcentaje de Notas'!L21/100)*$L$3)</f>
        <v>1</v>
      </c>
      <c r="M21" s="19">
        <f>IF('Porcentaje de Notas'!M21="","",('Porcentaje de Notas'!M21/100)*$M$3)</f>
        <v>1.5</v>
      </c>
      <c r="N21" s="19">
        <f>IF('Porcentaje de Notas'!N21="","",('Porcentaje de Notas'!N21/100)*$N$3)</f>
        <v>1</v>
      </c>
      <c r="O21" s="19">
        <f>IF('Porcentaje de Notas'!O21="","",('Porcentaje de Notas'!O21/100)*$O$3)</f>
        <v>2</v>
      </c>
      <c r="P21" s="19">
        <f>IF('Porcentaje de Notas'!P21="","",('Porcentaje de Notas'!P21/100)*$P$3)</f>
        <v>2</v>
      </c>
      <c r="Q21" s="19">
        <f>IF('Porcentaje de Notas'!Q21="","",('Porcentaje de Notas'!Q21/100)*$Q$3)</f>
        <v>1</v>
      </c>
      <c r="R21" s="19">
        <f>IF('Porcentaje de Notas'!R21="","",('Porcentaje de Notas'!R21/100)*$R$3)</f>
        <v>1.5</v>
      </c>
      <c r="S21" s="19">
        <f>IF('Porcentaje de Notas'!S21="","",('Porcentaje de Notas'!S21/100)*$S$3)</f>
        <v>5</v>
      </c>
      <c r="T21" s="49">
        <f t="shared" si="0"/>
        <v>18.100000000000001</v>
      </c>
    </row>
    <row r="22" spans="3:20" x14ac:dyDescent="0.35">
      <c r="C22" s="19">
        <v>18</v>
      </c>
      <c r="D22" s="19">
        <v>202431502</v>
      </c>
      <c r="E22" s="20" t="s">
        <v>20</v>
      </c>
      <c r="F22" s="31">
        <f>IF('Porcentaje de Notas'!F22="","",('Porcentaje de Notas'!F22/100)*$F$3)</f>
        <v>0.5</v>
      </c>
      <c r="G22" s="19">
        <f>IF('Porcentaje de Notas'!G22="","",('Porcentaje de Notas'!G22/100)*$G$3)</f>
        <v>0.5</v>
      </c>
      <c r="H22" s="19">
        <f>IF('Porcentaje de Notas'!H22="","",('Porcentaje de Notas'!H22/100)*$H$3)</f>
        <v>0.5</v>
      </c>
      <c r="I22" s="32">
        <f>IF('Porcentaje de Notas'!I22="","",('Porcentaje de Notas'!I22/100)*$I$3)</f>
        <v>0.5</v>
      </c>
      <c r="J22" s="31">
        <f>IF('Porcentaje de Notas'!J22="","",('Porcentaje de Notas'!J22/100)*$J$3)</f>
        <v>1</v>
      </c>
      <c r="K22" s="19">
        <f>IF('Porcentaje de Notas'!K22="","",('Porcentaje de Notas'!K22/100)*$K$3)</f>
        <v>1</v>
      </c>
      <c r="L22" s="19">
        <f>IF('Porcentaje de Notas'!L22="","",('Porcentaje de Notas'!L22/100)*$L$3)</f>
        <v>1</v>
      </c>
      <c r="M22" s="19">
        <f>IF('Porcentaje de Notas'!M22="","",('Porcentaje de Notas'!M22/100)*$M$3)</f>
        <v>1.5</v>
      </c>
      <c r="N22" s="19">
        <f>IF('Porcentaje de Notas'!N22="","",('Porcentaje de Notas'!N22/100)*$N$3)</f>
        <v>1</v>
      </c>
      <c r="O22" s="19">
        <f>IF('Porcentaje de Notas'!O22="","",('Porcentaje de Notas'!O22/100)*$O$3)</f>
        <v>1.8</v>
      </c>
      <c r="P22" s="19">
        <f>IF('Porcentaje de Notas'!P22="","",('Porcentaje de Notas'!P22/100)*$P$3)</f>
        <v>0.9</v>
      </c>
      <c r="Q22" s="19">
        <f>IF('Porcentaje de Notas'!Q22="","",('Porcentaje de Notas'!Q22/100)*$Q$3)</f>
        <v>0.8</v>
      </c>
      <c r="R22" s="19">
        <f>IF('Porcentaje de Notas'!R22="","",('Porcentaje de Notas'!R22/100)*$R$3)</f>
        <v>1.5</v>
      </c>
      <c r="S22" s="19">
        <f>IF('Porcentaje de Notas'!S22="","",('Porcentaje de Notas'!S22/100)*$S$3)</f>
        <v>5</v>
      </c>
      <c r="T22" s="49">
        <f t="shared" si="0"/>
        <v>17.5</v>
      </c>
    </row>
    <row r="23" spans="3:20" x14ac:dyDescent="0.35">
      <c r="C23" s="19">
        <v>19</v>
      </c>
      <c r="D23" s="19">
        <v>202431726</v>
      </c>
      <c r="E23" s="20" t="s">
        <v>21</v>
      </c>
      <c r="F23" s="31">
        <f>IF('Porcentaje de Notas'!F23="","",('Porcentaje de Notas'!F23/100)*$F$3)</f>
        <v>0.5</v>
      </c>
      <c r="G23" s="19">
        <f>IF('Porcentaje de Notas'!G23="","",('Porcentaje de Notas'!G23/100)*$G$3)</f>
        <v>0</v>
      </c>
      <c r="H23" s="19">
        <f>IF('Porcentaje de Notas'!H23="","",('Porcentaje de Notas'!H23/100)*$H$3)</f>
        <v>0.5</v>
      </c>
      <c r="I23" s="32">
        <f>IF('Porcentaje de Notas'!I23="","",('Porcentaje de Notas'!I23/100)*$I$3)</f>
        <v>0.5</v>
      </c>
      <c r="J23" s="31">
        <f>IF('Porcentaje de Notas'!J23="","",('Porcentaje de Notas'!J23/100)*$J$3)</f>
        <v>0.75</v>
      </c>
      <c r="K23" s="19">
        <f>IF('Porcentaje de Notas'!K23="","",('Porcentaje de Notas'!K23/100)*$K$3)</f>
        <v>1</v>
      </c>
      <c r="L23" s="19">
        <f>IF('Porcentaje de Notas'!L23="","",('Porcentaje de Notas'!L23/100)*$L$3)</f>
        <v>1</v>
      </c>
      <c r="M23" s="19">
        <f>IF('Porcentaje de Notas'!M23="","",('Porcentaje de Notas'!M23/100)*$M$3)</f>
        <v>1.5</v>
      </c>
      <c r="N23" s="19">
        <f>IF('Porcentaje de Notas'!N23="","",('Porcentaje de Notas'!N23/100)*$N$3)</f>
        <v>1.8</v>
      </c>
      <c r="O23" s="19">
        <f>IF('Porcentaje de Notas'!O23="","",('Porcentaje de Notas'!O23/100)*$O$3)</f>
        <v>1.9</v>
      </c>
      <c r="P23" s="19">
        <f>IF('Porcentaje de Notas'!P23="","",('Porcentaje de Notas'!P23/100)*$P$3)</f>
        <v>1.8</v>
      </c>
      <c r="Q23" s="19">
        <f>IF('Porcentaje de Notas'!Q23="","",('Porcentaje de Notas'!Q23/100)*$Q$3)</f>
        <v>0</v>
      </c>
      <c r="R23" s="19">
        <f>IF('Porcentaje de Notas'!R23="","",('Porcentaje de Notas'!R23/100)*$R$3)</f>
        <v>0</v>
      </c>
      <c r="S23" s="19">
        <f>IF('Porcentaje de Notas'!S23="","",('Porcentaje de Notas'!S23/100)*$S$3)</f>
        <v>0</v>
      </c>
      <c r="T23" s="49">
        <f t="shared" si="0"/>
        <v>11.25</v>
      </c>
    </row>
    <row r="24" spans="3:20" x14ac:dyDescent="0.35">
      <c r="C24" s="19">
        <v>20</v>
      </c>
      <c r="D24" s="19">
        <v>202431817</v>
      </c>
      <c r="E24" s="20" t="s">
        <v>22</v>
      </c>
      <c r="F24" s="31">
        <f>IF('Porcentaje de Notas'!F24="","",('Porcentaje de Notas'!F24/100)*$F$3)</f>
        <v>0</v>
      </c>
      <c r="G24" s="19">
        <f>IF('Porcentaje de Notas'!G24="","",('Porcentaje de Notas'!G24/100)*$G$3)</f>
        <v>0</v>
      </c>
      <c r="H24" s="19">
        <f>IF('Porcentaje de Notas'!H24="","",('Porcentaje de Notas'!H24/100)*$H$3)</f>
        <v>0.5</v>
      </c>
      <c r="I24" s="32">
        <f>IF('Porcentaje de Notas'!I24="","",('Porcentaje de Notas'!I24/100)*$I$3)</f>
        <v>0.5</v>
      </c>
      <c r="J24" s="31">
        <f>IF('Porcentaje de Notas'!J24="","",('Porcentaje de Notas'!J24/100)*$J$3)</f>
        <v>0</v>
      </c>
      <c r="K24" s="19">
        <f>IF('Porcentaje de Notas'!K24="","",('Porcentaje de Notas'!K24/100)*$K$3)</f>
        <v>0</v>
      </c>
      <c r="L24" s="19">
        <f>IF('Porcentaje de Notas'!L24="","",('Porcentaje de Notas'!L24/100)*$L$3)</f>
        <v>1</v>
      </c>
      <c r="M24" s="19">
        <f>IF('Porcentaje de Notas'!M24="","",('Porcentaje de Notas'!M24/100)*$M$3)</f>
        <v>0</v>
      </c>
      <c r="N24" s="19">
        <f>IF('Porcentaje de Notas'!N24="","",('Porcentaje de Notas'!N24/100)*$N$3)</f>
        <v>0</v>
      </c>
      <c r="O24" s="19">
        <f>IF('Porcentaje de Notas'!O24="","",('Porcentaje de Notas'!O24/100)*$O$3)</f>
        <v>0.3</v>
      </c>
      <c r="P24" s="19">
        <f>IF('Porcentaje de Notas'!P24="","",('Porcentaje de Notas'!P24/100)*$P$3)</f>
        <v>1.8</v>
      </c>
      <c r="Q24" s="19">
        <f>IF('Porcentaje de Notas'!Q24="","",('Porcentaje de Notas'!Q24/100)*$Q$3)</f>
        <v>1</v>
      </c>
      <c r="R24" s="19">
        <f>IF('Porcentaje de Notas'!R24="","",('Porcentaje de Notas'!R24/100)*$R$3)</f>
        <v>0</v>
      </c>
      <c r="S24" s="19">
        <f>IF('Porcentaje de Notas'!S24="","",('Porcentaje de Notas'!S24/100)*$S$3)</f>
        <v>5</v>
      </c>
      <c r="T24" s="49">
        <f t="shared" si="0"/>
        <v>10.1</v>
      </c>
    </row>
    <row r="25" spans="3:20" x14ac:dyDescent="0.35">
      <c r="C25" s="19">
        <v>21</v>
      </c>
      <c r="D25" s="19">
        <v>202431819</v>
      </c>
      <c r="E25" s="20" t="s">
        <v>23</v>
      </c>
      <c r="F25" s="31">
        <f>IF('Porcentaje de Notas'!F25="","",('Porcentaje de Notas'!F25/100)*$F$3)</f>
        <v>0</v>
      </c>
      <c r="G25" s="19">
        <f>IF('Porcentaje de Notas'!G25="","",('Porcentaje de Notas'!G25/100)*$G$3)</f>
        <v>0.5</v>
      </c>
      <c r="H25" s="19">
        <f>IF('Porcentaje de Notas'!H25="","",('Porcentaje de Notas'!H25/100)*$H$3)</f>
        <v>0</v>
      </c>
      <c r="I25" s="32">
        <f>IF('Porcentaje de Notas'!I25="","",('Porcentaje de Notas'!I25/100)*$I$3)</f>
        <v>0</v>
      </c>
      <c r="J25" s="31">
        <f>IF('Porcentaje de Notas'!J25="","",('Porcentaje de Notas'!J25/100)*$J$3)</f>
        <v>0</v>
      </c>
      <c r="K25" s="19">
        <f>IF('Porcentaje de Notas'!K25="","",('Porcentaje de Notas'!K25/100)*$K$3)</f>
        <v>1</v>
      </c>
      <c r="L25" s="19">
        <f>IF('Porcentaje de Notas'!L25="","",('Porcentaje de Notas'!L25/100)*$L$3)</f>
        <v>0</v>
      </c>
      <c r="M25" s="19">
        <f>IF('Porcentaje de Notas'!M25="","",('Porcentaje de Notas'!M25/100)*$M$3)</f>
        <v>1.5</v>
      </c>
      <c r="N25" s="19">
        <f>IF('Porcentaje de Notas'!N25="","",('Porcentaje de Notas'!N25/100)*$N$3)</f>
        <v>0</v>
      </c>
      <c r="O25" s="19">
        <f>IF('Porcentaje de Notas'!O25="","",('Porcentaje de Notas'!O25/100)*$O$3)</f>
        <v>1.7</v>
      </c>
      <c r="P25" s="19">
        <f>IF('Porcentaje de Notas'!P25="","",('Porcentaje de Notas'!P25/100)*$P$3)</f>
        <v>1.4</v>
      </c>
      <c r="Q25" s="19">
        <f>IF('Porcentaje de Notas'!Q25="","",('Porcentaje de Notas'!Q25/100)*$Q$3)</f>
        <v>0.8</v>
      </c>
      <c r="R25" s="19">
        <f>IF('Porcentaje de Notas'!R25="","",('Porcentaje de Notas'!R25/100)*$R$3)</f>
        <v>1.5</v>
      </c>
      <c r="S25" s="19">
        <f>IF('Porcentaje de Notas'!S25="","",('Porcentaje de Notas'!S25/100)*$S$3)</f>
        <v>5</v>
      </c>
      <c r="T25" s="49">
        <f t="shared" si="0"/>
        <v>13.399999999999999</v>
      </c>
    </row>
    <row r="26" spans="3:20" x14ac:dyDescent="0.35">
      <c r="C26" s="19">
        <v>22</v>
      </c>
      <c r="D26" s="19">
        <v>202431863</v>
      </c>
      <c r="E26" s="20" t="s">
        <v>24</v>
      </c>
      <c r="F26" s="31">
        <f>IF('Porcentaje de Notas'!F26="","",('Porcentaje de Notas'!F26/100)*$F$3)</f>
        <v>0.5</v>
      </c>
      <c r="G26" s="19">
        <f>IF('Porcentaje de Notas'!G26="","",('Porcentaje de Notas'!G26/100)*$G$3)</f>
        <v>0</v>
      </c>
      <c r="H26" s="19">
        <f>IF('Porcentaje de Notas'!H26="","",('Porcentaje de Notas'!H26/100)*$H$3)</f>
        <v>0</v>
      </c>
      <c r="I26" s="32">
        <f>IF('Porcentaje de Notas'!I26="","",('Porcentaje de Notas'!I26/100)*$I$3)</f>
        <v>0.5</v>
      </c>
      <c r="J26" s="31">
        <f>IF('Porcentaje de Notas'!J26="","",('Porcentaje de Notas'!J26/100)*$J$3)</f>
        <v>0.5</v>
      </c>
      <c r="K26" s="19">
        <f>IF('Porcentaje de Notas'!K26="","",('Porcentaje de Notas'!K26/100)*$K$3)</f>
        <v>0.5</v>
      </c>
      <c r="L26" s="19">
        <f>IF('Porcentaje de Notas'!L26="","",('Porcentaje de Notas'!L26/100)*$L$3)</f>
        <v>0.5</v>
      </c>
      <c r="M26" s="19">
        <f>IF('Porcentaje de Notas'!M26="","",('Porcentaje de Notas'!M26/100)*$M$3)</f>
        <v>1.5</v>
      </c>
      <c r="N26" s="19">
        <f>IF('Porcentaje de Notas'!N26="","",('Porcentaje de Notas'!N26/100)*$N$3)</f>
        <v>0.5</v>
      </c>
      <c r="O26" s="19">
        <f>IF('Porcentaje de Notas'!O26="","",('Porcentaje de Notas'!O26/100)*$O$3)</f>
        <v>0.5</v>
      </c>
      <c r="P26" s="19">
        <f>IF('Porcentaje de Notas'!P26="","",('Porcentaje de Notas'!P26/100)*$P$3)</f>
        <v>2</v>
      </c>
      <c r="Q26" s="19">
        <f>IF('Porcentaje de Notas'!Q26="","",('Porcentaje de Notas'!Q26/100)*$Q$3)</f>
        <v>0.8</v>
      </c>
      <c r="R26" s="19">
        <f>IF('Porcentaje de Notas'!R26="","",('Porcentaje de Notas'!R26/100)*$R$3)</f>
        <v>0</v>
      </c>
      <c r="S26" s="19">
        <f>IF('Porcentaje de Notas'!S26="","",('Porcentaje de Notas'!S26/100)*$S$3)</f>
        <v>5</v>
      </c>
      <c r="T26" s="49">
        <f t="shared" si="0"/>
        <v>12.8</v>
      </c>
    </row>
    <row r="27" spans="3:20" x14ac:dyDescent="0.35">
      <c r="C27" s="19">
        <v>23</v>
      </c>
      <c r="D27" s="19">
        <v>202432080</v>
      </c>
      <c r="E27" s="20" t="s">
        <v>25</v>
      </c>
      <c r="F27" s="31">
        <f>IF('Porcentaje de Notas'!F27="","",('Porcentaje de Notas'!F27/100)*$F$3)</f>
        <v>0.5</v>
      </c>
      <c r="G27" s="19">
        <f>IF('Porcentaje de Notas'!G27="","",('Porcentaje de Notas'!G27/100)*$G$3)</f>
        <v>0</v>
      </c>
      <c r="H27" s="19">
        <f>IF('Porcentaje de Notas'!H27="","",('Porcentaje de Notas'!H27/100)*$H$3)</f>
        <v>0</v>
      </c>
      <c r="I27" s="32">
        <f>IF('Porcentaje de Notas'!I27="","",('Porcentaje de Notas'!I27/100)*$I$3)</f>
        <v>0</v>
      </c>
      <c r="J27" s="31">
        <f>IF('Porcentaje de Notas'!J27="","",('Porcentaje de Notas'!J27/100)*$J$3)</f>
        <v>0</v>
      </c>
      <c r="K27" s="19">
        <f>IF('Porcentaje de Notas'!K27="","",('Porcentaje de Notas'!K27/100)*$K$3)</f>
        <v>1</v>
      </c>
      <c r="L27" s="19">
        <f>IF('Porcentaje de Notas'!L27="","",('Porcentaje de Notas'!L27/100)*$L$3)</f>
        <v>1</v>
      </c>
      <c r="M27" s="19">
        <f>IF('Porcentaje de Notas'!M27="","",('Porcentaje de Notas'!M27/100)*$M$3)</f>
        <v>1.5</v>
      </c>
      <c r="N27" s="19">
        <f>IF('Porcentaje de Notas'!N27="","",('Porcentaje de Notas'!N27/100)*$N$3)</f>
        <v>1.4</v>
      </c>
      <c r="O27" s="19">
        <f>IF('Porcentaje de Notas'!O27="","",('Porcentaje de Notas'!O27/100)*$O$3)</f>
        <v>2</v>
      </c>
      <c r="P27" s="19">
        <f>IF('Porcentaje de Notas'!P27="","",('Porcentaje de Notas'!P27/100)*$P$3)</f>
        <v>2</v>
      </c>
      <c r="Q27" s="19">
        <f>IF('Porcentaje de Notas'!Q27="","",('Porcentaje de Notas'!Q27/100)*$Q$3)</f>
        <v>0</v>
      </c>
      <c r="R27" s="19">
        <f>IF('Porcentaje de Notas'!R27="","",('Porcentaje de Notas'!R27/100)*$R$3)</f>
        <v>0</v>
      </c>
      <c r="S27" s="19">
        <f>IF('Porcentaje de Notas'!S27="","",('Porcentaje de Notas'!S27/100)*$S$3)</f>
        <v>0</v>
      </c>
      <c r="T27" s="49">
        <f t="shared" si="0"/>
        <v>9.4</v>
      </c>
    </row>
    <row r="28" spans="3:20" x14ac:dyDescent="0.35">
      <c r="C28" s="19">
        <v>24</v>
      </c>
      <c r="D28" s="19">
        <v>202432085</v>
      </c>
      <c r="E28" s="20" t="s">
        <v>26</v>
      </c>
      <c r="F28" s="31">
        <f>IF('Porcentaje de Notas'!F28="","",('Porcentaje de Notas'!F28/100)*$F$3)</f>
        <v>0.5</v>
      </c>
      <c r="G28" s="19">
        <f>IF('Porcentaje de Notas'!G28="","",('Porcentaje de Notas'!G28/100)*$G$3)</f>
        <v>0</v>
      </c>
      <c r="H28" s="19">
        <f>IF('Porcentaje de Notas'!H28="","",('Porcentaje de Notas'!H28/100)*$H$3)</f>
        <v>0.5</v>
      </c>
      <c r="I28" s="32">
        <f>IF('Porcentaje de Notas'!I28="","",('Porcentaje de Notas'!I28/100)*$I$3)</f>
        <v>0.5</v>
      </c>
      <c r="J28" s="31">
        <f>IF('Porcentaje de Notas'!J28="","",('Porcentaje de Notas'!J28/100)*$J$3)</f>
        <v>0.75</v>
      </c>
      <c r="K28" s="19">
        <f>IF('Porcentaje de Notas'!K28="","",('Porcentaje de Notas'!K28/100)*$K$3)</f>
        <v>1</v>
      </c>
      <c r="L28" s="19">
        <f>IF('Porcentaje de Notas'!L28="","",('Porcentaje de Notas'!L28/100)*$L$3)</f>
        <v>0.9</v>
      </c>
      <c r="M28" s="19">
        <f>IF('Porcentaje de Notas'!M28="","",('Porcentaje de Notas'!M28/100)*$M$3)</f>
        <v>1.5</v>
      </c>
      <c r="N28" s="19">
        <f>IF('Porcentaje de Notas'!N28="","",('Porcentaje de Notas'!N28/100)*$N$3)</f>
        <v>1.4</v>
      </c>
      <c r="O28" s="19">
        <f>IF('Porcentaje de Notas'!O28="","",('Porcentaje de Notas'!O28/100)*$O$3)</f>
        <v>1.9</v>
      </c>
      <c r="P28" s="19">
        <f>IF('Porcentaje de Notas'!P28="","",('Porcentaje de Notas'!P28/100)*$P$3)</f>
        <v>1.8</v>
      </c>
      <c r="Q28" s="19">
        <f>IF('Porcentaje de Notas'!Q28="","",('Porcentaje de Notas'!Q28/100)*$Q$3)</f>
        <v>0</v>
      </c>
      <c r="R28" s="19">
        <f>IF('Porcentaje de Notas'!R28="","",('Porcentaje de Notas'!R28/100)*$R$3)</f>
        <v>0</v>
      </c>
      <c r="S28" s="19">
        <f>IF('Porcentaje de Notas'!S28="","",('Porcentaje de Notas'!S28/100)*$S$3)</f>
        <v>0</v>
      </c>
      <c r="T28" s="49">
        <f t="shared" si="0"/>
        <v>10.750000000000002</v>
      </c>
    </row>
    <row r="29" spans="3:20" x14ac:dyDescent="0.35">
      <c r="C29" s="19">
        <v>25</v>
      </c>
      <c r="D29" s="19">
        <v>202432137</v>
      </c>
      <c r="E29" s="20" t="s">
        <v>27</v>
      </c>
      <c r="F29" s="31">
        <f>IF('Porcentaje de Notas'!F29="","",('Porcentaje de Notas'!F29/100)*$F$3)</f>
        <v>0.5</v>
      </c>
      <c r="G29" s="19">
        <f>IF('Porcentaje de Notas'!G29="","",('Porcentaje de Notas'!G29/100)*$G$3)</f>
        <v>0</v>
      </c>
      <c r="H29" s="19">
        <f>IF('Porcentaje de Notas'!H29="","",('Porcentaje de Notas'!H29/100)*$H$3)</f>
        <v>0</v>
      </c>
      <c r="I29" s="32">
        <f>IF('Porcentaje de Notas'!I29="","",('Porcentaje de Notas'!I29/100)*$I$3)</f>
        <v>0.5</v>
      </c>
      <c r="J29" s="31">
        <f>IF('Porcentaje de Notas'!J29="","",('Porcentaje de Notas'!J29/100)*$J$3)</f>
        <v>0.5</v>
      </c>
      <c r="K29" s="19">
        <f>IF('Porcentaje de Notas'!K29="","",('Porcentaje de Notas'!K29/100)*$K$3)</f>
        <v>0.5</v>
      </c>
      <c r="L29" s="19">
        <f>IF('Porcentaje de Notas'!L29="","",('Porcentaje de Notas'!L29/100)*$L$3)</f>
        <v>0.5</v>
      </c>
      <c r="M29" s="19">
        <f>IF('Porcentaje de Notas'!M29="","",('Porcentaje de Notas'!M29/100)*$M$3)</f>
        <v>0</v>
      </c>
      <c r="N29" s="19">
        <f>IF('Porcentaje de Notas'!N29="","",('Porcentaje de Notas'!N29/100)*$N$3)</f>
        <v>0.5</v>
      </c>
      <c r="O29" s="19">
        <f>IF('Porcentaje de Notas'!O29="","",('Porcentaje de Notas'!O29/100)*$O$3)</f>
        <v>0.5</v>
      </c>
      <c r="P29" s="19">
        <f>IF('Porcentaje de Notas'!P29="","",('Porcentaje de Notas'!P29/100)*$P$3)</f>
        <v>2</v>
      </c>
      <c r="Q29" s="19">
        <f>IF('Porcentaje de Notas'!Q29="","",('Porcentaje de Notas'!Q29/100)*$Q$3)</f>
        <v>0.8</v>
      </c>
      <c r="R29" s="19">
        <f>IF('Porcentaje de Notas'!R29="","",('Porcentaje de Notas'!R29/100)*$R$3)</f>
        <v>0</v>
      </c>
      <c r="S29" s="19">
        <f>IF('Porcentaje de Notas'!S29="","",('Porcentaje de Notas'!S29/100)*$S$3)</f>
        <v>5</v>
      </c>
      <c r="T29" s="49">
        <f t="shared" si="0"/>
        <v>11.3</v>
      </c>
    </row>
    <row r="30" spans="3:20" x14ac:dyDescent="0.35">
      <c r="C30" s="19">
        <v>26</v>
      </c>
      <c r="D30" s="19">
        <v>202530125</v>
      </c>
      <c r="E30" s="20" t="s">
        <v>28</v>
      </c>
      <c r="F30" s="31">
        <f>IF('Porcentaje de Notas'!F30="","",('Porcentaje de Notas'!F30/100)*$F$3)</f>
        <v>0</v>
      </c>
      <c r="G30" s="19">
        <f>IF('Porcentaje de Notas'!G30="","",('Porcentaje de Notas'!G30/100)*$G$3)</f>
        <v>0</v>
      </c>
      <c r="H30" s="19">
        <f>IF('Porcentaje de Notas'!H30="","",('Porcentaje de Notas'!H30/100)*$H$3)</f>
        <v>0.5</v>
      </c>
      <c r="I30" s="32">
        <f>IF('Porcentaje de Notas'!I30="","",('Porcentaje de Notas'!I30/100)*$I$3)</f>
        <v>0.5</v>
      </c>
      <c r="J30" s="31">
        <f>IF('Porcentaje de Notas'!J30="","",('Porcentaje de Notas'!J30/100)*$J$3)</f>
        <v>1</v>
      </c>
      <c r="K30" s="19">
        <f>IF('Porcentaje de Notas'!K30="","",('Porcentaje de Notas'!K30/100)*$K$3)</f>
        <v>0.75</v>
      </c>
      <c r="L30" s="19">
        <f>IF('Porcentaje de Notas'!L30="","",('Porcentaje de Notas'!L30/100)*$L$3)</f>
        <v>0.9</v>
      </c>
      <c r="M30" s="19">
        <f>IF('Porcentaje de Notas'!M30="","",('Porcentaje de Notas'!M30/100)*$M$3)</f>
        <v>1.5</v>
      </c>
      <c r="N30" s="19">
        <f>IF('Porcentaje de Notas'!N30="","",('Porcentaje de Notas'!N30/100)*$N$3)</f>
        <v>1.6</v>
      </c>
      <c r="O30" s="19">
        <f>IF('Porcentaje de Notas'!O30="","",('Porcentaje de Notas'!O30/100)*$O$3)</f>
        <v>1.8</v>
      </c>
      <c r="P30" s="19">
        <f>IF('Porcentaje de Notas'!P30="","",('Porcentaje de Notas'!P30/100)*$P$3)</f>
        <v>1.2</v>
      </c>
      <c r="Q30" s="19">
        <f>IF('Porcentaje de Notas'!Q30="","",('Porcentaje de Notas'!Q30/100)*$Q$3)</f>
        <v>0</v>
      </c>
      <c r="R30" s="19">
        <f>IF('Porcentaje de Notas'!R30="","",('Porcentaje de Notas'!R30/100)*$R$3)</f>
        <v>0</v>
      </c>
      <c r="S30" s="19">
        <f>IF('Porcentaje de Notas'!S30="","",('Porcentaje de Notas'!S30/100)*$S$3)</f>
        <v>0</v>
      </c>
      <c r="T30" s="49">
        <f t="shared" si="0"/>
        <v>9.75</v>
      </c>
    </row>
    <row r="31" spans="3:20" x14ac:dyDescent="0.35">
      <c r="C31" s="19">
        <v>27</v>
      </c>
      <c r="D31" s="19">
        <v>202530235</v>
      </c>
      <c r="E31" s="20" t="s">
        <v>29</v>
      </c>
      <c r="F31" s="31">
        <f>IF('Porcentaje de Notas'!F31="","",('Porcentaje de Notas'!F31/100)*$F$3)</f>
        <v>0.5</v>
      </c>
      <c r="G31" s="19">
        <f>IF('Porcentaje de Notas'!G31="","",('Porcentaje de Notas'!G31/100)*$G$3)</f>
        <v>0</v>
      </c>
      <c r="H31" s="19">
        <f>IF('Porcentaje de Notas'!H31="","",('Porcentaje de Notas'!H31/100)*$H$3)</f>
        <v>0.5</v>
      </c>
      <c r="I31" s="32">
        <f>IF('Porcentaje de Notas'!I31="","",('Porcentaje de Notas'!I31/100)*$I$3)</f>
        <v>0.5</v>
      </c>
      <c r="J31" s="31">
        <f>IF('Porcentaje de Notas'!J31="","",('Porcentaje de Notas'!J31/100)*$J$3)</f>
        <v>1</v>
      </c>
      <c r="K31" s="19">
        <f>IF('Porcentaje de Notas'!K31="","",('Porcentaje de Notas'!K31/100)*$K$3)</f>
        <v>1</v>
      </c>
      <c r="L31" s="19">
        <f>IF('Porcentaje de Notas'!L31="","",('Porcentaje de Notas'!L31/100)*$L$3)</f>
        <v>1</v>
      </c>
      <c r="M31" s="19">
        <f>IF('Porcentaje de Notas'!M31="","",('Porcentaje de Notas'!M31/100)*$M$3)</f>
        <v>1.5</v>
      </c>
      <c r="N31" s="19">
        <f>IF('Porcentaje de Notas'!N31="","",('Porcentaje de Notas'!N31/100)*$N$3)</f>
        <v>2</v>
      </c>
      <c r="O31" s="19">
        <f>IF('Porcentaje de Notas'!O31="","",('Porcentaje de Notas'!O31/100)*$O$3)</f>
        <v>0</v>
      </c>
      <c r="P31" s="19">
        <f>IF('Porcentaje de Notas'!P31="","",('Porcentaje de Notas'!P31/100)*$P$3)</f>
        <v>2</v>
      </c>
      <c r="Q31" s="19">
        <f>IF('Porcentaje de Notas'!Q31="","",('Porcentaje de Notas'!Q31/100)*$Q$3)</f>
        <v>0.8</v>
      </c>
      <c r="R31" s="19">
        <f>IF('Porcentaje de Notas'!R31="","",('Porcentaje de Notas'!R31/100)*$R$3)</f>
        <v>1.5</v>
      </c>
      <c r="S31" s="19">
        <f>IF('Porcentaje de Notas'!S31="","",('Porcentaje de Notas'!S31/100)*$S$3)</f>
        <v>5</v>
      </c>
      <c r="T31" s="49">
        <f t="shared" si="0"/>
        <v>17.3</v>
      </c>
    </row>
    <row r="32" spans="3:20" x14ac:dyDescent="0.35">
      <c r="C32" s="19">
        <v>28</v>
      </c>
      <c r="D32" s="19">
        <v>202530265</v>
      </c>
      <c r="E32" s="20" t="s">
        <v>30</v>
      </c>
      <c r="F32" s="31">
        <f>IF('Porcentaje de Notas'!F32="","",('Porcentaje de Notas'!F32/100)*$F$3)</f>
        <v>0.5</v>
      </c>
      <c r="G32" s="19">
        <f>IF('Porcentaje de Notas'!G32="","",('Porcentaje de Notas'!G32/100)*$G$3)</f>
        <v>0.5</v>
      </c>
      <c r="H32" s="19">
        <f>IF('Porcentaje de Notas'!H32="","",('Porcentaje de Notas'!H32/100)*$H$3)</f>
        <v>0.5</v>
      </c>
      <c r="I32" s="32">
        <f>IF('Porcentaje de Notas'!I32="","",('Porcentaje de Notas'!I32/100)*$I$3)</f>
        <v>0.5</v>
      </c>
      <c r="J32" s="31">
        <f>IF('Porcentaje de Notas'!J32="","",('Porcentaje de Notas'!J32/100)*$J$3)</f>
        <v>1</v>
      </c>
      <c r="K32" s="19">
        <f>IF('Porcentaje de Notas'!K32="","",('Porcentaje de Notas'!K32/100)*$K$3)</f>
        <v>0.9</v>
      </c>
      <c r="L32" s="19">
        <f>IF('Porcentaje de Notas'!L32="","",('Porcentaje de Notas'!L32/100)*$L$3)</f>
        <v>1</v>
      </c>
      <c r="M32" s="19">
        <f>IF('Porcentaje de Notas'!M32="","",('Porcentaje de Notas'!M32/100)*$M$3)</f>
        <v>1.5</v>
      </c>
      <c r="N32" s="19">
        <f>IF('Porcentaje de Notas'!N32="","",('Porcentaje de Notas'!N32/100)*$N$3)</f>
        <v>1.4</v>
      </c>
      <c r="O32" s="19">
        <f>IF('Porcentaje de Notas'!O32="","",('Porcentaje de Notas'!O32/100)*$O$3)</f>
        <v>2</v>
      </c>
      <c r="P32" s="19">
        <f>IF('Porcentaje de Notas'!P32="","",('Porcentaje de Notas'!P32/100)*$P$3)</f>
        <v>2</v>
      </c>
      <c r="Q32" s="19">
        <f>IF('Porcentaje de Notas'!Q32="","",('Porcentaje de Notas'!Q32/100)*$Q$3)</f>
        <v>0.9</v>
      </c>
      <c r="R32" s="19">
        <f>IF('Porcentaje de Notas'!R32="","",('Porcentaje de Notas'!R32/100)*$R$3)</f>
        <v>1.5</v>
      </c>
      <c r="S32" s="19">
        <f>IF('Porcentaje de Notas'!S32="","",('Porcentaje de Notas'!S32/100)*$S$3)</f>
        <v>5</v>
      </c>
      <c r="T32" s="49">
        <f t="shared" si="0"/>
        <v>19.200000000000003</v>
      </c>
    </row>
    <row r="33" spans="3:20" x14ac:dyDescent="0.35">
      <c r="C33" s="19">
        <v>29</v>
      </c>
      <c r="D33" s="19">
        <v>202530315</v>
      </c>
      <c r="E33" s="20" t="s">
        <v>31</v>
      </c>
      <c r="F33" s="31">
        <f>IF('Porcentaje de Notas'!F33="","",('Porcentaje de Notas'!F33/100)*$F$3)</f>
        <v>0.5</v>
      </c>
      <c r="G33" s="19">
        <f>IF('Porcentaje de Notas'!G33="","",('Porcentaje de Notas'!G33/100)*$G$3)</f>
        <v>0</v>
      </c>
      <c r="H33" s="19">
        <f>IF('Porcentaje de Notas'!H33="","",('Porcentaje de Notas'!H33/100)*$H$3)</f>
        <v>0.5</v>
      </c>
      <c r="I33" s="32">
        <f>IF('Porcentaje de Notas'!I33="","",('Porcentaje de Notas'!I33/100)*$I$3)</f>
        <v>0.5</v>
      </c>
      <c r="J33" s="31">
        <f>IF('Porcentaje de Notas'!J33="","",('Porcentaje de Notas'!J33/100)*$J$3)</f>
        <v>1</v>
      </c>
      <c r="K33" s="19">
        <f>IF('Porcentaje de Notas'!K33="","",('Porcentaje de Notas'!K33/100)*$K$3)</f>
        <v>1</v>
      </c>
      <c r="L33" s="19">
        <f>IF('Porcentaje de Notas'!L33="","",('Porcentaje de Notas'!L33/100)*$L$3)</f>
        <v>1</v>
      </c>
      <c r="M33" s="19">
        <f>IF('Porcentaje de Notas'!M33="","",('Porcentaje de Notas'!M33/100)*$M$3)</f>
        <v>1.5</v>
      </c>
      <c r="N33" s="19">
        <f>IF('Porcentaje de Notas'!N33="","",('Porcentaje de Notas'!N33/100)*$N$3)</f>
        <v>1</v>
      </c>
      <c r="O33" s="19">
        <f>IF('Porcentaje de Notas'!O33="","",('Porcentaje de Notas'!O33/100)*$O$3)</f>
        <v>2</v>
      </c>
      <c r="P33" s="19">
        <f>IF('Porcentaje de Notas'!P33="","",('Porcentaje de Notas'!P33/100)*$P$3)</f>
        <v>1</v>
      </c>
      <c r="Q33" s="19">
        <f>IF('Porcentaje de Notas'!Q33="","",('Porcentaje de Notas'!Q33/100)*$Q$3)</f>
        <v>0.8</v>
      </c>
      <c r="R33" s="19">
        <f>IF('Porcentaje de Notas'!R33="","",('Porcentaje de Notas'!R33/100)*$R$3)</f>
        <v>1.5</v>
      </c>
      <c r="S33" s="19">
        <f>IF('Porcentaje de Notas'!S33="","",('Porcentaje de Notas'!S33/100)*$S$3)</f>
        <v>5</v>
      </c>
      <c r="T33" s="49">
        <f t="shared" si="0"/>
        <v>17.3</v>
      </c>
    </row>
    <row r="34" spans="3:20" x14ac:dyDescent="0.35">
      <c r="C34" s="19">
        <v>30</v>
      </c>
      <c r="D34" s="19">
        <v>202530329</v>
      </c>
      <c r="E34" s="20" t="s">
        <v>32</v>
      </c>
      <c r="F34" s="31">
        <f>IF('Porcentaje de Notas'!F34="","",('Porcentaje de Notas'!F34/100)*$F$3)</f>
        <v>0.5</v>
      </c>
      <c r="G34" s="19">
        <f>IF('Porcentaje de Notas'!G34="","",('Porcentaje de Notas'!G34/100)*$G$3)</f>
        <v>0</v>
      </c>
      <c r="H34" s="19">
        <f>IF('Porcentaje de Notas'!H34="","",('Porcentaje de Notas'!H34/100)*$H$3)</f>
        <v>0.5</v>
      </c>
      <c r="I34" s="32">
        <f>IF('Porcentaje de Notas'!I34="","",('Porcentaje de Notas'!I34/100)*$I$3)</f>
        <v>0</v>
      </c>
      <c r="J34" s="31">
        <f>IF('Porcentaje de Notas'!J34="","",('Porcentaje de Notas'!J34/100)*$J$3)</f>
        <v>1</v>
      </c>
      <c r="K34" s="19">
        <f>IF('Porcentaje de Notas'!K34="","",('Porcentaje de Notas'!K34/100)*$K$3)</f>
        <v>0.95</v>
      </c>
      <c r="L34" s="19">
        <f>IF('Porcentaje de Notas'!L34="","",('Porcentaje de Notas'!L34/100)*$L$3)</f>
        <v>1</v>
      </c>
      <c r="M34" s="19">
        <f>IF('Porcentaje de Notas'!M34="","",('Porcentaje de Notas'!M34/100)*$M$3)</f>
        <v>1.5</v>
      </c>
      <c r="N34" s="19">
        <f>IF('Porcentaje de Notas'!N34="","",('Porcentaje de Notas'!N34/100)*$N$3)</f>
        <v>1.4</v>
      </c>
      <c r="O34" s="19">
        <f>IF('Porcentaje de Notas'!O34="","",('Porcentaje de Notas'!O34/100)*$O$3)</f>
        <v>1.7</v>
      </c>
      <c r="P34" s="19">
        <f>IF('Porcentaje de Notas'!P34="","",('Porcentaje de Notas'!P34/100)*$P$3)</f>
        <v>1.3</v>
      </c>
      <c r="Q34" s="19">
        <f>IF('Porcentaje de Notas'!Q34="","",('Porcentaje de Notas'!Q34/100)*$Q$3)</f>
        <v>0.8</v>
      </c>
      <c r="R34" s="19">
        <f>IF('Porcentaje de Notas'!R34="","",('Porcentaje de Notas'!R34/100)*$R$3)</f>
        <v>1.5</v>
      </c>
      <c r="S34" s="19">
        <f>IF('Porcentaje de Notas'!S34="","",('Porcentaje de Notas'!S34/100)*$S$3)</f>
        <v>5</v>
      </c>
      <c r="T34" s="49">
        <f t="shared" si="0"/>
        <v>17.149999999999999</v>
      </c>
    </row>
    <row r="35" spans="3:20" x14ac:dyDescent="0.35">
      <c r="C35" s="19">
        <v>31</v>
      </c>
      <c r="D35" s="19">
        <v>202530349</v>
      </c>
      <c r="E35" s="20" t="s">
        <v>33</v>
      </c>
      <c r="F35" s="31">
        <f>IF('Porcentaje de Notas'!F35="","",('Porcentaje de Notas'!F35/100)*$F$3)</f>
        <v>0</v>
      </c>
      <c r="G35" s="19">
        <f>IF('Porcentaje de Notas'!G35="","",('Porcentaje de Notas'!G35/100)*$G$3)</f>
        <v>0</v>
      </c>
      <c r="H35" s="19">
        <f>IF('Porcentaje de Notas'!H35="","",('Porcentaje de Notas'!H35/100)*$H$3)</f>
        <v>0.5</v>
      </c>
      <c r="I35" s="32">
        <f>IF('Porcentaje de Notas'!I35="","",('Porcentaje de Notas'!I35/100)*$I$3)</f>
        <v>0.5</v>
      </c>
      <c r="J35" s="31">
        <f>IF('Porcentaje de Notas'!J35="","",('Porcentaje de Notas'!J35/100)*$J$3)</f>
        <v>1</v>
      </c>
      <c r="K35" s="19">
        <f>IF('Porcentaje de Notas'!K35="","",('Porcentaje de Notas'!K35/100)*$K$3)</f>
        <v>0.75</v>
      </c>
      <c r="L35" s="19">
        <f>IF('Porcentaje de Notas'!L35="","",('Porcentaje de Notas'!L35/100)*$L$3)</f>
        <v>1</v>
      </c>
      <c r="M35" s="19">
        <f>IF('Porcentaje de Notas'!M35="","",('Porcentaje de Notas'!M35/100)*$M$3)</f>
        <v>1.5</v>
      </c>
      <c r="N35" s="19">
        <f>IF('Porcentaje de Notas'!N35="","",('Porcentaje de Notas'!N35/100)*$N$3)</f>
        <v>1.6</v>
      </c>
      <c r="O35" s="19">
        <f>IF('Porcentaje de Notas'!O35="","",('Porcentaje de Notas'!O35/100)*$O$3)</f>
        <v>1.8</v>
      </c>
      <c r="P35" s="19">
        <f>IF('Porcentaje de Notas'!P35="","",('Porcentaje de Notas'!P35/100)*$P$3)</f>
        <v>1.2</v>
      </c>
      <c r="Q35" s="19">
        <f>IF('Porcentaje de Notas'!Q35="","",('Porcentaje de Notas'!Q35/100)*$Q$3)</f>
        <v>1</v>
      </c>
      <c r="R35" s="19">
        <f>IF('Porcentaje de Notas'!R35="","",('Porcentaje de Notas'!R35/100)*$R$3)</f>
        <v>1.5</v>
      </c>
      <c r="S35" s="19">
        <f>IF('Porcentaje de Notas'!S35="","",('Porcentaje de Notas'!S35/100)*$S$3)</f>
        <v>5</v>
      </c>
      <c r="T35" s="49">
        <f t="shared" si="0"/>
        <v>17.350000000000001</v>
      </c>
    </row>
    <row r="36" spans="3:20" x14ac:dyDescent="0.35">
      <c r="C36" s="19">
        <v>32</v>
      </c>
      <c r="D36" s="19">
        <v>202530357</v>
      </c>
      <c r="E36" s="20" t="s">
        <v>34</v>
      </c>
      <c r="F36" s="31">
        <f>IF('Porcentaje de Notas'!F36="","",('Porcentaje de Notas'!F36/100)*$F$3)</f>
        <v>0.5</v>
      </c>
      <c r="G36" s="19">
        <f>IF('Porcentaje de Notas'!G36="","",('Porcentaje de Notas'!G36/100)*$G$3)</f>
        <v>0</v>
      </c>
      <c r="H36" s="19">
        <f>IF('Porcentaje de Notas'!H36="","",('Porcentaje de Notas'!H36/100)*$H$3)</f>
        <v>0.5</v>
      </c>
      <c r="I36" s="32">
        <f>IF('Porcentaje de Notas'!I36="","",('Porcentaje de Notas'!I36/100)*$I$3)</f>
        <v>0.5</v>
      </c>
      <c r="J36" s="31">
        <f>IF('Porcentaje de Notas'!J36="","",('Porcentaje de Notas'!J36/100)*$J$3)</f>
        <v>1</v>
      </c>
      <c r="K36" s="19">
        <f>IF('Porcentaje de Notas'!K36="","",('Porcentaje de Notas'!K36/100)*$K$3)</f>
        <v>1</v>
      </c>
      <c r="L36" s="19">
        <f>IF('Porcentaje de Notas'!L36="","",('Porcentaje de Notas'!L36/100)*$L$3)</f>
        <v>1</v>
      </c>
      <c r="M36" s="19">
        <f>IF('Porcentaje de Notas'!M36="","",('Porcentaje de Notas'!M36/100)*$M$3)</f>
        <v>1.5</v>
      </c>
      <c r="N36" s="19">
        <f>IF('Porcentaje de Notas'!N36="","",('Porcentaje de Notas'!N36/100)*$N$3)</f>
        <v>1.6</v>
      </c>
      <c r="O36" s="19">
        <f>IF('Porcentaje de Notas'!O36="","",('Porcentaje de Notas'!O36/100)*$O$3)</f>
        <v>1.3</v>
      </c>
      <c r="P36" s="19">
        <f>IF('Porcentaje de Notas'!P36="","",('Porcentaje de Notas'!P36/100)*$P$3)</f>
        <v>1.6</v>
      </c>
      <c r="Q36" s="19">
        <f>IF('Porcentaje de Notas'!Q36="","",('Porcentaje de Notas'!Q36/100)*$Q$3)</f>
        <v>1</v>
      </c>
      <c r="R36" s="19">
        <f>IF('Porcentaje de Notas'!R36="","",('Porcentaje de Notas'!R36/100)*$R$3)</f>
        <v>1.5</v>
      </c>
      <c r="S36" s="19">
        <f>IF('Porcentaje de Notas'!S36="","",('Porcentaje de Notas'!S36/100)*$S$3)</f>
        <v>5</v>
      </c>
      <c r="T36" s="49">
        <f t="shared" si="0"/>
        <v>18</v>
      </c>
    </row>
    <row r="37" spans="3:20" x14ac:dyDescent="0.35">
      <c r="C37" s="19">
        <v>33</v>
      </c>
      <c r="D37" s="19">
        <v>202530381</v>
      </c>
      <c r="E37" s="20" t="s">
        <v>35</v>
      </c>
      <c r="F37" s="31">
        <f>IF('Porcentaje de Notas'!F37="","",('Porcentaje de Notas'!F37/100)*$F$3)</f>
        <v>0.5</v>
      </c>
      <c r="G37" s="19">
        <f>IF('Porcentaje de Notas'!G37="","",('Porcentaje de Notas'!G37/100)*$G$3)</f>
        <v>0.5</v>
      </c>
      <c r="H37" s="19">
        <f>IF('Porcentaje de Notas'!H37="","",('Porcentaje de Notas'!H37/100)*$H$3)</f>
        <v>0.5</v>
      </c>
      <c r="I37" s="32">
        <f>IF('Porcentaje de Notas'!I37="","",('Porcentaje de Notas'!I37/100)*$I$3)</f>
        <v>0.5</v>
      </c>
      <c r="J37" s="31">
        <f>IF('Porcentaje de Notas'!J37="","",('Porcentaje de Notas'!J37/100)*$J$3)</f>
        <v>1</v>
      </c>
      <c r="K37" s="19">
        <f>IF('Porcentaje de Notas'!K37="","",('Porcentaje de Notas'!K37/100)*$K$3)</f>
        <v>1</v>
      </c>
      <c r="L37" s="19">
        <f>IF('Porcentaje de Notas'!L37="","",('Porcentaje de Notas'!L37/100)*$L$3)</f>
        <v>1</v>
      </c>
      <c r="M37" s="19">
        <f>IF('Porcentaje de Notas'!M37="","",('Porcentaje de Notas'!M37/100)*$M$3)</f>
        <v>1.5</v>
      </c>
      <c r="N37" s="19">
        <f>IF('Porcentaje de Notas'!N37="","",('Porcentaje de Notas'!N37/100)*$N$3)</f>
        <v>1</v>
      </c>
      <c r="O37" s="19">
        <f>IF('Porcentaje de Notas'!O37="","",('Porcentaje de Notas'!O37/100)*$O$3)</f>
        <v>1.8</v>
      </c>
      <c r="P37" s="19">
        <f>IF('Porcentaje de Notas'!P37="","",('Porcentaje de Notas'!P37/100)*$P$3)</f>
        <v>0.9</v>
      </c>
      <c r="Q37" s="19">
        <f>IF('Porcentaje de Notas'!Q37="","",('Porcentaje de Notas'!Q37/100)*$Q$3)</f>
        <v>0.8</v>
      </c>
      <c r="R37" s="19">
        <f>IF('Porcentaje de Notas'!R37="","",('Porcentaje de Notas'!R37/100)*$R$3)</f>
        <v>1.5</v>
      </c>
      <c r="S37" s="19">
        <f>IF('Porcentaje de Notas'!S37="","",('Porcentaje de Notas'!S37/100)*$S$3)</f>
        <v>5</v>
      </c>
      <c r="T37" s="49">
        <f t="shared" si="0"/>
        <v>17.5</v>
      </c>
    </row>
    <row r="38" spans="3:20" x14ac:dyDescent="0.35">
      <c r="C38" s="19">
        <v>34</v>
      </c>
      <c r="D38" s="19">
        <v>202530434</v>
      </c>
      <c r="E38" s="20" t="s">
        <v>36</v>
      </c>
      <c r="F38" s="31">
        <f>IF('Porcentaje de Notas'!F38="","",('Porcentaje de Notas'!F38/100)*$F$3)</f>
        <v>0.5</v>
      </c>
      <c r="G38" s="19">
        <f>IF('Porcentaje de Notas'!G38="","",('Porcentaje de Notas'!G38/100)*$G$3)</f>
        <v>0</v>
      </c>
      <c r="H38" s="19">
        <f>IF('Porcentaje de Notas'!H38="","",('Porcentaje de Notas'!H38/100)*$H$3)</f>
        <v>0.5</v>
      </c>
      <c r="I38" s="32">
        <f>IF('Porcentaje de Notas'!I38="","",('Porcentaje de Notas'!I38/100)*$I$3)</f>
        <v>0.45</v>
      </c>
      <c r="J38" s="31">
        <f>IF('Porcentaje de Notas'!J38="","",('Porcentaje de Notas'!J38/100)*$J$3)</f>
        <v>0.75</v>
      </c>
      <c r="K38" s="19">
        <f>IF('Porcentaje de Notas'!K38="","",('Porcentaje de Notas'!K38/100)*$K$3)</f>
        <v>0.55000000000000004</v>
      </c>
      <c r="L38" s="19">
        <f>IF('Porcentaje de Notas'!L38="","",('Porcentaje de Notas'!L38/100)*$L$3)</f>
        <v>1</v>
      </c>
      <c r="M38" s="19">
        <f>IF('Porcentaje de Notas'!M38="","",('Porcentaje de Notas'!M38/100)*$M$3)</f>
        <v>1.5</v>
      </c>
      <c r="N38" s="19">
        <f>IF('Porcentaje de Notas'!N38="","",('Porcentaje de Notas'!N38/100)*$N$3)</f>
        <v>1.8</v>
      </c>
      <c r="O38" s="19">
        <f>IF('Porcentaje de Notas'!O38="","",('Porcentaje de Notas'!O38/100)*$O$3)</f>
        <v>1.5</v>
      </c>
      <c r="P38" s="19">
        <f>IF('Porcentaje de Notas'!P38="","",('Porcentaje de Notas'!P38/100)*$P$3)</f>
        <v>2</v>
      </c>
      <c r="Q38" s="19">
        <f>IF('Porcentaje de Notas'!Q38="","",('Porcentaje de Notas'!Q38/100)*$Q$3)</f>
        <v>0.95</v>
      </c>
      <c r="R38" s="19">
        <f>IF('Porcentaje de Notas'!R38="","",('Porcentaje de Notas'!R38/100)*$R$3)</f>
        <v>1.5</v>
      </c>
      <c r="S38" s="19">
        <f>IF('Porcentaje de Notas'!S38="","",('Porcentaje de Notas'!S38/100)*$S$3)</f>
        <v>5</v>
      </c>
      <c r="T38" s="49">
        <f t="shared" si="0"/>
        <v>18</v>
      </c>
    </row>
    <row r="39" spans="3:20" x14ac:dyDescent="0.35">
      <c r="C39" s="19">
        <v>35</v>
      </c>
      <c r="D39" s="19">
        <v>202530446</v>
      </c>
      <c r="E39" s="20" t="s">
        <v>37</v>
      </c>
      <c r="F39" s="31">
        <f>IF('Porcentaje de Notas'!F39="","",('Porcentaje de Notas'!F39/100)*$F$3)</f>
        <v>0.5</v>
      </c>
      <c r="G39" s="19">
        <f>IF('Porcentaje de Notas'!G39="","",('Porcentaje de Notas'!G39/100)*$G$3)</f>
        <v>0</v>
      </c>
      <c r="H39" s="19">
        <f>IF('Porcentaje de Notas'!H39="","",('Porcentaje de Notas'!H39/100)*$H$3)</f>
        <v>0.5</v>
      </c>
      <c r="I39" s="32">
        <f>IF('Porcentaje de Notas'!I39="","",('Porcentaje de Notas'!I39/100)*$I$3)</f>
        <v>0</v>
      </c>
      <c r="J39" s="31">
        <f>IF('Porcentaje de Notas'!J39="","",('Porcentaje de Notas'!J39/100)*$J$3)</f>
        <v>1</v>
      </c>
      <c r="K39" s="19">
        <f>IF('Porcentaje de Notas'!K39="","",('Porcentaje de Notas'!K39/100)*$K$3)</f>
        <v>1</v>
      </c>
      <c r="L39" s="19">
        <f>IF('Porcentaje de Notas'!L39="","",('Porcentaje de Notas'!L39/100)*$L$3)</f>
        <v>1</v>
      </c>
      <c r="M39" s="19">
        <f>IF('Porcentaje de Notas'!M39="","",('Porcentaje de Notas'!M39/100)*$M$3)</f>
        <v>1.5</v>
      </c>
      <c r="N39" s="19">
        <f>IF('Porcentaje de Notas'!N39="","",('Porcentaje de Notas'!N39/100)*$N$3)</f>
        <v>1</v>
      </c>
      <c r="O39" s="19">
        <f>IF('Porcentaje de Notas'!O39="","",('Porcentaje de Notas'!O39/100)*$O$3)</f>
        <v>1.7</v>
      </c>
      <c r="P39" s="19">
        <f>IF('Porcentaje de Notas'!P39="","",('Porcentaje de Notas'!P39/100)*$P$3)</f>
        <v>1.6</v>
      </c>
      <c r="Q39" s="19">
        <f>IF('Porcentaje de Notas'!Q39="","",('Porcentaje de Notas'!Q39/100)*$Q$3)</f>
        <v>1</v>
      </c>
      <c r="R39" s="19">
        <f>IF('Porcentaje de Notas'!R39="","",('Porcentaje de Notas'!R39/100)*$R$3)</f>
        <v>1.5</v>
      </c>
      <c r="S39" s="19">
        <f>IF('Porcentaje de Notas'!S39="","",('Porcentaje de Notas'!S39/100)*$S$3)</f>
        <v>5</v>
      </c>
      <c r="T39" s="49">
        <f t="shared" si="0"/>
        <v>17.299999999999997</v>
      </c>
    </row>
    <row r="40" spans="3:20" x14ac:dyDescent="0.35">
      <c r="C40" s="19">
        <v>36</v>
      </c>
      <c r="D40" s="19">
        <v>202530522</v>
      </c>
      <c r="E40" s="20" t="s">
        <v>38</v>
      </c>
      <c r="F40" s="31">
        <f>IF('Porcentaje de Notas'!F40="","",('Porcentaje de Notas'!F40/100)*$F$3)</f>
        <v>0.5</v>
      </c>
      <c r="G40" s="19">
        <f>IF('Porcentaje de Notas'!G40="","",('Porcentaje de Notas'!G40/100)*$G$3)</f>
        <v>0</v>
      </c>
      <c r="H40" s="19">
        <f>IF('Porcentaje de Notas'!H40="","",('Porcentaje de Notas'!H40/100)*$H$3)</f>
        <v>0.5</v>
      </c>
      <c r="I40" s="32">
        <f>IF('Porcentaje de Notas'!I40="","",('Porcentaje de Notas'!I40/100)*$I$3)</f>
        <v>0</v>
      </c>
      <c r="J40" s="31">
        <f>IF('Porcentaje de Notas'!J40="","",('Porcentaje de Notas'!J40/100)*$J$3)</f>
        <v>1</v>
      </c>
      <c r="K40" s="19">
        <f>IF('Porcentaje de Notas'!K40="","",('Porcentaje de Notas'!K40/100)*$K$3)</f>
        <v>1</v>
      </c>
      <c r="L40" s="19">
        <f>IF('Porcentaje de Notas'!L40="","",('Porcentaje de Notas'!L40/100)*$L$3)</f>
        <v>1</v>
      </c>
      <c r="M40" s="19">
        <f>IF('Porcentaje de Notas'!M40="","",('Porcentaje de Notas'!M40/100)*$M$3)</f>
        <v>1.5</v>
      </c>
      <c r="N40" s="19">
        <f>IF('Porcentaje de Notas'!N40="","",('Porcentaje de Notas'!N40/100)*$N$3)</f>
        <v>1</v>
      </c>
      <c r="O40" s="19">
        <f>IF('Porcentaje de Notas'!O40="","",('Porcentaje de Notas'!O40/100)*$O$3)</f>
        <v>1.6</v>
      </c>
      <c r="P40" s="19">
        <f>IF('Porcentaje de Notas'!P40="","",('Porcentaje de Notas'!P40/100)*$P$3)</f>
        <v>1.6</v>
      </c>
      <c r="Q40" s="19">
        <f>IF('Porcentaje de Notas'!Q40="","",('Porcentaje de Notas'!Q40/100)*$Q$3)</f>
        <v>0</v>
      </c>
      <c r="R40" s="19">
        <f>IF('Porcentaje de Notas'!R40="","",('Porcentaje de Notas'!R40/100)*$R$3)</f>
        <v>0</v>
      </c>
      <c r="S40" s="19">
        <f>IF('Porcentaje de Notas'!S40="","",('Porcentaje de Notas'!S40/100)*$S$3)</f>
        <v>0</v>
      </c>
      <c r="T40" s="49">
        <f t="shared" si="0"/>
        <v>9.6999999999999993</v>
      </c>
    </row>
    <row r="41" spans="3:20" x14ac:dyDescent="0.35">
      <c r="C41" s="19">
        <v>37</v>
      </c>
      <c r="D41" s="19">
        <v>202530613</v>
      </c>
      <c r="E41" s="20" t="s">
        <v>39</v>
      </c>
      <c r="F41" s="31">
        <f>IF('Porcentaje de Notas'!F41="","",('Porcentaje de Notas'!F41/100)*$F$3)</f>
        <v>0</v>
      </c>
      <c r="G41" s="19">
        <f>IF('Porcentaje de Notas'!G41="","",('Porcentaje de Notas'!G41/100)*$G$3)</f>
        <v>0.5</v>
      </c>
      <c r="H41" s="19">
        <f>IF('Porcentaje de Notas'!H41="","",('Porcentaje de Notas'!H41/100)*$H$3)</f>
        <v>0</v>
      </c>
      <c r="I41" s="32">
        <f>IF('Porcentaje de Notas'!I41="","",('Porcentaje de Notas'!I41/100)*$I$3)</f>
        <v>0</v>
      </c>
      <c r="J41" s="31">
        <f>IF('Porcentaje de Notas'!J41="","",('Porcentaje de Notas'!J41/100)*$J$3)</f>
        <v>0</v>
      </c>
      <c r="K41" s="19">
        <f>IF('Porcentaje de Notas'!K41="","",('Porcentaje de Notas'!K41/100)*$K$3)</f>
        <v>0</v>
      </c>
      <c r="L41" s="19">
        <f>IF('Porcentaje de Notas'!L41="","",('Porcentaje de Notas'!L41/100)*$L$3)</f>
        <v>0</v>
      </c>
      <c r="M41" s="19">
        <f>IF('Porcentaje de Notas'!M41="","",('Porcentaje de Notas'!M41/100)*$M$3)</f>
        <v>0</v>
      </c>
      <c r="N41" s="19">
        <f>IF('Porcentaje de Notas'!N41="","",('Porcentaje de Notas'!N41/100)*$N$3)</f>
        <v>0</v>
      </c>
      <c r="O41" s="19">
        <f>IF('Porcentaje de Notas'!O41="","",('Porcentaje de Notas'!O41/100)*$O$3)</f>
        <v>0</v>
      </c>
      <c r="P41" s="19">
        <f>IF('Porcentaje de Notas'!P41="","",('Porcentaje de Notas'!P41/100)*$P$3)</f>
        <v>0</v>
      </c>
      <c r="Q41" s="19">
        <f>IF('Porcentaje de Notas'!Q41="","",('Porcentaje de Notas'!Q41/100)*$Q$3)</f>
        <v>0</v>
      </c>
      <c r="R41" s="19">
        <f>IF('Porcentaje de Notas'!R41="","",('Porcentaje de Notas'!R41/100)*$R$3)</f>
        <v>0</v>
      </c>
      <c r="S41" s="19">
        <f>IF('Porcentaje de Notas'!S41="","",('Porcentaje de Notas'!S41/100)*$S$3)</f>
        <v>0</v>
      </c>
      <c r="T41" s="49">
        <f t="shared" si="0"/>
        <v>0.5</v>
      </c>
    </row>
    <row r="42" spans="3:20" x14ac:dyDescent="0.35">
      <c r="C42" s="19">
        <v>38</v>
      </c>
      <c r="D42" s="19">
        <v>202530621</v>
      </c>
      <c r="E42" s="20" t="s">
        <v>40</v>
      </c>
      <c r="F42" s="31">
        <f>IF('Porcentaje de Notas'!F42="","",('Porcentaje de Notas'!F42/100)*$F$3)</f>
        <v>0.5</v>
      </c>
      <c r="G42" s="19">
        <f>IF('Porcentaje de Notas'!G42="","",('Porcentaje de Notas'!G42/100)*$G$3)</f>
        <v>0</v>
      </c>
      <c r="H42" s="19">
        <f>IF('Porcentaje de Notas'!H42="","",('Porcentaje de Notas'!H42/100)*$H$3)</f>
        <v>0.5</v>
      </c>
      <c r="I42" s="32">
        <f>IF('Porcentaje de Notas'!I42="","",('Porcentaje de Notas'!I42/100)*$I$3)</f>
        <v>0.45</v>
      </c>
      <c r="J42" s="31">
        <f>IF('Porcentaje de Notas'!J42="","",('Porcentaje de Notas'!J42/100)*$J$3)</f>
        <v>0.7</v>
      </c>
      <c r="K42" s="19">
        <f>IF('Porcentaje de Notas'!K42="","",('Porcentaje de Notas'!K42/100)*$K$3)</f>
        <v>1</v>
      </c>
      <c r="L42" s="19">
        <f>IF('Porcentaje de Notas'!L42="","",('Porcentaje de Notas'!L42/100)*$L$3)</f>
        <v>1</v>
      </c>
      <c r="M42" s="19">
        <f>IF('Porcentaje de Notas'!M42="","",('Porcentaje de Notas'!M42/100)*$M$3)</f>
        <v>1.5</v>
      </c>
      <c r="N42" s="19">
        <f>IF('Porcentaje de Notas'!N42="","",('Porcentaje de Notas'!N42/100)*$N$3)</f>
        <v>1.4</v>
      </c>
      <c r="O42" s="19">
        <f>IF('Porcentaje de Notas'!O42="","",('Porcentaje de Notas'!O42/100)*$O$3)</f>
        <v>1.2</v>
      </c>
      <c r="P42" s="19">
        <f>IF('Porcentaje de Notas'!P42="","",('Porcentaje de Notas'!P42/100)*$P$3)</f>
        <v>1.3</v>
      </c>
      <c r="Q42" s="19">
        <f>IF('Porcentaje de Notas'!Q42="","",('Porcentaje de Notas'!Q42/100)*$Q$3)</f>
        <v>0.8</v>
      </c>
      <c r="R42" s="19">
        <f>IF('Porcentaje de Notas'!R42="","",('Porcentaje de Notas'!R42/100)*$R$3)</f>
        <v>1.5</v>
      </c>
      <c r="S42" s="19">
        <f>IF('Porcentaje de Notas'!S42="","",('Porcentaje de Notas'!S42/100)*$S$3)</f>
        <v>5</v>
      </c>
      <c r="T42" s="49">
        <f t="shared" si="0"/>
        <v>16.850000000000001</v>
      </c>
    </row>
    <row r="43" spans="3:20" x14ac:dyDescent="0.35">
      <c r="C43" s="19">
        <v>39</v>
      </c>
      <c r="D43" s="19">
        <v>202530673</v>
      </c>
      <c r="E43" s="20" t="s">
        <v>41</v>
      </c>
      <c r="F43" s="31">
        <f>IF('Porcentaje de Notas'!F43="","",('Porcentaje de Notas'!F43/100)*$F$3)</f>
        <v>0</v>
      </c>
      <c r="G43" s="19">
        <f>IF('Porcentaje de Notas'!G43="","",('Porcentaje de Notas'!G43/100)*$G$3)</f>
        <v>0</v>
      </c>
      <c r="H43" s="19">
        <f>IF('Porcentaje de Notas'!H43="","",('Porcentaje de Notas'!H43/100)*$H$3)</f>
        <v>0</v>
      </c>
      <c r="I43" s="32">
        <f>IF('Porcentaje de Notas'!I43="","",('Porcentaje de Notas'!I43/100)*$I$3)</f>
        <v>0.5</v>
      </c>
      <c r="J43" s="31">
        <f>IF('Porcentaje de Notas'!J43="","",('Porcentaje de Notas'!J43/100)*$J$3)</f>
        <v>0</v>
      </c>
      <c r="K43" s="19">
        <f>IF('Porcentaje de Notas'!K43="","",('Porcentaje de Notas'!K43/100)*$K$3)</f>
        <v>1</v>
      </c>
      <c r="L43" s="19">
        <f>IF('Porcentaje de Notas'!L43="","",('Porcentaje de Notas'!L43/100)*$L$3)</f>
        <v>1</v>
      </c>
      <c r="M43" s="19">
        <f>IF('Porcentaje de Notas'!M43="","",('Porcentaje de Notas'!M43/100)*$M$3)</f>
        <v>1.5</v>
      </c>
      <c r="N43" s="19">
        <f>IF('Porcentaje de Notas'!N43="","",('Porcentaje de Notas'!N43/100)*$N$3)</f>
        <v>1.4</v>
      </c>
      <c r="O43" s="19">
        <f>IF('Porcentaje de Notas'!O43="","",('Porcentaje de Notas'!O43/100)*$O$3)</f>
        <v>1.9</v>
      </c>
      <c r="P43" s="19">
        <f>IF('Porcentaje de Notas'!P43="","",('Porcentaje de Notas'!P43/100)*$P$3)</f>
        <v>0</v>
      </c>
      <c r="Q43" s="19">
        <f>IF('Porcentaje de Notas'!Q43="","",('Porcentaje de Notas'!Q43/100)*$Q$3)</f>
        <v>0.5</v>
      </c>
      <c r="R43" s="19">
        <f>IF('Porcentaje de Notas'!R43="","",('Porcentaje de Notas'!R43/100)*$R$3)</f>
        <v>0</v>
      </c>
      <c r="S43" s="19">
        <f>IF('Porcentaje de Notas'!S43="","",('Porcentaje de Notas'!S43/100)*$S$3)</f>
        <v>5</v>
      </c>
      <c r="T43" s="49">
        <f t="shared" si="0"/>
        <v>12.8</v>
      </c>
    </row>
    <row r="44" spans="3:20" x14ac:dyDescent="0.35">
      <c r="C44" s="19">
        <v>40</v>
      </c>
      <c r="D44" s="19">
        <v>202530674</v>
      </c>
      <c r="E44" s="20" t="s">
        <v>42</v>
      </c>
      <c r="F44" s="31">
        <f>IF('Porcentaje de Notas'!F44="","",('Porcentaje de Notas'!F44/100)*$F$3)</f>
        <v>0</v>
      </c>
      <c r="G44" s="19">
        <f>IF('Porcentaje de Notas'!G44="","",('Porcentaje de Notas'!G44/100)*$G$3)</f>
        <v>0</v>
      </c>
      <c r="H44" s="19">
        <f>IF('Porcentaje de Notas'!H44="","",('Porcentaje de Notas'!H44/100)*$H$3)</f>
        <v>0.25</v>
      </c>
      <c r="I44" s="32">
        <f>IF('Porcentaje de Notas'!I44="","",('Porcentaje de Notas'!I44/100)*$I$3)</f>
        <v>0</v>
      </c>
      <c r="J44" s="31">
        <f>IF('Porcentaje de Notas'!J44="","",('Porcentaje de Notas'!J44/100)*$J$3)</f>
        <v>1</v>
      </c>
      <c r="K44" s="19">
        <f>IF('Porcentaje de Notas'!K44="","",('Porcentaje de Notas'!K44/100)*$K$3)</f>
        <v>1</v>
      </c>
      <c r="L44" s="19">
        <f>IF('Porcentaje de Notas'!L44="","",('Porcentaje de Notas'!L44/100)*$L$3)</f>
        <v>0.9</v>
      </c>
      <c r="M44" s="19">
        <f>IF('Porcentaje de Notas'!M44="","",('Porcentaje de Notas'!M44/100)*$M$3)</f>
        <v>1.5</v>
      </c>
      <c r="N44" s="19">
        <f>IF('Porcentaje de Notas'!N44="","",('Porcentaje de Notas'!N44/100)*$N$3)</f>
        <v>1</v>
      </c>
      <c r="O44" s="19">
        <f>IF('Porcentaje de Notas'!O44="","",('Porcentaje de Notas'!O44/100)*$O$3)</f>
        <v>1.7</v>
      </c>
      <c r="P44" s="19">
        <f>IF('Porcentaje de Notas'!P44="","",('Porcentaje de Notas'!P44/100)*$P$3)</f>
        <v>1.4</v>
      </c>
      <c r="Q44" s="19">
        <f>IF('Porcentaje de Notas'!Q44="","",('Porcentaje de Notas'!Q44/100)*$Q$3)</f>
        <v>0</v>
      </c>
      <c r="R44" s="19">
        <f>IF('Porcentaje de Notas'!R44="","",('Porcentaje de Notas'!R44/100)*$R$3)</f>
        <v>0</v>
      </c>
      <c r="S44" s="19">
        <f>IF('Porcentaje de Notas'!S44="","",('Porcentaje de Notas'!S44/100)*$S$3)</f>
        <v>0</v>
      </c>
      <c r="T44" s="49">
        <f t="shared" si="0"/>
        <v>8.75</v>
      </c>
    </row>
    <row r="45" spans="3:20" x14ac:dyDescent="0.35">
      <c r="C45" s="19">
        <v>41</v>
      </c>
      <c r="D45" s="19">
        <v>202530677</v>
      </c>
      <c r="E45" s="20" t="s">
        <v>43</v>
      </c>
      <c r="F45" s="31">
        <f>IF('Porcentaje de Notas'!F45="","",('Porcentaje de Notas'!F45/100)*$F$3)</f>
        <v>0.5</v>
      </c>
      <c r="G45" s="19">
        <f>IF('Porcentaje de Notas'!G45="","",('Porcentaje de Notas'!G45/100)*$G$3)</f>
        <v>0</v>
      </c>
      <c r="H45" s="19">
        <f>IF('Porcentaje de Notas'!H45="","",('Porcentaje de Notas'!H45/100)*$H$3)</f>
        <v>0.5</v>
      </c>
      <c r="I45" s="32">
        <f>IF('Porcentaje de Notas'!I45="","",('Porcentaje de Notas'!I45/100)*$I$3)</f>
        <v>0</v>
      </c>
      <c r="J45" s="31">
        <f>IF('Porcentaje de Notas'!J45="","",('Porcentaje de Notas'!J45/100)*$J$3)</f>
        <v>1</v>
      </c>
      <c r="K45" s="19">
        <f>IF('Porcentaje de Notas'!K45="","",('Porcentaje de Notas'!K45/100)*$K$3)</f>
        <v>0</v>
      </c>
      <c r="L45" s="19">
        <f>IF('Porcentaje de Notas'!L45="","",('Porcentaje de Notas'!L45/100)*$L$3)</f>
        <v>1</v>
      </c>
      <c r="M45" s="19">
        <f>IF('Porcentaje de Notas'!M45="","",('Porcentaje de Notas'!M45/100)*$M$3)</f>
        <v>0</v>
      </c>
      <c r="N45" s="19">
        <f>IF('Porcentaje de Notas'!N45="","",('Porcentaje de Notas'!N45/100)*$N$3)</f>
        <v>0</v>
      </c>
      <c r="O45" s="19">
        <f>IF('Porcentaje de Notas'!O45="","",('Porcentaje de Notas'!O45/100)*$O$3)</f>
        <v>0</v>
      </c>
      <c r="P45" s="19">
        <f>IF('Porcentaje de Notas'!P45="","",('Porcentaje de Notas'!P45/100)*$P$3)</f>
        <v>0</v>
      </c>
      <c r="Q45" s="19">
        <f>IF('Porcentaje de Notas'!Q45="","",('Porcentaje de Notas'!Q45/100)*$Q$3)</f>
        <v>0</v>
      </c>
      <c r="R45" s="19">
        <f>IF('Porcentaje de Notas'!R45="","",('Porcentaje de Notas'!R45/100)*$R$3)</f>
        <v>0</v>
      </c>
      <c r="S45" s="19">
        <f>IF('Porcentaje de Notas'!S45="","",('Porcentaje de Notas'!S45/100)*$S$3)</f>
        <v>0</v>
      </c>
      <c r="T45" s="49">
        <f t="shared" si="0"/>
        <v>3</v>
      </c>
    </row>
    <row r="46" spans="3:20" x14ac:dyDescent="0.35">
      <c r="C46" s="19">
        <v>42</v>
      </c>
      <c r="D46" s="19">
        <v>202530728</v>
      </c>
      <c r="E46" s="20" t="s">
        <v>44</v>
      </c>
      <c r="F46" s="31">
        <f>IF('Porcentaje de Notas'!F46="","",('Porcentaje de Notas'!F46/100)*$F$3)</f>
        <v>0.5</v>
      </c>
      <c r="G46" s="19">
        <f>IF('Porcentaje de Notas'!G46="","",('Porcentaje de Notas'!G46/100)*$G$3)</f>
        <v>0</v>
      </c>
      <c r="H46" s="19">
        <f>IF('Porcentaje de Notas'!H46="","",('Porcentaje de Notas'!H46/100)*$H$3)</f>
        <v>0.5</v>
      </c>
      <c r="I46" s="32">
        <f>IF('Porcentaje de Notas'!I46="","",('Porcentaje de Notas'!I46/100)*$I$3)</f>
        <v>0</v>
      </c>
      <c r="J46" s="31">
        <f>IF('Porcentaje de Notas'!J46="","",('Porcentaje de Notas'!J46/100)*$J$3)</f>
        <v>1</v>
      </c>
      <c r="K46" s="19">
        <f>IF('Porcentaje de Notas'!K46="","",('Porcentaje de Notas'!K46/100)*$K$3)</f>
        <v>1</v>
      </c>
      <c r="L46" s="19">
        <f>IF('Porcentaje de Notas'!L46="","",('Porcentaje de Notas'!L46/100)*$L$3)</f>
        <v>0</v>
      </c>
      <c r="M46" s="19">
        <f>IF('Porcentaje de Notas'!M46="","",('Porcentaje de Notas'!M46/100)*$M$3)</f>
        <v>1.5</v>
      </c>
      <c r="N46" s="19">
        <f>IF('Porcentaje de Notas'!N46="","",('Porcentaje de Notas'!N46/100)*$N$3)</f>
        <v>1.4</v>
      </c>
      <c r="O46" s="19">
        <f>IF('Porcentaje de Notas'!O46="","",('Porcentaje de Notas'!O46/100)*$O$3)</f>
        <v>1.7</v>
      </c>
      <c r="P46" s="19">
        <f>IF('Porcentaje de Notas'!P46="","",('Porcentaje de Notas'!P46/100)*$P$3)</f>
        <v>1</v>
      </c>
      <c r="Q46" s="19">
        <f>IF('Porcentaje de Notas'!Q46="","",('Porcentaje de Notas'!Q46/100)*$Q$3)</f>
        <v>0.8</v>
      </c>
      <c r="R46" s="19">
        <f>IF('Porcentaje de Notas'!R46="","",('Porcentaje de Notas'!R46/100)*$R$3)</f>
        <v>1.5</v>
      </c>
      <c r="S46" s="19">
        <f>IF('Porcentaje de Notas'!S46="","",('Porcentaje de Notas'!S46/100)*$S$3)</f>
        <v>5</v>
      </c>
      <c r="T46" s="49">
        <f t="shared" si="0"/>
        <v>15.900000000000002</v>
      </c>
    </row>
    <row r="47" spans="3:20" x14ac:dyDescent="0.35">
      <c r="C47" s="19">
        <v>43</v>
      </c>
      <c r="D47" s="19">
        <v>202530843</v>
      </c>
      <c r="E47" s="20" t="s">
        <v>45</v>
      </c>
      <c r="F47" s="31">
        <f>IF('Porcentaje de Notas'!F47="","",('Porcentaje de Notas'!F47/100)*$F$3)</f>
        <v>0</v>
      </c>
      <c r="G47" s="19">
        <f>IF('Porcentaje de Notas'!G47="","",('Porcentaje de Notas'!G47/100)*$G$3)</f>
        <v>0</v>
      </c>
      <c r="H47" s="19">
        <f>IF('Porcentaje de Notas'!H47="","",('Porcentaje de Notas'!H47/100)*$H$3)</f>
        <v>0</v>
      </c>
      <c r="I47" s="32">
        <f>IF('Porcentaje de Notas'!I47="","",('Porcentaje de Notas'!I47/100)*$I$3)</f>
        <v>0</v>
      </c>
      <c r="J47" s="31">
        <f>IF('Porcentaje de Notas'!J47="","",('Porcentaje de Notas'!J47/100)*$J$3)</f>
        <v>1</v>
      </c>
      <c r="K47" s="19">
        <f>IF('Porcentaje de Notas'!K47="","",('Porcentaje de Notas'!K47/100)*$K$3)</f>
        <v>1</v>
      </c>
      <c r="L47" s="19">
        <f>IF('Porcentaje de Notas'!L47="","",('Porcentaje de Notas'!L47/100)*$L$3)</f>
        <v>0</v>
      </c>
      <c r="M47" s="19">
        <f>IF('Porcentaje de Notas'!M47="","",('Porcentaje de Notas'!M47/100)*$M$3)</f>
        <v>1.5</v>
      </c>
      <c r="N47" s="19">
        <f>IF('Porcentaje de Notas'!N47="","",('Porcentaje de Notas'!N47/100)*$N$3)</f>
        <v>1.4</v>
      </c>
      <c r="O47" s="19">
        <f>IF('Porcentaje de Notas'!O47="","",('Porcentaje de Notas'!O47/100)*$O$3)</f>
        <v>1.7</v>
      </c>
      <c r="P47" s="19">
        <f>IF('Porcentaje de Notas'!P47="","",('Porcentaje de Notas'!P47/100)*$P$3)</f>
        <v>1.7</v>
      </c>
      <c r="Q47" s="19">
        <f>IF('Porcentaje de Notas'!Q47="","",('Porcentaje de Notas'!Q47/100)*$Q$3)</f>
        <v>0.8</v>
      </c>
      <c r="R47" s="19">
        <f>IF('Porcentaje de Notas'!R47="","",('Porcentaje de Notas'!R47/100)*$R$3)</f>
        <v>1.5</v>
      </c>
      <c r="S47" s="19">
        <f>IF('Porcentaje de Notas'!S47="","",('Porcentaje de Notas'!S47/100)*$S$3)</f>
        <v>5</v>
      </c>
      <c r="T47" s="49">
        <f t="shared" si="0"/>
        <v>15.600000000000001</v>
      </c>
    </row>
    <row r="48" spans="3:20" x14ac:dyDescent="0.35">
      <c r="C48" s="19">
        <v>44</v>
      </c>
      <c r="D48" s="19">
        <v>202530866</v>
      </c>
      <c r="E48" s="20" t="s">
        <v>46</v>
      </c>
      <c r="F48" s="31">
        <f>IF('Porcentaje de Notas'!F48="","",('Porcentaje de Notas'!F48/100)*$F$3)</f>
        <v>0.5</v>
      </c>
      <c r="G48" s="19">
        <f>IF('Porcentaje de Notas'!G48="","",('Porcentaje de Notas'!G48/100)*$G$3)</f>
        <v>0</v>
      </c>
      <c r="H48" s="19">
        <f>IF('Porcentaje de Notas'!H48="","",('Porcentaje de Notas'!H48/100)*$H$3)</f>
        <v>0.5</v>
      </c>
      <c r="I48" s="32">
        <f>IF('Porcentaje de Notas'!I48="","",('Porcentaje de Notas'!I48/100)*$I$3)</f>
        <v>0.45</v>
      </c>
      <c r="J48" s="31">
        <f>IF('Porcentaje de Notas'!J48="","",('Porcentaje de Notas'!J48/100)*$J$3)</f>
        <v>1</v>
      </c>
      <c r="K48" s="19">
        <f>IF('Porcentaje de Notas'!K48="","",('Porcentaje de Notas'!K48/100)*$K$3)</f>
        <v>1</v>
      </c>
      <c r="L48" s="19">
        <f>IF('Porcentaje de Notas'!L48="","",('Porcentaje de Notas'!L48/100)*$L$3)</f>
        <v>0.9</v>
      </c>
      <c r="M48" s="19">
        <f>IF('Porcentaje de Notas'!M48="","",('Porcentaje de Notas'!M48/100)*$M$3)</f>
        <v>1.5</v>
      </c>
      <c r="N48" s="19">
        <f>IF('Porcentaje de Notas'!N48="","",('Porcentaje de Notas'!N48/100)*$N$3)</f>
        <v>1</v>
      </c>
      <c r="O48" s="19">
        <f>IF('Porcentaje de Notas'!O48="","",('Porcentaje de Notas'!O48/100)*$O$3)</f>
        <v>1.7</v>
      </c>
      <c r="P48" s="19">
        <f>IF('Porcentaje de Notas'!P48="","",('Porcentaje de Notas'!P48/100)*$P$3)</f>
        <v>1.1000000000000001</v>
      </c>
      <c r="Q48" s="19">
        <f>IF('Porcentaje de Notas'!Q48="","",('Porcentaje de Notas'!Q48/100)*$Q$3)</f>
        <v>1</v>
      </c>
      <c r="R48" s="19">
        <f>IF('Porcentaje de Notas'!R48="","",('Porcentaje de Notas'!R48/100)*$R$3)</f>
        <v>1.5</v>
      </c>
      <c r="S48" s="19">
        <f>IF('Porcentaje de Notas'!S48="","",('Porcentaje de Notas'!S48/100)*$S$3)</f>
        <v>5</v>
      </c>
      <c r="T48" s="49">
        <f t="shared" si="0"/>
        <v>17.149999999999999</v>
      </c>
    </row>
    <row r="49" spans="3:20" x14ac:dyDescent="0.35">
      <c r="C49" s="19">
        <v>45</v>
      </c>
      <c r="D49" s="19">
        <v>202530917</v>
      </c>
      <c r="E49" s="20" t="s">
        <v>47</v>
      </c>
      <c r="F49" s="31">
        <f>IF('Porcentaje de Notas'!F49="","",('Porcentaje de Notas'!F49/100)*$F$3)</f>
        <v>0</v>
      </c>
      <c r="G49" s="19">
        <f>IF('Porcentaje de Notas'!G49="","",('Porcentaje de Notas'!G49/100)*$G$3)</f>
        <v>0</v>
      </c>
      <c r="H49" s="19">
        <f>IF('Porcentaje de Notas'!H49="","",('Porcentaje de Notas'!H49/100)*$H$3)</f>
        <v>0.25</v>
      </c>
      <c r="I49" s="32">
        <f>IF('Porcentaje de Notas'!I49="","",('Porcentaje de Notas'!I49/100)*$I$3)</f>
        <v>0.5</v>
      </c>
      <c r="J49" s="31">
        <f>IF('Porcentaje de Notas'!J49="","",('Porcentaje de Notas'!J49/100)*$J$3)</f>
        <v>0.75</v>
      </c>
      <c r="K49" s="19">
        <f>IF('Porcentaje de Notas'!K49="","",('Porcentaje de Notas'!K49/100)*$K$3)</f>
        <v>1</v>
      </c>
      <c r="L49" s="19">
        <f>IF('Porcentaje de Notas'!L49="","",('Porcentaje de Notas'!L49/100)*$L$3)</f>
        <v>1</v>
      </c>
      <c r="M49" s="19">
        <f>IF('Porcentaje de Notas'!M49="","",('Porcentaje de Notas'!M49/100)*$M$3)</f>
        <v>1.5</v>
      </c>
      <c r="N49" s="19">
        <f>IF('Porcentaje de Notas'!N49="","",('Porcentaje de Notas'!N49/100)*$N$3)</f>
        <v>1.8</v>
      </c>
      <c r="O49" s="19">
        <f>IF('Porcentaje de Notas'!O49="","",('Porcentaje de Notas'!O49/100)*$O$3)</f>
        <v>1.9</v>
      </c>
      <c r="P49" s="19">
        <f>IF('Porcentaje de Notas'!P49="","",('Porcentaje de Notas'!P49/100)*$P$3)</f>
        <v>1.3</v>
      </c>
      <c r="Q49" s="19">
        <f>IF('Porcentaje de Notas'!Q49="","",('Porcentaje de Notas'!Q49/100)*$Q$3)</f>
        <v>1</v>
      </c>
      <c r="R49" s="19">
        <f>IF('Porcentaje de Notas'!R49="","",('Porcentaje de Notas'!R49/100)*$R$3)</f>
        <v>1.5</v>
      </c>
      <c r="S49" s="19">
        <f>IF('Porcentaje de Notas'!S49="","",('Porcentaje de Notas'!S49/100)*$S$3)</f>
        <v>5</v>
      </c>
      <c r="T49" s="49">
        <f t="shared" si="0"/>
        <v>17.5</v>
      </c>
    </row>
    <row r="50" spans="3:20" x14ac:dyDescent="0.35">
      <c r="C50" s="19">
        <v>46</v>
      </c>
      <c r="D50" s="19">
        <v>202531013</v>
      </c>
      <c r="E50" s="20" t="s">
        <v>48</v>
      </c>
      <c r="F50" s="31">
        <f>IF('Porcentaje de Notas'!F50="","",('Porcentaje de Notas'!F50/100)*$F$3)</f>
        <v>0.5</v>
      </c>
      <c r="G50" s="19">
        <f>IF('Porcentaje de Notas'!G50="","",('Porcentaje de Notas'!G50/100)*$G$3)</f>
        <v>0</v>
      </c>
      <c r="H50" s="19">
        <f>IF('Porcentaje de Notas'!H50="","",('Porcentaje de Notas'!H50/100)*$H$3)</f>
        <v>0.5</v>
      </c>
      <c r="I50" s="32">
        <f>IF('Porcentaje de Notas'!I50="","",('Porcentaje de Notas'!I50/100)*$I$3)</f>
        <v>0.45</v>
      </c>
      <c r="J50" s="31">
        <f>IF('Porcentaje de Notas'!J50="","",('Porcentaje de Notas'!J50/100)*$J$3)</f>
        <v>1</v>
      </c>
      <c r="K50" s="19">
        <f>IF('Porcentaje de Notas'!K50="","",('Porcentaje de Notas'!K50/100)*$K$3)</f>
        <v>0.75</v>
      </c>
      <c r="L50" s="19">
        <f>IF('Porcentaje de Notas'!L50="","",('Porcentaje de Notas'!L50/100)*$L$3)</f>
        <v>1</v>
      </c>
      <c r="M50" s="19">
        <f>IF('Porcentaje de Notas'!M50="","",('Porcentaje de Notas'!M50/100)*$M$3)</f>
        <v>1.5</v>
      </c>
      <c r="N50" s="19">
        <f>IF('Porcentaje de Notas'!N50="","",('Porcentaje de Notas'!N50/100)*$N$3)</f>
        <v>2</v>
      </c>
      <c r="O50" s="19">
        <f>IF('Porcentaje de Notas'!O50="","",('Porcentaje de Notas'!O50/100)*$O$3)</f>
        <v>1.8</v>
      </c>
      <c r="P50" s="19">
        <f>IF('Porcentaje de Notas'!P50="","",('Porcentaje de Notas'!P50/100)*$P$3)</f>
        <v>1.4</v>
      </c>
      <c r="Q50" s="19">
        <f>IF('Porcentaje de Notas'!Q50="","",('Porcentaje de Notas'!Q50/100)*$Q$3)</f>
        <v>1</v>
      </c>
      <c r="R50" s="19">
        <f>IF('Porcentaje de Notas'!R50="","",('Porcentaje de Notas'!R50/100)*$R$3)</f>
        <v>1.5</v>
      </c>
      <c r="S50" s="19">
        <f>IF('Porcentaje de Notas'!S50="","",('Porcentaje de Notas'!S50/100)*$S$3)</f>
        <v>5</v>
      </c>
      <c r="T50" s="49">
        <f t="shared" si="0"/>
        <v>18.399999999999999</v>
      </c>
    </row>
    <row r="51" spans="3:20" x14ac:dyDescent="0.35">
      <c r="C51" s="19">
        <v>47</v>
      </c>
      <c r="D51" s="19">
        <v>202531019</v>
      </c>
      <c r="E51" s="20" t="s">
        <v>49</v>
      </c>
      <c r="F51" s="31">
        <f>IF('Porcentaje de Notas'!F51="","",('Porcentaje de Notas'!F51/100)*$F$3)</f>
        <v>0</v>
      </c>
      <c r="G51" s="19">
        <f>IF('Porcentaje de Notas'!G51="","",('Porcentaje de Notas'!G51/100)*$G$3)</f>
        <v>0</v>
      </c>
      <c r="H51" s="19">
        <f>IF('Porcentaje de Notas'!H51="","",('Porcentaje de Notas'!H51/100)*$H$3)</f>
        <v>0.5</v>
      </c>
      <c r="I51" s="32">
        <f>IF('Porcentaje de Notas'!I51="","",('Porcentaje de Notas'!I51/100)*$I$3)</f>
        <v>0.45</v>
      </c>
      <c r="J51" s="31">
        <f>IF('Porcentaje de Notas'!J51="","",('Porcentaje de Notas'!J51/100)*$J$3)</f>
        <v>1</v>
      </c>
      <c r="K51" s="19">
        <f>IF('Porcentaje de Notas'!K51="","",('Porcentaje de Notas'!K51/100)*$K$3)</f>
        <v>0.55000000000000004</v>
      </c>
      <c r="L51" s="19">
        <f>IF('Porcentaje de Notas'!L51="","",('Porcentaje de Notas'!L51/100)*$L$3)</f>
        <v>1</v>
      </c>
      <c r="M51" s="19">
        <f>IF('Porcentaje de Notas'!M51="","",('Porcentaje de Notas'!M51/100)*$M$3)</f>
        <v>1.5</v>
      </c>
      <c r="N51" s="19">
        <f>IF('Porcentaje de Notas'!N51="","",('Porcentaje de Notas'!N51/100)*$N$3)</f>
        <v>1.9</v>
      </c>
      <c r="O51" s="19">
        <f>IF('Porcentaje de Notas'!O51="","",('Porcentaje de Notas'!O51/100)*$O$3)</f>
        <v>0</v>
      </c>
      <c r="P51" s="19">
        <f>IF('Porcentaje de Notas'!P51="","",('Porcentaje de Notas'!P51/100)*$P$3)</f>
        <v>1.1000000000000001</v>
      </c>
      <c r="Q51" s="19">
        <f>IF('Porcentaje de Notas'!Q51="","",('Porcentaje de Notas'!Q51/100)*$Q$3)</f>
        <v>1</v>
      </c>
      <c r="R51" s="19">
        <f>IF('Porcentaje de Notas'!R51="","",('Porcentaje de Notas'!R51/100)*$R$3)</f>
        <v>1.5</v>
      </c>
      <c r="S51" s="19">
        <f>IF('Porcentaje de Notas'!S51="","",('Porcentaje de Notas'!S51/100)*$S$3)</f>
        <v>5</v>
      </c>
      <c r="T51" s="49">
        <f t="shared" si="0"/>
        <v>15.5</v>
      </c>
    </row>
    <row r="52" spans="3:20" x14ac:dyDescent="0.35">
      <c r="C52" s="19">
        <v>48</v>
      </c>
      <c r="D52" s="19">
        <v>202531089</v>
      </c>
      <c r="E52" s="20" t="s">
        <v>50</v>
      </c>
      <c r="F52" s="31">
        <f>IF('Porcentaje de Notas'!F52="","",('Porcentaje de Notas'!F52/100)*$F$3)</f>
        <v>0.5</v>
      </c>
      <c r="G52" s="19">
        <f>IF('Porcentaje de Notas'!G52="","",('Porcentaje de Notas'!G52/100)*$G$3)</f>
        <v>0</v>
      </c>
      <c r="H52" s="19">
        <f>IF('Porcentaje de Notas'!H52="","",('Porcentaje de Notas'!H52/100)*$H$3)</f>
        <v>0.5</v>
      </c>
      <c r="I52" s="32">
        <f>IF('Porcentaje de Notas'!I52="","",('Porcentaje de Notas'!I52/100)*$I$3)</f>
        <v>0.45</v>
      </c>
      <c r="J52" s="31">
        <f>IF('Porcentaje de Notas'!J52="","",('Porcentaje de Notas'!J52/100)*$J$3)</f>
        <v>0.7</v>
      </c>
      <c r="K52" s="19">
        <f>IF('Porcentaje de Notas'!K52="","",('Porcentaje de Notas'!K52/100)*$K$3)</f>
        <v>1</v>
      </c>
      <c r="L52" s="19">
        <f>IF('Porcentaje de Notas'!L52="","",('Porcentaje de Notas'!L52/100)*$L$3)</f>
        <v>0.9</v>
      </c>
      <c r="M52" s="19">
        <f>IF('Porcentaje de Notas'!M52="","",('Porcentaje de Notas'!M52/100)*$M$3)</f>
        <v>1.5</v>
      </c>
      <c r="N52" s="19">
        <f>IF('Porcentaje de Notas'!N52="","",('Porcentaje de Notas'!N52/100)*$N$3)</f>
        <v>1</v>
      </c>
      <c r="O52" s="19">
        <f>IF('Porcentaje de Notas'!O52="","",('Porcentaje de Notas'!O52/100)*$O$3)</f>
        <v>1.7</v>
      </c>
      <c r="P52" s="19">
        <f>IF('Porcentaje de Notas'!P52="","",('Porcentaje de Notas'!P52/100)*$P$3)</f>
        <v>1.1000000000000001</v>
      </c>
      <c r="Q52" s="19">
        <f>IF('Porcentaje de Notas'!Q52="","",('Porcentaje de Notas'!Q52/100)*$Q$3)</f>
        <v>1</v>
      </c>
      <c r="R52" s="19">
        <f>IF('Porcentaje de Notas'!R52="","",('Porcentaje de Notas'!R52/100)*$R$3)</f>
        <v>1.5</v>
      </c>
      <c r="S52" s="19">
        <f>IF('Porcentaje de Notas'!S52="","",('Porcentaje de Notas'!S52/100)*$S$3)</f>
        <v>5</v>
      </c>
      <c r="T52" s="49">
        <f t="shared" si="0"/>
        <v>16.850000000000001</v>
      </c>
    </row>
    <row r="53" spans="3:20" x14ac:dyDescent="0.35">
      <c r="C53" s="19">
        <v>49</v>
      </c>
      <c r="D53" s="19">
        <v>202531127</v>
      </c>
      <c r="E53" s="20" t="s">
        <v>51</v>
      </c>
      <c r="F53" s="31">
        <f>IF('Porcentaje de Notas'!F53="","",('Porcentaje de Notas'!F53/100)*$F$3)</f>
        <v>0</v>
      </c>
      <c r="G53" s="19">
        <f>IF('Porcentaje de Notas'!G53="","",('Porcentaje de Notas'!G53/100)*$G$3)</f>
        <v>0</v>
      </c>
      <c r="H53" s="19">
        <f>IF('Porcentaje de Notas'!H53="","",('Porcentaje de Notas'!H53/100)*$H$3)</f>
        <v>0.5</v>
      </c>
      <c r="I53" s="32">
        <f>IF('Porcentaje de Notas'!I53="","",('Porcentaje de Notas'!I53/100)*$I$3)</f>
        <v>0</v>
      </c>
      <c r="J53" s="31">
        <f>IF('Porcentaje de Notas'!J53="","",('Porcentaje de Notas'!J53/100)*$J$3)</f>
        <v>0</v>
      </c>
      <c r="K53" s="19">
        <f>IF('Porcentaje de Notas'!K53="","",('Porcentaje de Notas'!K53/100)*$K$3)</f>
        <v>1</v>
      </c>
      <c r="L53" s="19">
        <f>IF('Porcentaje de Notas'!L53="","",('Porcentaje de Notas'!L53/100)*$L$3)</f>
        <v>0</v>
      </c>
      <c r="M53" s="19">
        <f>IF('Porcentaje de Notas'!M53="","",('Porcentaje de Notas'!M53/100)*$M$3)</f>
        <v>1.5</v>
      </c>
      <c r="N53" s="19">
        <f>IF('Porcentaje de Notas'!N53="","",('Porcentaje de Notas'!N53/100)*$N$3)</f>
        <v>1.4</v>
      </c>
      <c r="O53" s="19">
        <f>IF('Porcentaje de Notas'!O53="","",('Porcentaje de Notas'!O53/100)*$O$3)</f>
        <v>1.7</v>
      </c>
      <c r="P53" s="19">
        <f>IF('Porcentaje de Notas'!P53="","",('Porcentaje de Notas'!P53/100)*$P$3)</f>
        <v>1.7</v>
      </c>
      <c r="Q53" s="19">
        <f>IF('Porcentaje de Notas'!Q53="","",('Porcentaje de Notas'!Q53/100)*$Q$3)</f>
        <v>0.8</v>
      </c>
      <c r="R53" s="19">
        <f>IF('Porcentaje de Notas'!R53="","",('Porcentaje de Notas'!R53/100)*$R$3)</f>
        <v>1.5</v>
      </c>
      <c r="S53" s="19">
        <f>IF('Porcentaje de Notas'!S53="","",('Porcentaje de Notas'!S53/100)*$S$3)</f>
        <v>5</v>
      </c>
      <c r="T53" s="49">
        <f t="shared" si="0"/>
        <v>15.100000000000001</v>
      </c>
    </row>
    <row r="54" spans="3:20" x14ac:dyDescent="0.35">
      <c r="C54" s="19">
        <v>50</v>
      </c>
      <c r="D54" s="19">
        <v>202531213</v>
      </c>
      <c r="E54" s="20" t="s">
        <v>52</v>
      </c>
      <c r="F54" s="31">
        <f>IF('Porcentaje de Notas'!F54="","",('Porcentaje de Notas'!F54/100)*$F$3)</f>
        <v>0.5</v>
      </c>
      <c r="G54" s="19">
        <f>IF('Porcentaje de Notas'!G54="","",('Porcentaje de Notas'!G54/100)*$G$3)</f>
        <v>0.5</v>
      </c>
      <c r="H54" s="19">
        <f>IF('Porcentaje de Notas'!H54="","",('Porcentaje de Notas'!H54/100)*$H$3)</f>
        <v>0.5</v>
      </c>
      <c r="I54" s="32">
        <f>IF('Porcentaje de Notas'!I54="","",('Porcentaje de Notas'!I54/100)*$I$3)</f>
        <v>0.45</v>
      </c>
      <c r="J54" s="31">
        <f>IF('Porcentaje de Notas'!J54="","",('Porcentaje de Notas'!J54/100)*$J$3)</f>
        <v>1</v>
      </c>
      <c r="K54" s="19">
        <f>IF('Porcentaje de Notas'!K54="","",('Porcentaje de Notas'!K54/100)*$K$3)</f>
        <v>0.9</v>
      </c>
      <c r="L54" s="19">
        <f>IF('Porcentaje de Notas'!L54="","",('Porcentaje de Notas'!L54/100)*$L$3)</f>
        <v>1</v>
      </c>
      <c r="M54" s="19">
        <f>IF('Porcentaje de Notas'!M54="","",('Porcentaje de Notas'!M54/100)*$M$3)</f>
        <v>1.5</v>
      </c>
      <c r="N54" s="19">
        <f>IF('Porcentaje de Notas'!N54="","",('Porcentaje de Notas'!N54/100)*$N$3)</f>
        <v>1.6</v>
      </c>
      <c r="O54" s="19">
        <f>IF('Porcentaje de Notas'!O54="","",('Porcentaje de Notas'!O54/100)*$O$3)</f>
        <v>2</v>
      </c>
      <c r="P54" s="19">
        <f>IF('Porcentaje de Notas'!P54="","",('Porcentaje de Notas'!P54/100)*$P$3)</f>
        <v>2</v>
      </c>
      <c r="Q54" s="19">
        <f>IF('Porcentaje de Notas'!Q54="","",('Porcentaje de Notas'!Q54/100)*$Q$3)</f>
        <v>0.9</v>
      </c>
      <c r="R54" s="19">
        <f>IF('Porcentaje de Notas'!R54="","",('Porcentaje de Notas'!R54/100)*$R$3)</f>
        <v>1.5</v>
      </c>
      <c r="S54" s="19">
        <f>IF('Porcentaje de Notas'!S54="","",('Porcentaje de Notas'!S54/100)*$S$3)</f>
        <v>5</v>
      </c>
      <c r="T54" s="49">
        <f t="shared" si="0"/>
        <v>19.350000000000001</v>
      </c>
    </row>
    <row r="55" spans="3:20" x14ac:dyDescent="0.35">
      <c r="C55" s="19">
        <v>51</v>
      </c>
      <c r="D55" s="19">
        <v>202531219</v>
      </c>
      <c r="E55" s="20" t="s">
        <v>53</v>
      </c>
      <c r="F55" s="31">
        <f>IF('Porcentaje de Notas'!F55="","",('Porcentaje de Notas'!F55/100)*$F$3)</f>
        <v>0</v>
      </c>
      <c r="G55" s="19">
        <f>IF('Porcentaje de Notas'!G55="","",('Porcentaje de Notas'!G55/100)*$G$3)</f>
        <v>0</v>
      </c>
      <c r="H55" s="19">
        <f>IF('Porcentaje de Notas'!H55="","",('Porcentaje de Notas'!H55/100)*$H$3)</f>
        <v>0.5</v>
      </c>
      <c r="I55" s="32">
        <f>IF('Porcentaje de Notas'!I55="","",('Porcentaje de Notas'!I55/100)*$I$3)</f>
        <v>0.5</v>
      </c>
      <c r="J55" s="31">
        <f>IF('Porcentaje de Notas'!J55="","",('Porcentaje de Notas'!J55/100)*$J$3)</f>
        <v>0.75</v>
      </c>
      <c r="K55" s="19">
        <f>IF('Porcentaje de Notas'!K55="","",('Porcentaje de Notas'!K55/100)*$K$3)</f>
        <v>0.9</v>
      </c>
      <c r="L55" s="19">
        <f>IF('Porcentaje de Notas'!L55="","",('Porcentaje de Notas'!L55/100)*$L$3)</f>
        <v>1</v>
      </c>
      <c r="M55" s="19">
        <f>IF('Porcentaje de Notas'!M55="","",('Porcentaje de Notas'!M55/100)*$M$3)</f>
        <v>1.2000000000000002</v>
      </c>
      <c r="N55" s="19">
        <f>IF('Porcentaje de Notas'!N55="","",('Porcentaje de Notas'!N55/100)*$N$3)</f>
        <v>1.4</v>
      </c>
      <c r="O55" s="19">
        <f>IF('Porcentaje de Notas'!O55="","",('Porcentaje de Notas'!O55/100)*$O$3)</f>
        <v>0.9</v>
      </c>
      <c r="P55" s="19">
        <f>IF('Porcentaje de Notas'!P55="","",('Porcentaje de Notas'!P55/100)*$P$3)</f>
        <v>0</v>
      </c>
      <c r="Q55" s="19">
        <f>IF('Porcentaje de Notas'!Q55="","",('Porcentaje de Notas'!Q55/100)*$Q$3)</f>
        <v>0.8</v>
      </c>
      <c r="R55" s="19">
        <f>IF('Porcentaje de Notas'!R55="","",('Porcentaje de Notas'!R55/100)*$R$3)</f>
        <v>1.5</v>
      </c>
      <c r="S55" s="19">
        <f>IF('Porcentaje de Notas'!S55="","",('Porcentaje de Notas'!S55/100)*$S$3)</f>
        <v>5</v>
      </c>
      <c r="T55" s="49">
        <f t="shared" si="0"/>
        <v>14.45</v>
      </c>
    </row>
    <row r="56" spans="3:20" x14ac:dyDescent="0.35">
      <c r="C56" s="19">
        <v>52</v>
      </c>
      <c r="D56" s="19">
        <v>202531289</v>
      </c>
      <c r="E56" s="20" t="s">
        <v>54</v>
      </c>
      <c r="F56" s="31">
        <f>IF('Porcentaje de Notas'!F56="","",('Porcentaje de Notas'!F56/100)*$F$3)</f>
        <v>0.5</v>
      </c>
      <c r="G56" s="19">
        <f>IF('Porcentaje de Notas'!G56="","",('Porcentaje de Notas'!G56/100)*$G$3)</f>
        <v>0</v>
      </c>
      <c r="H56" s="19">
        <f>IF('Porcentaje de Notas'!H56="","",('Porcentaje de Notas'!H56/100)*$H$3)</f>
        <v>0.5</v>
      </c>
      <c r="I56" s="32">
        <f>IF('Porcentaje de Notas'!I56="","",('Porcentaje de Notas'!I56/100)*$I$3)</f>
        <v>0.5</v>
      </c>
      <c r="J56" s="31">
        <f>IF('Porcentaje de Notas'!J56="","",('Porcentaje de Notas'!J56/100)*$J$3)</f>
        <v>0.85</v>
      </c>
      <c r="K56" s="19">
        <f>IF('Porcentaje de Notas'!K56="","",('Porcentaje de Notas'!K56/100)*$K$3)</f>
        <v>1</v>
      </c>
      <c r="L56" s="19">
        <f>IF('Porcentaje de Notas'!L56="","",('Porcentaje de Notas'!L56/100)*$L$3)</f>
        <v>1</v>
      </c>
      <c r="M56" s="19">
        <f>IF('Porcentaje de Notas'!M56="","",('Porcentaje de Notas'!M56/100)*$M$3)</f>
        <v>1.5</v>
      </c>
      <c r="N56" s="19">
        <f>IF('Porcentaje de Notas'!N56="","",('Porcentaje de Notas'!N56/100)*$N$3)</f>
        <v>2</v>
      </c>
      <c r="O56" s="19">
        <f>IF('Porcentaje de Notas'!O56="","",('Porcentaje de Notas'!O56/100)*$O$3)</f>
        <v>1.9</v>
      </c>
      <c r="P56" s="19">
        <f>IF('Porcentaje de Notas'!P56="","",('Porcentaje de Notas'!P56/100)*$P$3)</f>
        <v>1.7</v>
      </c>
      <c r="Q56" s="19">
        <f>IF('Porcentaje de Notas'!Q56="","",('Porcentaje de Notas'!Q56/100)*$Q$3)</f>
        <v>0.95</v>
      </c>
      <c r="R56" s="19">
        <f>IF('Porcentaje de Notas'!R56="","",('Porcentaje de Notas'!R56/100)*$R$3)</f>
        <v>0</v>
      </c>
      <c r="S56" s="19">
        <f>IF('Porcentaje de Notas'!S56="","",('Porcentaje de Notas'!S56/100)*$S$3)</f>
        <v>5</v>
      </c>
      <c r="T56" s="49">
        <f t="shared" si="0"/>
        <v>17.399999999999999</v>
      </c>
    </row>
    <row r="57" spans="3:20" x14ac:dyDescent="0.35">
      <c r="C57" s="19">
        <v>53</v>
      </c>
      <c r="D57" s="19">
        <v>202531319</v>
      </c>
      <c r="E57" s="20" t="s">
        <v>55</v>
      </c>
      <c r="F57" s="31">
        <f>IF('Porcentaje de Notas'!F57="","",('Porcentaje de Notas'!F57/100)*$F$3)</f>
        <v>0.5</v>
      </c>
      <c r="G57" s="19">
        <f>IF('Porcentaje de Notas'!G57="","",('Porcentaje de Notas'!G57/100)*$G$3)</f>
        <v>0</v>
      </c>
      <c r="H57" s="19">
        <f>IF('Porcentaje de Notas'!H57="","",('Porcentaje de Notas'!H57/100)*$H$3)</f>
        <v>0.25</v>
      </c>
      <c r="I57" s="32">
        <f>IF('Porcentaje de Notas'!I57="","",('Porcentaje de Notas'!I57/100)*$I$3)</f>
        <v>0.5</v>
      </c>
      <c r="J57" s="31">
        <f>IF('Porcentaje de Notas'!J57="","",('Porcentaje de Notas'!J57/100)*$J$3)</f>
        <v>0.75</v>
      </c>
      <c r="K57" s="19">
        <f>IF('Porcentaje de Notas'!K57="","",('Porcentaje de Notas'!K57/100)*$K$3)</f>
        <v>1</v>
      </c>
      <c r="L57" s="19">
        <f>IF('Porcentaje de Notas'!L57="","",('Porcentaje de Notas'!L57/100)*$L$3)</f>
        <v>1</v>
      </c>
      <c r="M57" s="19">
        <f>IF('Porcentaje de Notas'!M57="","",('Porcentaje de Notas'!M57/100)*$M$3)</f>
        <v>1.5</v>
      </c>
      <c r="N57" s="19">
        <f>IF('Porcentaje de Notas'!N57="","",('Porcentaje de Notas'!N57/100)*$N$3)</f>
        <v>1</v>
      </c>
      <c r="O57" s="19">
        <f>IF('Porcentaje de Notas'!O57="","",('Porcentaje de Notas'!O57/100)*$O$3)</f>
        <v>0</v>
      </c>
      <c r="P57" s="19">
        <f>IF('Porcentaje de Notas'!P57="","",('Porcentaje de Notas'!P57/100)*$P$3)</f>
        <v>1</v>
      </c>
      <c r="Q57" s="19">
        <f>IF('Porcentaje de Notas'!Q57="","",('Porcentaje de Notas'!Q57/100)*$Q$3)</f>
        <v>1</v>
      </c>
      <c r="R57" s="19">
        <f>IF('Porcentaje de Notas'!R57="","",('Porcentaje de Notas'!R57/100)*$R$3)</f>
        <v>1.5</v>
      </c>
      <c r="S57" s="19">
        <f>IF('Porcentaje de Notas'!S57="","",('Porcentaje de Notas'!S57/100)*$S$3)</f>
        <v>5</v>
      </c>
      <c r="T57" s="49">
        <f t="shared" si="0"/>
        <v>15</v>
      </c>
    </row>
    <row r="58" spans="3:20" x14ac:dyDescent="0.35">
      <c r="C58" s="19">
        <v>54</v>
      </c>
      <c r="D58" s="19">
        <v>202531351</v>
      </c>
      <c r="E58" s="20" t="s">
        <v>56</v>
      </c>
      <c r="F58" s="31">
        <f>IF('Porcentaje de Notas'!F58="","",('Porcentaje de Notas'!F58/100)*$F$3)</f>
        <v>0.5</v>
      </c>
      <c r="G58" s="19">
        <f>IF('Porcentaje de Notas'!G58="","",('Porcentaje de Notas'!G58/100)*$G$3)</f>
        <v>0.5</v>
      </c>
      <c r="H58" s="19">
        <f>IF('Porcentaje de Notas'!H58="","",('Porcentaje de Notas'!H58/100)*$H$3)</f>
        <v>0.5</v>
      </c>
      <c r="I58" s="32">
        <f>IF('Porcentaje de Notas'!I58="","",('Porcentaje de Notas'!I58/100)*$I$3)</f>
        <v>0.45</v>
      </c>
      <c r="J58" s="31">
        <f>IF('Porcentaje de Notas'!J58="","",('Porcentaje de Notas'!J58/100)*$J$3)</f>
        <v>1</v>
      </c>
      <c r="K58" s="19">
        <f>IF('Porcentaje de Notas'!K58="","",('Porcentaje de Notas'!K58/100)*$K$3)</f>
        <v>1</v>
      </c>
      <c r="L58" s="19">
        <f>IF('Porcentaje de Notas'!L58="","",('Porcentaje de Notas'!L58/100)*$L$3)</f>
        <v>1</v>
      </c>
      <c r="M58" s="19">
        <f>IF('Porcentaje de Notas'!M58="","",('Porcentaje de Notas'!M58/100)*$M$3)</f>
        <v>1.5</v>
      </c>
      <c r="N58" s="19">
        <f>IF('Porcentaje de Notas'!N58="","",('Porcentaje de Notas'!N58/100)*$N$3)</f>
        <v>1.6</v>
      </c>
      <c r="O58" s="19">
        <f>IF('Porcentaje de Notas'!O58="","",('Porcentaje de Notas'!O58/100)*$O$3)</f>
        <v>1.8</v>
      </c>
      <c r="P58" s="19">
        <f>IF('Porcentaje de Notas'!P58="","",('Porcentaje de Notas'!P58/100)*$P$3)</f>
        <v>2</v>
      </c>
      <c r="Q58" s="19">
        <f>IF('Porcentaje de Notas'!Q58="","",('Porcentaje de Notas'!Q58/100)*$Q$3)</f>
        <v>0.9</v>
      </c>
      <c r="R58" s="19">
        <f>IF('Porcentaje de Notas'!R58="","",('Porcentaje de Notas'!R58/100)*$R$3)</f>
        <v>1.5</v>
      </c>
      <c r="S58" s="19">
        <f>IF('Porcentaje de Notas'!S58="","",('Porcentaje de Notas'!S58/100)*$S$3)</f>
        <v>5</v>
      </c>
      <c r="T58" s="49">
        <f t="shared" si="0"/>
        <v>19.25</v>
      </c>
    </row>
    <row r="59" spans="3:20" x14ac:dyDescent="0.35">
      <c r="C59" s="19">
        <v>55</v>
      </c>
      <c r="D59" s="19">
        <v>202531352</v>
      </c>
      <c r="E59" s="20" t="s">
        <v>57</v>
      </c>
      <c r="F59" s="31">
        <f>IF('Porcentaje de Notas'!F59="","",('Porcentaje de Notas'!F59/100)*$F$3)</f>
        <v>0.5</v>
      </c>
      <c r="G59" s="19">
        <f>IF('Porcentaje de Notas'!G59="","",('Porcentaje de Notas'!G59/100)*$G$3)</f>
        <v>0</v>
      </c>
      <c r="H59" s="19">
        <f>IF('Porcentaje de Notas'!H59="","",('Porcentaje de Notas'!H59/100)*$H$3)</f>
        <v>0.5</v>
      </c>
      <c r="I59" s="32">
        <f>IF('Porcentaje de Notas'!I59="","",('Porcentaje de Notas'!I59/100)*$I$3)</f>
        <v>0.5</v>
      </c>
      <c r="J59" s="31">
        <f>IF('Porcentaje de Notas'!J59="","",('Porcentaje de Notas'!J59/100)*$J$3)</f>
        <v>1</v>
      </c>
      <c r="K59" s="19">
        <f>IF('Porcentaje de Notas'!K59="","",('Porcentaje de Notas'!K59/100)*$K$3)</f>
        <v>1</v>
      </c>
      <c r="L59" s="19">
        <f>IF('Porcentaje de Notas'!L59="","",('Porcentaje de Notas'!L59/100)*$L$3)</f>
        <v>1</v>
      </c>
      <c r="M59" s="19">
        <f>IF('Porcentaje de Notas'!M59="","",('Porcentaje de Notas'!M59/100)*$M$3)</f>
        <v>1.5</v>
      </c>
      <c r="N59" s="19">
        <f>IF('Porcentaje de Notas'!N59="","",('Porcentaje de Notas'!N59/100)*$N$3)</f>
        <v>1.4</v>
      </c>
      <c r="O59" s="19">
        <f>IF('Porcentaje de Notas'!O59="","",('Porcentaje de Notas'!O59/100)*$O$3)</f>
        <v>0</v>
      </c>
      <c r="P59" s="19">
        <f>IF('Porcentaje de Notas'!P59="","",('Porcentaje de Notas'!P59/100)*$P$3)</f>
        <v>1.5</v>
      </c>
      <c r="Q59" s="19">
        <f>IF('Porcentaje de Notas'!Q59="","",('Porcentaje de Notas'!Q59/100)*$Q$3)</f>
        <v>0.8</v>
      </c>
      <c r="R59" s="19">
        <f>IF('Porcentaje de Notas'!R59="","",('Porcentaje de Notas'!R59/100)*$R$3)</f>
        <v>0</v>
      </c>
      <c r="S59" s="19">
        <f>IF('Porcentaje de Notas'!S59="","",('Porcentaje de Notas'!S59/100)*$S$3)</f>
        <v>5</v>
      </c>
      <c r="T59" s="49">
        <f t="shared" si="0"/>
        <v>14.700000000000001</v>
      </c>
    </row>
    <row r="60" spans="3:20" x14ac:dyDescent="0.35">
      <c r="C60" s="19">
        <v>56</v>
      </c>
      <c r="D60" s="19">
        <v>202531384</v>
      </c>
      <c r="E60" s="20" t="s">
        <v>58</v>
      </c>
      <c r="F60" s="31">
        <f>IF('Porcentaje de Notas'!F60="","",('Porcentaje de Notas'!F60/100)*$F$3)</f>
        <v>0.5</v>
      </c>
      <c r="G60" s="19">
        <f>IF('Porcentaje de Notas'!G60="","",('Porcentaje de Notas'!G60/100)*$G$3)</f>
        <v>0.5</v>
      </c>
      <c r="H60" s="19">
        <f>IF('Porcentaje de Notas'!H60="","",('Porcentaje de Notas'!H60/100)*$H$3)</f>
        <v>0.25</v>
      </c>
      <c r="I60" s="32">
        <f>IF('Porcentaje de Notas'!I60="","",('Porcentaje de Notas'!I60/100)*$I$3)</f>
        <v>0.45</v>
      </c>
      <c r="J60" s="31">
        <f>IF('Porcentaje de Notas'!J60="","",('Porcentaje de Notas'!J60/100)*$J$3)</f>
        <v>1</v>
      </c>
      <c r="K60" s="19">
        <f>IF('Porcentaje de Notas'!K60="","",('Porcentaje de Notas'!K60/100)*$K$3)</f>
        <v>1</v>
      </c>
      <c r="L60" s="19">
        <f>IF('Porcentaje de Notas'!L60="","",('Porcentaje de Notas'!L60/100)*$L$3)</f>
        <v>1</v>
      </c>
      <c r="M60" s="19">
        <f>IF('Porcentaje de Notas'!M60="","",('Porcentaje de Notas'!M60/100)*$M$3)</f>
        <v>1.5</v>
      </c>
      <c r="N60" s="19">
        <f>IF('Porcentaje de Notas'!N60="","",('Porcentaje de Notas'!N60/100)*$N$3)</f>
        <v>1.4</v>
      </c>
      <c r="O60" s="19">
        <f>IF('Porcentaje de Notas'!O60="","",('Porcentaje de Notas'!O60/100)*$O$3)</f>
        <v>2</v>
      </c>
      <c r="P60" s="19">
        <f>IF('Porcentaje de Notas'!P60="","",('Porcentaje de Notas'!P60/100)*$P$3)</f>
        <v>1.8</v>
      </c>
      <c r="Q60" s="19">
        <f>IF('Porcentaje de Notas'!Q60="","",('Porcentaje de Notas'!Q60/100)*$Q$3)</f>
        <v>0.8</v>
      </c>
      <c r="R60" s="19">
        <f>IF('Porcentaje de Notas'!R60="","",('Porcentaje de Notas'!R60/100)*$R$3)</f>
        <v>1.5</v>
      </c>
      <c r="S60" s="19">
        <f>IF('Porcentaje de Notas'!S60="","",('Porcentaje de Notas'!S60/100)*$S$3)</f>
        <v>5</v>
      </c>
      <c r="T60" s="49">
        <f t="shared" si="0"/>
        <v>18.700000000000003</v>
      </c>
    </row>
    <row r="61" spans="3:20" x14ac:dyDescent="0.35">
      <c r="C61" s="19">
        <v>57</v>
      </c>
      <c r="D61" s="19">
        <v>202531399</v>
      </c>
      <c r="E61" s="20" t="s">
        <v>59</v>
      </c>
      <c r="F61" s="31">
        <f>IF('Porcentaje de Notas'!F61="","",('Porcentaje de Notas'!F61/100)*$F$3)</f>
        <v>0</v>
      </c>
      <c r="G61" s="19">
        <f>IF('Porcentaje de Notas'!G61="","",('Porcentaje de Notas'!G61/100)*$G$3)</f>
        <v>0</v>
      </c>
      <c r="H61" s="19">
        <f>IF('Porcentaje de Notas'!H61="","",('Porcentaje de Notas'!H61/100)*$H$3)</f>
        <v>0.25</v>
      </c>
      <c r="I61" s="32">
        <f>IF('Porcentaje de Notas'!I61="","",('Porcentaje de Notas'!I61/100)*$I$3)</f>
        <v>0</v>
      </c>
      <c r="J61" s="31">
        <f>IF('Porcentaje de Notas'!J61="","",('Porcentaje de Notas'!J61/100)*$J$3)</f>
        <v>0</v>
      </c>
      <c r="K61" s="19">
        <f>IF('Porcentaje de Notas'!K61="","",('Porcentaje de Notas'!K61/100)*$K$3)</f>
        <v>0</v>
      </c>
      <c r="L61" s="19">
        <f>IF('Porcentaje de Notas'!L61="","",('Porcentaje de Notas'!L61/100)*$L$3)</f>
        <v>0</v>
      </c>
      <c r="M61" s="19">
        <f>IF('Porcentaje de Notas'!M61="","",('Porcentaje de Notas'!M61/100)*$M$3)</f>
        <v>0</v>
      </c>
      <c r="N61" s="19">
        <f>IF('Porcentaje de Notas'!N61="","",('Porcentaje de Notas'!N61/100)*$N$3)</f>
        <v>0</v>
      </c>
      <c r="O61" s="19">
        <f>IF('Porcentaje de Notas'!O61="","",('Porcentaje de Notas'!O61/100)*$O$3)</f>
        <v>0</v>
      </c>
      <c r="P61" s="19">
        <f>IF('Porcentaje de Notas'!P61="","",('Porcentaje de Notas'!P61/100)*$P$3)</f>
        <v>0</v>
      </c>
      <c r="Q61" s="19">
        <f>IF('Porcentaje de Notas'!Q61="","",('Porcentaje de Notas'!Q61/100)*$Q$3)</f>
        <v>0</v>
      </c>
      <c r="R61" s="19">
        <f>IF('Porcentaje de Notas'!R61="","",('Porcentaje de Notas'!R61/100)*$R$3)</f>
        <v>0</v>
      </c>
      <c r="S61" s="19">
        <f>IF('Porcentaje de Notas'!S61="","",('Porcentaje de Notas'!S61/100)*$S$3)</f>
        <v>0</v>
      </c>
      <c r="T61" s="49">
        <f t="shared" si="0"/>
        <v>0.25</v>
      </c>
    </row>
    <row r="62" spans="3:20" x14ac:dyDescent="0.35">
      <c r="C62" s="19">
        <v>58</v>
      </c>
      <c r="D62" s="19">
        <v>202531441</v>
      </c>
      <c r="E62" s="20" t="s">
        <v>60</v>
      </c>
      <c r="F62" s="31">
        <f>IF('Porcentaje de Notas'!F62="","",('Porcentaje de Notas'!F62/100)*$F$3)</f>
        <v>0</v>
      </c>
      <c r="G62" s="19">
        <f>IF('Porcentaje de Notas'!G62="","",('Porcentaje de Notas'!G62/100)*$G$3)</f>
        <v>0</v>
      </c>
      <c r="H62" s="19">
        <f>IF('Porcentaje de Notas'!H62="","",('Porcentaje de Notas'!H62/100)*$H$3)</f>
        <v>0</v>
      </c>
      <c r="I62" s="32">
        <f>IF('Porcentaje de Notas'!I62="","",('Porcentaje de Notas'!I62/100)*$I$3)</f>
        <v>0</v>
      </c>
      <c r="J62" s="31">
        <f>IF('Porcentaje de Notas'!J62="","",('Porcentaje de Notas'!J62/100)*$J$3)</f>
        <v>0</v>
      </c>
      <c r="K62" s="19">
        <f>IF('Porcentaje de Notas'!K62="","",('Porcentaje de Notas'!K62/100)*$K$3)</f>
        <v>0</v>
      </c>
      <c r="L62" s="19">
        <f>IF('Porcentaje de Notas'!L62="","",('Porcentaje de Notas'!L62/100)*$L$3)</f>
        <v>0</v>
      </c>
      <c r="M62" s="19">
        <f>IF('Porcentaje de Notas'!M62="","",('Porcentaje de Notas'!M62/100)*$M$3)</f>
        <v>0</v>
      </c>
      <c r="N62" s="19">
        <f>IF('Porcentaje de Notas'!N62="","",('Porcentaje de Notas'!N62/100)*$N$3)</f>
        <v>0</v>
      </c>
      <c r="O62" s="19">
        <f>IF('Porcentaje de Notas'!O62="","",('Porcentaje de Notas'!O62/100)*$O$3)</f>
        <v>0</v>
      </c>
      <c r="P62" s="19">
        <f>IF('Porcentaje de Notas'!P62="","",('Porcentaje de Notas'!P62/100)*$P$3)</f>
        <v>0</v>
      </c>
      <c r="Q62" s="19">
        <f>IF('Porcentaje de Notas'!Q62="","",('Porcentaje de Notas'!Q62/100)*$Q$3)</f>
        <v>0</v>
      </c>
      <c r="R62" s="19">
        <f>IF('Porcentaje de Notas'!R62="","",('Porcentaje de Notas'!R62/100)*$R$3)</f>
        <v>0</v>
      </c>
      <c r="S62" s="19">
        <f>IF('Porcentaje de Notas'!S62="","",('Porcentaje de Notas'!S62/100)*$S$3)</f>
        <v>0</v>
      </c>
      <c r="T62" s="49">
        <f t="shared" si="0"/>
        <v>0</v>
      </c>
    </row>
    <row r="63" spans="3:20" x14ac:dyDescent="0.35">
      <c r="C63" s="19">
        <v>59</v>
      </c>
      <c r="D63" s="19">
        <v>202531444</v>
      </c>
      <c r="E63" s="20" t="s">
        <v>61</v>
      </c>
      <c r="F63" s="31">
        <f>IF('Porcentaje de Notas'!F63="","",('Porcentaje de Notas'!F63/100)*$F$3)</f>
        <v>0.5</v>
      </c>
      <c r="G63" s="19">
        <f>IF('Porcentaje de Notas'!G63="","",('Porcentaje de Notas'!G63/100)*$G$3)</f>
        <v>0</v>
      </c>
      <c r="H63" s="19">
        <f>IF('Porcentaje de Notas'!H63="","",('Porcentaje de Notas'!H63/100)*$H$3)</f>
        <v>0.5</v>
      </c>
      <c r="I63" s="32">
        <f>IF('Porcentaje de Notas'!I63="","",('Porcentaje de Notas'!I63/100)*$I$3)</f>
        <v>0.45</v>
      </c>
      <c r="J63" s="31">
        <f>IF('Porcentaje de Notas'!J63="","",('Porcentaje de Notas'!J63/100)*$J$3)</f>
        <v>1</v>
      </c>
      <c r="K63" s="19">
        <f>IF('Porcentaje de Notas'!K63="","",('Porcentaje de Notas'!K63/100)*$K$3)</f>
        <v>0.95</v>
      </c>
      <c r="L63" s="19">
        <f>IF('Porcentaje de Notas'!L63="","",('Porcentaje de Notas'!L63/100)*$L$3)</f>
        <v>1</v>
      </c>
      <c r="M63" s="19">
        <f>IF('Porcentaje de Notas'!M63="","",('Porcentaje de Notas'!M63/100)*$M$3)</f>
        <v>1.5</v>
      </c>
      <c r="N63" s="19">
        <f>IF('Porcentaje de Notas'!N63="","",('Porcentaje de Notas'!N63/100)*$N$3)</f>
        <v>1</v>
      </c>
      <c r="O63" s="19">
        <f>IF('Porcentaje de Notas'!O63="","",('Porcentaje de Notas'!O63/100)*$O$3)</f>
        <v>0</v>
      </c>
      <c r="P63" s="19">
        <f>IF('Porcentaje de Notas'!P63="","",('Porcentaje de Notas'!P63/100)*$P$3)</f>
        <v>1.3</v>
      </c>
      <c r="Q63" s="19">
        <f>IF('Porcentaje de Notas'!Q63="","",('Porcentaje de Notas'!Q63/100)*$Q$3)</f>
        <v>1</v>
      </c>
      <c r="R63" s="19">
        <f>IF('Porcentaje de Notas'!R63="","",('Porcentaje de Notas'!R63/100)*$R$3)</f>
        <v>1.5</v>
      </c>
      <c r="S63" s="19">
        <f>IF('Porcentaje de Notas'!S63="","",('Porcentaje de Notas'!S63/100)*$S$3)</f>
        <v>5</v>
      </c>
      <c r="T63" s="49">
        <f t="shared" si="0"/>
        <v>15.700000000000001</v>
      </c>
    </row>
    <row r="64" spans="3:20" x14ac:dyDescent="0.35">
      <c r="C64" s="19">
        <v>60</v>
      </c>
      <c r="D64" s="19">
        <v>202531566</v>
      </c>
      <c r="E64" s="20" t="s">
        <v>62</v>
      </c>
      <c r="F64" s="31">
        <f>IF('Porcentaje de Notas'!F64="","",('Porcentaje de Notas'!F64/100)*$F$3)</f>
        <v>0.5</v>
      </c>
      <c r="G64" s="19">
        <f>IF('Porcentaje de Notas'!G64="","",('Porcentaje de Notas'!G64/100)*$G$3)</f>
        <v>0</v>
      </c>
      <c r="H64" s="19">
        <f>IF('Porcentaje de Notas'!H64="","",('Porcentaje de Notas'!H64/100)*$H$3)</f>
        <v>0.5</v>
      </c>
      <c r="I64" s="32">
        <f>IF('Porcentaje de Notas'!I64="","",('Porcentaje de Notas'!I64/100)*$I$3)</f>
        <v>0.45</v>
      </c>
      <c r="J64" s="31">
        <f>IF('Porcentaje de Notas'!J64="","",('Porcentaje de Notas'!J64/100)*$J$3)</f>
        <v>1</v>
      </c>
      <c r="K64" s="19">
        <f>IF('Porcentaje de Notas'!K64="","",('Porcentaje de Notas'!K64/100)*$K$3)</f>
        <v>0.85</v>
      </c>
      <c r="L64" s="19">
        <f>IF('Porcentaje de Notas'!L64="","",('Porcentaje de Notas'!L64/100)*$L$3)</f>
        <v>1</v>
      </c>
      <c r="M64" s="19">
        <f>IF('Porcentaje de Notas'!M64="","",('Porcentaje de Notas'!M64/100)*$M$3)</f>
        <v>1.5</v>
      </c>
      <c r="N64" s="19">
        <f>IF('Porcentaje de Notas'!N64="","",('Porcentaje de Notas'!N64/100)*$N$3)</f>
        <v>1.4</v>
      </c>
      <c r="O64" s="19">
        <f>IF('Porcentaje de Notas'!O64="","",('Porcentaje de Notas'!O64/100)*$O$3)</f>
        <v>1.5</v>
      </c>
      <c r="P64" s="19">
        <f>IF('Porcentaje de Notas'!P64="","",('Porcentaje de Notas'!P64/100)*$P$3)</f>
        <v>1.1000000000000001</v>
      </c>
      <c r="Q64" s="19">
        <f>IF('Porcentaje de Notas'!Q64="","",('Porcentaje de Notas'!Q64/100)*$Q$3)</f>
        <v>0.95</v>
      </c>
      <c r="R64" s="19">
        <f>IF('Porcentaje de Notas'!R64="","",('Porcentaje de Notas'!R64/100)*$R$3)</f>
        <v>1.5</v>
      </c>
      <c r="S64" s="19">
        <f>IF('Porcentaje de Notas'!S64="","",('Porcentaje de Notas'!S64/100)*$S$3)</f>
        <v>5</v>
      </c>
      <c r="T64" s="49">
        <f t="shared" si="0"/>
        <v>17.25</v>
      </c>
    </row>
    <row r="65" spans="3:20" x14ac:dyDescent="0.35">
      <c r="C65" s="19">
        <v>61</v>
      </c>
      <c r="D65" s="19">
        <v>202531611</v>
      </c>
      <c r="E65" s="20" t="s">
        <v>63</v>
      </c>
      <c r="F65" s="31">
        <f>IF('Porcentaje de Notas'!F65="","",('Porcentaje de Notas'!F65/100)*$F$3)</f>
        <v>0.5</v>
      </c>
      <c r="G65" s="19">
        <f>IF('Porcentaje de Notas'!G65="","",('Porcentaje de Notas'!G65/100)*$G$3)</f>
        <v>0</v>
      </c>
      <c r="H65" s="19">
        <f>IF('Porcentaje de Notas'!H65="","",('Porcentaje de Notas'!H65/100)*$H$3)</f>
        <v>0.5</v>
      </c>
      <c r="I65" s="32">
        <f>IF('Porcentaje de Notas'!I65="","",('Porcentaje de Notas'!I65/100)*$I$3)</f>
        <v>0</v>
      </c>
      <c r="J65" s="31">
        <f>IF('Porcentaje de Notas'!J65="","",('Porcentaje de Notas'!J65/100)*$J$3)</f>
        <v>0.75</v>
      </c>
      <c r="K65" s="19">
        <f>IF('Porcentaje de Notas'!K65="","",('Porcentaje de Notas'!K65/100)*$K$3)</f>
        <v>1</v>
      </c>
      <c r="L65" s="19">
        <f>IF('Porcentaje de Notas'!L65="","",('Porcentaje de Notas'!L65/100)*$L$3)</f>
        <v>1</v>
      </c>
      <c r="M65" s="19">
        <f>IF('Porcentaje de Notas'!M65="","",('Porcentaje de Notas'!M65/100)*$M$3)</f>
        <v>1.5</v>
      </c>
      <c r="N65" s="19">
        <f>IF('Porcentaje de Notas'!N65="","",('Porcentaje de Notas'!N65/100)*$N$3)</f>
        <v>1.4</v>
      </c>
      <c r="O65" s="19">
        <f>IF('Porcentaje de Notas'!O65="","",('Porcentaje de Notas'!O65/100)*$O$3)</f>
        <v>0.9</v>
      </c>
      <c r="P65" s="19">
        <f>IF('Porcentaje de Notas'!P65="","",('Porcentaje de Notas'!P65/100)*$P$3)</f>
        <v>1.5</v>
      </c>
      <c r="Q65" s="19">
        <f>IF('Porcentaje de Notas'!Q65="","",('Porcentaje de Notas'!Q65/100)*$Q$3)</f>
        <v>0</v>
      </c>
      <c r="R65" s="19">
        <f>IF('Porcentaje de Notas'!R65="","",('Porcentaje de Notas'!R65/100)*$R$3)</f>
        <v>0</v>
      </c>
      <c r="S65" s="19">
        <f>IF('Porcentaje de Notas'!S65="","",('Porcentaje de Notas'!S65/100)*$S$3)</f>
        <v>5</v>
      </c>
      <c r="T65" s="49">
        <f t="shared" si="0"/>
        <v>14.05</v>
      </c>
    </row>
    <row r="66" spans="3:20" x14ac:dyDescent="0.35">
      <c r="C66" s="19">
        <v>62</v>
      </c>
      <c r="D66" s="19">
        <v>202531645</v>
      </c>
      <c r="E66" s="20" t="s">
        <v>64</v>
      </c>
      <c r="F66" s="31">
        <f>IF('Porcentaje de Notas'!F66="","",('Porcentaje de Notas'!F66/100)*$F$3)</f>
        <v>0.5</v>
      </c>
      <c r="G66" s="19">
        <f>IF('Porcentaje de Notas'!G66="","",('Porcentaje de Notas'!G66/100)*$G$3)</f>
        <v>0.5</v>
      </c>
      <c r="H66" s="19">
        <f>IF('Porcentaje de Notas'!H66="","",('Porcentaje de Notas'!H66/100)*$H$3)</f>
        <v>0.5</v>
      </c>
      <c r="I66" s="32">
        <f>IF('Porcentaje de Notas'!I66="","",('Porcentaje de Notas'!I66/100)*$I$3)</f>
        <v>0.45</v>
      </c>
      <c r="J66" s="31">
        <f>IF('Porcentaje de Notas'!J66="","",('Porcentaje de Notas'!J66/100)*$J$3)</f>
        <v>1</v>
      </c>
      <c r="K66" s="19">
        <f>IF('Porcentaje de Notas'!K66="","",('Porcentaje de Notas'!K66/100)*$K$3)</f>
        <v>1</v>
      </c>
      <c r="L66" s="19">
        <f>IF('Porcentaje de Notas'!L66="","",('Porcentaje de Notas'!L66/100)*$L$3)</f>
        <v>1</v>
      </c>
      <c r="M66" s="19">
        <f>IF('Porcentaje de Notas'!M66="","",('Porcentaje de Notas'!M66/100)*$M$3)</f>
        <v>0</v>
      </c>
      <c r="N66" s="19">
        <f>IF('Porcentaje de Notas'!N66="","",('Porcentaje de Notas'!N66/100)*$N$3)</f>
        <v>0.8</v>
      </c>
      <c r="O66" s="19">
        <f>IF('Porcentaje de Notas'!O66="","",('Porcentaje de Notas'!O66/100)*$O$3)</f>
        <v>1.8</v>
      </c>
      <c r="P66" s="19">
        <f>IF('Porcentaje de Notas'!P66="","",('Porcentaje de Notas'!P66/100)*$P$3)</f>
        <v>2</v>
      </c>
      <c r="Q66" s="19">
        <f>IF('Porcentaje de Notas'!Q66="","",('Porcentaje de Notas'!Q66/100)*$Q$3)</f>
        <v>0.9</v>
      </c>
      <c r="R66" s="19">
        <f>IF('Porcentaje de Notas'!R66="","",('Porcentaje de Notas'!R66/100)*$R$3)</f>
        <v>1.5</v>
      </c>
      <c r="S66" s="19">
        <f>IF('Porcentaje de Notas'!S66="","",('Porcentaje de Notas'!S66/100)*$S$3)</f>
        <v>5</v>
      </c>
      <c r="T66" s="49">
        <f t="shared" si="0"/>
        <v>16.950000000000003</v>
      </c>
    </row>
    <row r="67" spans="3:20" x14ac:dyDescent="0.35">
      <c r="C67" s="19">
        <v>63</v>
      </c>
      <c r="D67" s="19">
        <v>202531663</v>
      </c>
      <c r="E67" s="20" t="s">
        <v>65</v>
      </c>
      <c r="F67" s="31">
        <f>IF('Porcentaje de Notas'!F67="","",('Porcentaje de Notas'!F67/100)*$F$3)</f>
        <v>0.5</v>
      </c>
      <c r="G67" s="19">
        <f>IF('Porcentaje de Notas'!G67="","",('Porcentaje de Notas'!G67/100)*$G$3)</f>
        <v>0</v>
      </c>
      <c r="H67" s="19">
        <f>IF('Porcentaje de Notas'!H67="","",('Porcentaje de Notas'!H67/100)*$H$3)</f>
        <v>0</v>
      </c>
      <c r="I67" s="32">
        <f>IF('Porcentaje de Notas'!I67="","",('Porcentaje de Notas'!I67/100)*$I$3)</f>
        <v>0</v>
      </c>
      <c r="J67" s="31">
        <f>IF('Porcentaje de Notas'!J67="","",('Porcentaje de Notas'!J67/100)*$J$3)</f>
        <v>0</v>
      </c>
      <c r="K67" s="19">
        <f>IF('Porcentaje de Notas'!K67="","",('Porcentaje de Notas'!K67/100)*$K$3)</f>
        <v>0</v>
      </c>
      <c r="L67" s="19">
        <f>IF('Porcentaje de Notas'!L67="","",('Porcentaje de Notas'!L67/100)*$L$3)</f>
        <v>0</v>
      </c>
      <c r="M67" s="19">
        <f>IF('Porcentaje de Notas'!M67="","",('Porcentaje de Notas'!M67/100)*$M$3)</f>
        <v>0</v>
      </c>
      <c r="N67" s="19">
        <f>IF('Porcentaje de Notas'!N67="","",('Porcentaje de Notas'!N67/100)*$N$3)</f>
        <v>0</v>
      </c>
      <c r="O67" s="19">
        <f>IF('Porcentaje de Notas'!O67="","",('Porcentaje de Notas'!O67/100)*$O$3)</f>
        <v>0</v>
      </c>
      <c r="P67" s="19">
        <f>IF('Porcentaje de Notas'!P67="","",('Porcentaje de Notas'!P67/100)*$P$3)</f>
        <v>0</v>
      </c>
      <c r="Q67" s="19">
        <f>IF('Porcentaje de Notas'!Q67="","",('Porcentaje de Notas'!Q67/100)*$Q$3)</f>
        <v>0</v>
      </c>
      <c r="R67" s="19">
        <f>IF('Porcentaje de Notas'!R67="","",('Porcentaje de Notas'!R67/100)*$R$3)</f>
        <v>0</v>
      </c>
      <c r="S67" s="19">
        <f>IF('Porcentaje de Notas'!S67="","",('Porcentaje de Notas'!S67/100)*$S$3)</f>
        <v>0</v>
      </c>
      <c r="T67" s="49">
        <f t="shared" si="0"/>
        <v>0.5</v>
      </c>
    </row>
    <row r="68" spans="3:20" x14ac:dyDescent="0.35">
      <c r="C68" s="19">
        <v>64</v>
      </c>
      <c r="D68" s="19">
        <v>202531724</v>
      </c>
      <c r="E68" s="20" t="s">
        <v>66</v>
      </c>
      <c r="F68" s="31">
        <f>IF('Porcentaje de Notas'!F68="","",('Porcentaje de Notas'!F68/100)*$F$3)</f>
        <v>0.5</v>
      </c>
      <c r="G68" s="19">
        <f>IF('Porcentaje de Notas'!G68="","",('Porcentaje de Notas'!G68/100)*$G$3)</f>
        <v>0</v>
      </c>
      <c r="H68" s="19">
        <f>IF('Porcentaje de Notas'!H68="","",('Porcentaje de Notas'!H68/100)*$H$3)</f>
        <v>0.25</v>
      </c>
      <c r="I68" s="32">
        <f>IF('Porcentaje de Notas'!I68="","",('Porcentaje de Notas'!I68/100)*$I$3)</f>
        <v>0.45</v>
      </c>
      <c r="J68" s="31">
        <f>IF('Porcentaje de Notas'!J68="","",('Porcentaje de Notas'!J68/100)*$J$3)</f>
        <v>0.4</v>
      </c>
      <c r="K68" s="19">
        <f>IF('Porcentaje de Notas'!K68="","",('Porcentaje de Notas'!K68/100)*$K$3)</f>
        <v>0.85</v>
      </c>
      <c r="L68" s="19">
        <f>IF('Porcentaje de Notas'!L68="","",('Porcentaje de Notas'!L68/100)*$L$3)</f>
        <v>1</v>
      </c>
      <c r="M68" s="19">
        <f>IF('Porcentaje de Notas'!M68="","",('Porcentaje de Notas'!M68/100)*$M$3)</f>
        <v>1.5</v>
      </c>
      <c r="N68" s="19">
        <f>IF('Porcentaje de Notas'!N68="","",('Porcentaje de Notas'!N68/100)*$N$3)</f>
        <v>1.4</v>
      </c>
      <c r="O68" s="19">
        <f>IF('Porcentaje de Notas'!O68="","",('Porcentaje de Notas'!O68/100)*$O$3)</f>
        <v>1.5</v>
      </c>
      <c r="P68" s="19">
        <f>IF('Porcentaje de Notas'!P68="","",('Porcentaje de Notas'!P68/100)*$P$3)</f>
        <v>1.4</v>
      </c>
      <c r="Q68" s="19">
        <f>IF('Porcentaje de Notas'!Q68="","",('Porcentaje de Notas'!Q68/100)*$Q$3)</f>
        <v>1</v>
      </c>
      <c r="R68" s="19">
        <f>IF('Porcentaje de Notas'!R68="","",('Porcentaje de Notas'!R68/100)*$R$3)</f>
        <v>1.5</v>
      </c>
      <c r="S68" s="19">
        <f>IF('Porcentaje de Notas'!S68="","",('Porcentaje de Notas'!S68/100)*$S$3)</f>
        <v>5</v>
      </c>
      <c r="T68" s="49">
        <f t="shared" si="0"/>
        <v>16.75</v>
      </c>
    </row>
    <row r="69" spans="3:20" x14ac:dyDescent="0.35">
      <c r="C69" s="19">
        <v>65</v>
      </c>
      <c r="D69" s="19">
        <v>202531736</v>
      </c>
      <c r="E69" s="20" t="s">
        <v>67</v>
      </c>
      <c r="F69" s="31">
        <f>IF('Porcentaje de Notas'!F69="","",('Porcentaje de Notas'!F69/100)*$F$3)</f>
        <v>0.5</v>
      </c>
      <c r="G69" s="19">
        <f>IF('Porcentaje de Notas'!G69="","",('Porcentaje de Notas'!G69/100)*$G$3)</f>
        <v>0</v>
      </c>
      <c r="H69" s="19">
        <f>IF('Porcentaje de Notas'!H69="","",('Porcentaje de Notas'!H69/100)*$H$3)</f>
        <v>0.5</v>
      </c>
      <c r="I69" s="32">
        <f>IF('Porcentaje de Notas'!I69="","",('Porcentaje de Notas'!I69/100)*$I$3)</f>
        <v>0</v>
      </c>
      <c r="J69" s="31">
        <f>IF('Porcentaje de Notas'!J69="","",('Porcentaje de Notas'!J69/100)*$J$3)</f>
        <v>0</v>
      </c>
      <c r="K69" s="19">
        <f>IF('Porcentaje de Notas'!K69="","",('Porcentaje de Notas'!K69/100)*$K$3)</f>
        <v>1</v>
      </c>
      <c r="L69" s="19">
        <f>IF('Porcentaje de Notas'!L69="","",('Porcentaje de Notas'!L69/100)*$L$3)</f>
        <v>1</v>
      </c>
      <c r="M69" s="19">
        <f>IF('Porcentaje de Notas'!M69="","",('Porcentaje de Notas'!M69/100)*$M$3)</f>
        <v>1.5</v>
      </c>
      <c r="N69" s="19">
        <f>IF('Porcentaje de Notas'!N69="","",('Porcentaje de Notas'!N69/100)*$N$3)</f>
        <v>0</v>
      </c>
      <c r="O69" s="19">
        <f>IF('Porcentaje de Notas'!O69="","",('Porcentaje de Notas'!O69/100)*$O$3)</f>
        <v>1.2</v>
      </c>
      <c r="P69" s="19">
        <f>IF('Porcentaje de Notas'!P69="","",('Porcentaje de Notas'!P69/100)*$P$3)</f>
        <v>1.3</v>
      </c>
      <c r="Q69" s="19">
        <f>IF('Porcentaje de Notas'!Q69="","",('Porcentaje de Notas'!Q69/100)*$Q$3)</f>
        <v>0.8</v>
      </c>
      <c r="R69" s="19">
        <f>IF('Porcentaje de Notas'!R69="","",('Porcentaje de Notas'!R69/100)*$R$3)</f>
        <v>1.5</v>
      </c>
      <c r="S69" s="19">
        <f>IF('Porcentaje de Notas'!S69="","",('Porcentaje de Notas'!S69/100)*$S$3)</f>
        <v>5</v>
      </c>
      <c r="T69" s="49">
        <f t="shared" si="0"/>
        <v>14.3</v>
      </c>
    </row>
    <row r="70" spans="3:20" x14ac:dyDescent="0.35">
      <c r="C70" s="19">
        <v>66</v>
      </c>
      <c r="D70" s="19">
        <v>202531778</v>
      </c>
      <c r="E70" s="20" t="s">
        <v>68</v>
      </c>
      <c r="F70" s="31">
        <f>IF('Porcentaje de Notas'!F70="","",('Porcentaje de Notas'!F70/100)*$F$3)</f>
        <v>0.5</v>
      </c>
      <c r="G70" s="19">
        <f>IF('Porcentaje de Notas'!G70="","",('Porcentaje de Notas'!G70/100)*$G$3)</f>
        <v>0</v>
      </c>
      <c r="H70" s="19">
        <f>IF('Porcentaje de Notas'!H70="","",('Porcentaje de Notas'!H70/100)*$H$3)</f>
        <v>0.5</v>
      </c>
      <c r="I70" s="32">
        <f>IF('Porcentaje de Notas'!I70="","",('Porcentaje de Notas'!I70/100)*$I$3)</f>
        <v>0.45</v>
      </c>
      <c r="J70" s="31">
        <f>IF('Porcentaje de Notas'!J70="","",('Porcentaje de Notas'!J70/100)*$J$3)</f>
        <v>0.75</v>
      </c>
      <c r="K70" s="19">
        <f>IF('Porcentaje de Notas'!K70="","",('Porcentaje de Notas'!K70/100)*$K$3)</f>
        <v>0.85</v>
      </c>
      <c r="L70" s="19">
        <f>IF('Porcentaje de Notas'!L70="","",('Porcentaje de Notas'!L70/100)*$L$3)</f>
        <v>1</v>
      </c>
      <c r="M70" s="19">
        <f>IF('Porcentaje de Notas'!M70="","",('Porcentaje de Notas'!M70/100)*$M$3)</f>
        <v>1.5</v>
      </c>
      <c r="N70" s="19">
        <f>IF('Porcentaje de Notas'!N70="","",('Porcentaje de Notas'!N70/100)*$N$3)</f>
        <v>1.4</v>
      </c>
      <c r="O70" s="19">
        <f>IF('Porcentaje de Notas'!O70="","",('Porcentaje de Notas'!O70/100)*$O$3)</f>
        <v>1.8</v>
      </c>
      <c r="P70" s="19">
        <f>IF('Porcentaje de Notas'!P70="","",('Porcentaje de Notas'!P70/100)*$P$3)</f>
        <v>2</v>
      </c>
      <c r="Q70" s="19">
        <f>IF('Porcentaje de Notas'!Q70="","",('Porcentaje de Notas'!Q70/100)*$Q$3)</f>
        <v>1</v>
      </c>
      <c r="R70" s="19">
        <f>IF('Porcentaje de Notas'!R70="","",('Porcentaje de Notas'!R70/100)*$R$3)</f>
        <v>1.5</v>
      </c>
      <c r="S70" s="19">
        <f>IF('Porcentaje de Notas'!S70="","",('Porcentaje de Notas'!S70/100)*$S$3)</f>
        <v>5</v>
      </c>
      <c r="T70" s="49">
        <f t="shared" ref="T70:T77" si="1">SUM(F70:S70)</f>
        <v>18.25</v>
      </c>
    </row>
    <row r="71" spans="3:20" x14ac:dyDescent="0.35">
      <c r="C71" s="19">
        <v>67</v>
      </c>
      <c r="D71" s="19">
        <v>202531844</v>
      </c>
      <c r="E71" s="20" t="s">
        <v>69</v>
      </c>
      <c r="F71" s="31">
        <f>IF('Porcentaje de Notas'!F71="","",('Porcentaje de Notas'!F71/100)*$F$3)</f>
        <v>0.5</v>
      </c>
      <c r="G71" s="19">
        <f>IF('Porcentaje de Notas'!G71="","",('Porcentaje de Notas'!G71/100)*$G$3)</f>
        <v>0</v>
      </c>
      <c r="H71" s="19">
        <f>IF('Porcentaje de Notas'!H71="","",('Porcentaje de Notas'!H71/100)*$H$3)</f>
        <v>0.5</v>
      </c>
      <c r="I71" s="32">
        <f>IF('Porcentaje de Notas'!I71="","",('Porcentaje de Notas'!I71/100)*$I$3)</f>
        <v>0.5</v>
      </c>
      <c r="J71" s="31">
        <f>IF('Porcentaje de Notas'!J71="","",('Porcentaje de Notas'!J71/100)*$J$3)</f>
        <v>1</v>
      </c>
      <c r="K71" s="19">
        <f>IF('Porcentaje de Notas'!K71="","",('Porcentaje de Notas'!K71/100)*$K$3)</f>
        <v>1</v>
      </c>
      <c r="L71" s="19">
        <f>IF('Porcentaje de Notas'!L71="","",('Porcentaje de Notas'!L71/100)*$L$3)</f>
        <v>1</v>
      </c>
      <c r="M71" s="19">
        <f>IF('Porcentaje de Notas'!M71="","",('Porcentaje de Notas'!M71/100)*$M$3)</f>
        <v>1.5</v>
      </c>
      <c r="N71" s="19">
        <f>IF('Porcentaje de Notas'!N71="","",('Porcentaje de Notas'!N71/100)*$N$3)</f>
        <v>2</v>
      </c>
      <c r="O71" s="19">
        <f>IF('Porcentaje de Notas'!O71="","",('Porcentaje de Notas'!O71/100)*$O$3)</f>
        <v>0</v>
      </c>
      <c r="P71" s="19">
        <f>IF('Porcentaje de Notas'!P71="","",('Porcentaje de Notas'!P71/100)*$P$3)</f>
        <v>2</v>
      </c>
      <c r="Q71" s="19">
        <f>IF('Porcentaje de Notas'!Q71="","",('Porcentaje de Notas'!Q71/100)*$Q$3)</f>
        <v>0</v>
      </c>
      <c r="R71" s="19">
        <f>IF('Porcentaje de Notas'!R71="","",('Porcentaje de Notas'!R71/100)*$R$3)</f>
        <v>0</v>
      </c>
      <c r="S71" s="19">
        <f>IF('Porcentaje de Notas'!S71="","",('Porcentaje de Notas'!S71/100)*$S$3)</f>
        <v>0</v>
      </c>
      <c r="T71" s="49">
        <f t="shared" si="1"/>
        <v>10</v>
      </c>
    </row>
    <row r="72" spans="3:20" x14ac:dyDescent="0.35">
      <c r="C72" s="19">
        <v>68</v>
      </c>
      <c r="D72" s="19">
        <v>202531883</v>
      </c>
      <c r="E72" s="20" t="s">
        <v>70</v>
      </c>
      <c r="F72" s="31">
        <f>IF('Porcentaje de Notas'!F72="","",('Porcentaje de Notas'!F72/100)*$F$3)</f>
        <v>0.5</v>
      </c>
      <c r="G72" s="19">
        <f>IF('Porcentaje de Notas'!G72="","",('Porcentaje de Notas'!G72/100)*$G$3)</f>
        <v>0</v>
      </c>
      <c r="H72" s="19">
        <f>IF('Porcentaje de Notas'!H72="","",('Porcentaje de Notas'!H72/100)*$H$3)</f>
        <v>0.5</v>
      </c>
      <c r="I72" s="32">
        <f>IF('Porcentaje de Notas'!I72="","",('Porcentaje de Notas'!I72/100)*$I$3)</f>
        <v>0.5</v>
      </c>
      <c r="J72" s="31">
        <f>IF('Porcentaje de Notas'!J72="","",('Porcentaje de Notas'!J72/100)*$J$3)</f>
        <v>0.85</v>
      </c>
      <c r="K72" s="19">
        <f>IF('Porcentaje de Notas'!K72="","",('Porcentaje de Notas'!K72/100)*$K$3)</f>
        <v>1</v>
      </c>
      <c r="L72" s="19">
        <f>IF('Porcentaje de Notas'!L72="","",('Porcentaje de Notas'!L72/100)*$L$3)</f>
        <v>1</v>
      </c>
      <c r="M72" s="19">
        <f>IF('Porcentaje de Notas'!M72="","",('Porcentaje de Notas'!M72/100)*$M$3)</f>
        <v>1.5</v>
      </c>
      <c r="N72" s="19">
        <f>IF('Porcentaje de Notas'!N72="","",('Porcentaje de Notas'!N72/100)*$N$3)</f>
        <v>1.8</v>
      </c>
      <c r="O72" s="19">
        <f>IF('Porcentaje de Notas'!O72="","",('Porcentaje de Notas'!O72/100)*$O$3)</f>
        <v>1.9</v>
      </c>
      <c r="P72" s="19">
        <f>IF('Porcentaje de Notas'!P72="","",('Porcentaje de Notas'!P72/100)*$P$3)</f>
        <v>1.7</v>
      </c>
      <c r="Q72" s="19">
        <f>IF('Porcentaje de Notas'!Q72="","",('Porcentaje de Notas'!Q72/100)*$Q$3)</f>
        <v>0.95</v>
      </c>
      <c r="R72" s="19">
        <f>IF('Porcentaje de Notas'!R72="","",('Porcentaje de Notas'!R72/100)*$R$3)</f>
        <v>0</v>
      </c>
      <c r="S72" s="19">
        <f>IF('Porcentaje de Notas'!S72="","",('Porcentaje de Notas'!S72/100)*$S$3)</f>
        <v>5</v>
      </c>
      <c r="T72" s="49">
        <f t="shared" si="1"/>
        <v>17.199999999999996</v>
      </c>
    </row>
    <row r="73" spans="3:20" x14ac:dyDescent="0.35">
      <c r="C73" s="19">
        <v>69</v>
      </c>
      <c r="D73" s="19">
        <v>202531947</v>
      </c>
      <c r="E73" s="20" t="s">
        <v>71</v>
      </c>
      <c r="F73" s="31">
        <f>IF('Porcentaje de Notas'!F73="","",('Porcentaje de Notas'!F73/100)*$F$3)</f>
        <v>0.5</v>
      </c>
      <c r="G73" s="19">
        <f>IF('Porcentaje de Notas'!G73="","",('Porcentaje de Notas'!G73/100)*$G$3)</f>
        <v>0</v>
      </c>
      <c r="H73" s="19">
        <f>IF('Porcentaje de Notas'!H73="","",('Porcentaje de Notas'!H73/100)*$H$3)</f>
        <v>0.5</v>
      </c>
      <c r="I73" s="32">
        <f>IF('Porcentaje de Notas'!I73="","",('Porcentaje de Notas'!I73/100)*$I$3)</f>
        <v>0</v>
      </c>
      <c r="J73" s="31">
        <f>IF('Porcentaje de Notas'!J73="","",('Porcentaje de Notas'!J73/100)*$J$3)</f>
        <v>0.85</v>
      </c>
      <c r="K73" s="19">
        <f>IF('Porcentaje de Notas'!K73="","",('Porcentaje de Notas'!K73/100)*$K$3)</f>
        <v>0.75</v>
      </c>
      <c r="L73" s="19">
        <f>IF('Porcentaje de Notas'!L73="","",('Porcentaje de Notas'!L73/100)*$L$3)</f>
        <v>1</v>
      </c>
      <c r="M73" s="19">
        <f>IF('Porcentaje de Notas'!M73="","",('Porcentaje de Notas'!M73/100)*$M$3)</f>
        <v>1.5</v>
      </c>
      <c r="N73" s="19">
        <f>IF('Porcentaje de Notas'!N73="","",('Porcentaje de Notas'!N73/100)*$N$3)</f>
        <v>1</v>
      </c>
      <c r="O73" s="19">
        <f>IF('Porcentaje de Notas'!O73="","",('Porcentaje de Notas'!O73/100)*$O$3)</f>
        <v>1.8</v>
      </c>
      <c r="P73" s="19">
        <f>IF('Porcentaje de Notas'!P73="","",('Porcentaje de Notas'!P73/100)*$P$3)</f>
        <v>1.4</v>
      </c>
      <c r="Q73" s="19">
        <f>IF('Porcentaje de Notas'!Q73="","",('Porcentaje de Notas'!Q73/100)*$Q$3)</f>
        <v>0</v>
      </c>
      <c r="R73" s="19">
        <f>IF('Porcentaje de Notas'!R73="","",('Porcentaje de Notas'!R73/100)*$R$3)</f>
        <v>0</v>
      </c>
      <c r="S73" s="19">
        <f>IF('Porcentaje de Notas'!S73="","",('Porcentaje de Notas'!S73/100)*$S$3)</f>
        <v>0</v>
      </c>
      <c r="T73" s="49">
        <f t="shared" si="1"/>
        <v>9.2999999999999989</v>
      </c>
    </row>
    <row r="74" spans="3:20" x14ac:dyDescent="0.35">
      <c r="C74" s="19">
        <v>70</v>
      </c>
      <c r="D74" s="19">
        <v>202532062</v>
      </c>
      <c r="E74" s="20" t="s">
        <v>72</v>
      </c>
      <c r="F74" s="31">
        <f>IF('Porcentaje de Notas'!F74="","",('Porcentaje de Notas'!F74/100)*$F$3)</f>
        <v>0</v>
      </c>
      <c r="G74" s="19">
        <f>IF('Porcentaje de Notas'!G74="","",('Porcentaje de Notas'!G74/100)*$G$3)</f>
        <v>0</v>
      </c>
      <c r="H74" s="19">
        <f>IF('Porcentaje de Notas'!H74="","",('Porcentaje de Notas'!H74/100)*$H$3)</f>
        <v>0.5</v>
      </c>
      <c r="I74" s="32">
        <f>IF('Porcentaje de Notas'!I74="","",('Porcentaje de Notas'!I74/100)*$I$3)</f>
        <v>0</v>
      </c>
      <c r="J74" s="31">
        <f>IF('Porcentaje de Notas'!J74="","",('Porcentaje de Notas'!J74/100)*$J$3)</f>
        <v>0.85</v>
      </c>
      <c r="K74" s="19">
        <f>IF('Porcentaje de Notas'!K74="","",('Porcentaje de Notas'!K74/100)*$K$3)</f>
        <v>1</v>
      </c>
      <c r="L74" s="19">
        <f>IF('Porcentaje de Notas'!L74="","",('Porcentaje de Notas'!L74/100)*$L$3)</f>
        <v>1</v>
      </c>
      <c r="M74" s="19">
        <f>IF('Porcentaje de Notas'!M74="","",('Porcentaje de Notas'!M74/100)*$M$3)</f>
        <v>1.5</v>
      </c>
      <c r="N74" s="19">
        <f>IF('Porcentaje de Notas'!N74="","",('Porcentaje de Notas'!N74/100)*$N$3)</f>
        <v>1</v>
      </c>
      <c r="O74" s="19">
        <f>IF('Porcentaje de Notas'!O74="","",('Porcentaje de Notas'!O74/100)*$O$3)</f>
        <v>0</v>
      </c>
      <c r="P74" s="19">
        <f>IF('Porcentaje de Notas'!P74="","",('Porcentaje de Notas'!P74/100)*$P$3)</f>
        <v>0.4</v>
      </c>
      <c r="Q74" s="19">
        <f>IF('Porcentaje de Notas'!Q74="","",('Porcentaje de Notas'!Q74/100)*$Q$3)</f>
        <v>1</v>
      </c>
      <c r="R74" s="19">
        <f>IF('Porcentaje de Notas'!R74="","",('Porcentaje de Notas'!R74/100)*$R$3)</f>
        <v>1.5</v>
      </c>
      <c r="S74" s="19">
        <f>IF('Porcentaje de Notas'!S74="","",('Porcentaje de Notas'!S74/100)*$S$3)</f>
        <v>5</v>
      </c>
      <c r="T74" s="49">
        <f t="shared" si="1"/>
        <v>13.75</v>
      </c>
    </row>
    <row r="75" spans="3:20" x14ac:dyDescent="0.35">
      <c r="C75" s="19">
        <v>71</v>
      </c>
      <c r="D75" s="19">
        <v>202532079</v>
      </c>
      <c r="E75" s="20" t="s">
        <v>73</v>
      </c>
      <c r="F75" s="31">
        <f>IF('Porcentaje de Notas'!F75="","",('Porcentaje de Notas'!F75/100)*$F$3)</f>
        <v>0</v>
      </c>
      <c r="G75" s="19">
        <f>IF('Porcentaje de Notas'!G75="","",('Porcentaje de Notas'!G75/100)*$G$3)</f>
        <v>0</v>
      </c>
      <c r="H75" s="19">
        <f>IF('Porcentaje de Notas'!H75="","",('Porcentaje de Notas'!H75/100)*$H$3)</f>
        <v>0.5</v>
      </c>
      <c r="I75" s="32">
        <f>IF('Porcentaje de Notas'!I75="","",('Porcentaje de Notas'!I75/100)*$I$3)</f>
        <v>0</v>
      </c>
      <c r="J75" s="31">
        <f>IF('Porcentaje de Notas'!J75="","",('Porcentaje de Notas'!J75/100)*$J$3)</f>
        <v>0</v>
      </c>
      <c r="K75" s="19">
        <f>IF('Porcentaje de Notas'!K75="","",('Porcentaje de Notas'!K75/100)*$K$3)</f>
        <v>0.5</v>
      </c>
      <c r="L75" s="19">
        <f>IF('Porcentaje de Notas'!L75="","",('Porcentaje de Notas'!L75/100)*$L$3)</f>
        <v>0</v>
      </c>
      <c r="M75" s="19">
        <f>IF('Porcentaje de Notas'!M75="","",('Porcentaje de Notas'!M75/100)*$M$3)</f>
        <v>0</v>
      </c>
      <c r="N75" s="19">
        <f>IF('Porcentaje de Notas'!N75="","",('Porcentaje de Notas'!N75/100)*$N$3)</f>
        <v>0</v>
      </c>
      <c r="O75" s="19">
        <f>IF('Porcentaje de Notas'!O75="","",('Porcentaje de Notas'!O75/100)*$O$3)</f>
        <v>0</v>
      </c>
      <c r="P75" s="19">
        <f>IF('Porcentaje de Notas'!P75="","",('Porcentaje de Notas'!P75/100)*$P$3)</f>
        <v>0</v>
      </c>
      <c r="Q75" s="19">
        <f>IF('Porcentaje de Notas'!Q75="","",('Porcentaje de Notas'!Q75/100)*$Q$3)</f>
        <v>0</v>
      </c>
      <c r="R75" s="19">
        <f>IF('Porcentaje de Notas'!R75="","",('Porcentaje de Notas'!R75/100)*$R$3)</f>
        <v>0</v>
      </c>
      <c r="S75" s="19">
        <f>IF('Porcentaje de Notas'!S75="","",('Porcentaje de Notas'!S75/100)*$S$3)</f>
        <v>0</v>
      </c>
      <c r="T75" s="49">
        <f t="shared" si="1"/>
        <v>1</v>
      </c>
    </row>
    <row r="76" spans="3:20" x14ac:dyDescent="0.35">
      <c r="C76" s="19">
        <v>72</v>
      </c>
      <c r="D76" s="19">
        <v>202530466</v>
      </c>
      <c r="E76" s="20" t="s">
        <v>74</v>
      </c>
      <c r="F76" s="31">
        <f>IF('Porcentaje de Notas'!F76="","",('Porcentaje de Notas'!F76/100)*$F$3)</f>
        <v>0.5</v>
      </c>
      <c r="G76" s="19">
        <f>IF('Porcentaje de Notas'!G76="","",('Porcentaje de Notas'!G76/100)*$G$3)</f>
        <v>0</v>
      </c>
      <c r="H76" s="19">
        <f>IF('Porcentaje de Notas'!H76="","",('Porcentaje de Notas'!H76/100)*$H$3)</f>
        <v>0.5</v>
      </c>
      <c r="I76" s="32">
        <f>IF('Porcentaje de Notas'!I76="","",('Porcentaje de Notas'!I76/100)*$I$3)</f>
        <v>0.5</v>
      </c>
      <c r="J76" s="31">
        <f>IF('Porcentaje de Notas'!J76="","",('Porcentaje de Notas'!J76/100)*$J$3)</f>
        <v>1</v>
      </c>
      <c r="K76" s="19">
        <f>IF('Porcentaje de Notas'!K76="","",('Porcentaje de Notas'!K76/100)*$K$3)</f>
        <v>1</v>
      </c>
      <c r="L76" s="19">
        <f>IF('Porcentaje de Notas'!L76="","",('Porcentaje de Notas'!L76/100)*$L$3)</f>
        <v>1</v>
      </c>
      <c r="M76" s="19">
        <f>IF('Porcentaje de Notas'!M76="","",('Porcentaje de Notas'!M76/100)*$M$3)</f>
        <v>1.5</v>
      </c>
      <c r="N76" s="19">
        <f>IF('Porcentaje de Notas'!N76="","",('Porcentaje de Notas'!N76/100)*$N$3)</f>
        <v>2</v>
      </c>
      <c r="O76" s="19">
        <f>IF('Porcentaje de Notas'!O76="","",('Porcentaje de Notas'!O76/100)*$O$3)</f>
        <v>2</v>
      </c>
      <c r="P76" s="19">
        <f>IF('Porcentaje de Notas'!P76="","",('Porcentaje de Notas'!P76/100)*$P$3)</f>
        <v>2</v>
      </c>
      <c r="Q76" s="19">
        <f>IF('Porcentaje de Notas'!Q76="","",('Porcentaje de Notas'!Q76/100)*$Q$3)</f>
        <v>1</v>
      </c>
      <c r="R76" s="19">
        <f>IF('Porcentaje de Notas'!R76="","",('Porcentaje de Notas'!R76/100)*$R$3)</f>
        <v>1.5</v>
      </c>
      <c r="S76" s="19">
        <f>IF('Porcentaje de Notas'!S76="","",('Porcentaje de Notas'!S76/100)*$S$3)</f>
        <v>5</v>
      </c>
      <c r="T76" s="49">
        <f t="shared" si="1"/>
        <v>19.5</v>
      </c>
    </row>
    <row r="77" spans="3:20" ht="15" thickBot="1" x14ac:dyDescent="0.4">
      <c r="C77" s="19">
        <v>73</v>
      </c>
      <c r="D77" s="19">
        <v>202030192</v>
      </c>
      <c r="E77" s="20" t="s">
        <v>75</v>
      </c>
      <c r="F77" s="33">
        <f>IF('Porcentaje de Notas'!F77="","",('Porcentaje de Notas'!F77/100)*$F$3)</f>
        <v>0</v>
      </c>
      <c r="G77" s="34">
        <f>IF('Porcentaje de Notas'!G77="","",('Porcentaje de Notas'!G77/100)*$G$3)</f>
        <v>0</v>
      </c>
      <c r="H77" s="34">
        <f>IF('Porcentaje de Notas'!H77="","",('Porcentaje de Notas'!H77/100)*$H$3)</f>
        <v>0.25</v>
      </c>
      <c r="I77" s="35">
        <f>IF('Porcentaje de Notas'!I77="","",('Porcentaje de Notas'!I77/100)*$I$3)</f>
        <v>0.375</v>
      </c>
      <c r="J77" s="33">
        <f>IF('Porcentaje de Notas'!J77="","",('Porcentaje de Notas'!J77/100)*$J$3)</f>
        <v>0</v>
      </c>
      <c r="K77" s="34">
        <f>IF('Porcentaje de Notas'!K77="","",('Porcentaje de Notas'!K77/100)*$K$3)</f>
        <v>1</v>
      </c>
      <c r="L77" s="34">
        <f>IF('Porcentaje de Notas'!L77="","",('Porcentaje de Notas'!L77/100)*$L$3)</f>
        <v>1</v>
      </c>
      <c r="M77" s="34">
        <f>IF('Porcentaje de Notas'!M77="","",('Porcentaje de Notas'!M77/100)*$M$3)</f>
        <v>1.5</v>
      </c>
      <c r="N77" s="34">
        <f>IF('Porcentaje de Notas'!N77="","",('Porcentaje de Notas'!N77/100)*$N$3)</f>
        <v>2</v>
      </c>
      <c r="O77" s="34">
        <f>IF('Porcentaje de Notas'!O77="","",('Porcentaje de Notas'!O77/100)*$O$3)</f>
        <v>1.7</v>
      </c>
      <c r="P77" s="34">
        <f>IF('Porcentaje de Notas'!P77="","",('Porcentaje de Notas'!P77/100)*$P$3)</f>
        <v>0</v>
      </c>
      <c r="Q77" s="34">
        <f>IF('Porcentaje de Notas'!Q77="","",('Porcentaje de Notas'!Q77/100)*$Q$3)</f>
        <v>0</v>
      </c>
      <c r="R77" s="34">
        <f>IF('Porcentaje de Notas'!R77="","",('Porcentaje de Notas'!R77/100)*$R$3)</f>
        <v>0</v>
      </c>
      <c r="S77" s="34">
        <f>IF('Porcentaje de Notas'!S77="","",('Porcentaje de Notas'!S77/100)*$S$3)</f>
        <v>0</v>
      </c>
      <c r="T77" s="49">
        <f t="shared" si="1"/>
        <v>7.8250000000000002</v>
      </c>
    </row>
  </sheetData>
  <pageMargins left="0.25" right="0.25" top="0.75" bottom="0.75" header="0.3" footer="0.3"/>
  <pageSetup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235A-9D8A-4CEA-9FB5-B1E762F87E9A}">
  <dimension ref="C1:Y77"/>
  <sheetViews>
    <sheetView topLeftCell="A43" zoomScale="70" zoomScaleNormal="70" workbookViewId="0">
      <selection activeCell="G90" sqref="G90"/>
    </sheetView>
  </sheetViews>
  <sheetFormatPr baseColWidth="10" defaultRowHeight="14.5" x14ac:dyDescent="0.35"/>
  <cols>
    <col min="3" max="3" width="4.90625" customWidth="1"/>
    <col min="4" max="4" width="12.6328125" customWidth="1"/>
    <col min="5" max="5" width="33.90625" customWidth="1"/>
    <col min="6" max="9" width="7.453125" customWidth="1"/>
    <col min="10" max="20" width="9.6328125" customWidth="1"/>
  </cols>
  <sheetData>
    <row r="1" spans="3:25" ht="15" thickBot="1" x14ac:dyDescent="0.4"/>
    <row r="2" spans="3:25" s="1" customFormat="1" ht="103.5" x14ac:dyDescent="0.35">
      <c r="C2" s="36"/>
      <c r="D2" s="40"/>
      <c r="E2" s="40"/>
      <c r="F2" s="41" t="s">
        <v>81</v>
      </c>
      <c r="G2" s="41" t="s">
        <v>82</v>
      </c>
      <c r="H2" s="41" t="s">
        <v>83</v>
      </c>
      <c r="I2" s="41" t="s">
        <v>84</v>
      </c>
      <c r="J2" s="41" t="s">
        <v>85</v>
      </c>
      <c r="K2" s="41" t="s">
        <v>86</v>
      </c>
      <c r="L2" s="41" t="s">
        <v>87</v>
      </c>
      <c r="M2" s="41" t="s">
        <v>97</v>
      </c>
      <c r="N2" s="41" t="s">
        <v>88</v>
      </c>
      <c r="O2" s="41" t="s">
        <v>89</v>
      </c>
      <c r="P2" s="41" t="s">
        <v>90</v>
      </c>
      <c r="Q2" s="41" t="s">
        <v>91</v>
      </c>
      <c r="R2" s="41" t="s">
        <v>92</v>
      </c>
      <c r="S2" s="41" t="s">
        <v>93</v>
      </c>
      <c r="T2" s="15" t="s">
        <v>96</v>
      </c>
      <c r="V2" s="4"/>
      <c r="W2" s="4"/>
      <c r="X2" s="3"/>
      <c r="Y2" s="3"/>
    </row>
    <row r="3" spans="3:25" x14ac:dyDescent="0.35">
      <c r="C3" s="37"/>
      <c r="D3" s="7"/>
      <c r="E3" s="39" t="s">
        <v>98</v>
      </c>
      <c r="F3" s="8">
        <v>0.5</v>
      </c>
      <c r="G3" s="8">
        <v>0.5</v>
      </c>
      <c r="H3" s="8">
        <v>0.5</v>
      </c>
      <c r="I3" s="8">
        <v>0.5</v>
      </c>
      <c r="J3" s="8">
        <v>1</v>
      </c>
      <c r="K3" s="8">
        <v>1</v>
      </c>
      <c r="L3" s="8">
        <v>1</v>
      </c>
      <c r="M3" s="8">
        <v>1.5</v>
      </c>
      <c r="N3" s="8">
        <v>2</v>
      </c>
      <c r="O3" s="8">
        <v>2</v>
      </c>
      <c r="P3" s="8">
        <v>2</v>
      </c>
      <c r="Q3" s="8">
        <v>1</v>
      </c>
      <c r="R3" s="8">
        <v>1.5</v>
      </c>
      <c r="S3" s="8">
        <v>5</v>
      </c>
      <c r="T3" s="9">
        <f>SUM(F3:S3)</f>
        <v>20</v>
      </c>
    </row>
    <row r="4" spans="3:25" s="1" customFormat="1" x14ac:dyDescent="0.35">
      <c r="C4" s="38" t="s">
        <v>0</v>
      </c>
      <c r="D4" s="5" t="s">
        <v>1</v>
      </c>
      <c r="E4" s="5" t="s">
        <v>2</v>
      </c>
      <c r="F4" s="17" t="s">
        <v>76</v>
      </c>
      <c r="G4" s="17" t="s">
        <v>77</v>
      </c>
      <c r="H4" s="17" t="s">
        <v>78</v>
      </c>
      <c r="I4" s="17" t="s">
        <v>79</v>
      </c>
      <c r="J4" s="17" t="s">
        <v>76</v>
      </c>
      <c r="K4" s="17" t="s">
        <v>99</v>
      </c>
      <c r="L4" s="17" t="s">
        <v>100</v>
      </c>
      <c r="M4" s="17" t="s">
        <v>101</v>
      </c>
      <c r="N4" s="17" t="s">
        <v>80</v>
      </c>
      <c r="O4" s="17" t="s">
        <v>102</v>
      </c>
      <c r="P4" s="17" t="s">
        <v>103</v>
      </c>
      <c r="Q4" s="17" t="s">
        <v>104</v>
      </c>
      <c r="R4" s="17" t="s">
        <v>105</v>
      </c>
      <c r="S4" s="17" t="s">
        <v>94</v>
      </c>
      <c r="T4" s="16" t="s">
        <v>95</v>
      </c>
    </row>
    <row r="5" spans="3:25" x14ac:dyDescent="0.35">
      <c r="C5" s="10">
        <v>1</v>
      </c>
      <c r="D5" s="6">
        <v>202030174</v>
      </c>
      <c r="E5" s="6" t="s">
        <v>3</v>
      </c>
      <c r="F5" s="6">
        <f>[1]Hoja1!F5</f>
        <v>0</v>
      </c>
      <c r="G5" s="6">
        <f>[1]Hoja1!G5</f>
        <v>0</v>
      </c>
      <c r="H5" s="6">
        <f>[1]Hoja1!H5</f>
        <v>50</v>
      </c>
      <c r="I5" s="6">
        <f>[1]Hoja1!I5</f>
        <v>0</v>
      </c>
      <c r="J5" s="6">
        <f>[1]Hoja1!J5</f>
        <v>0</v>
      </c>
      <c r="K5" s="6">
        <f>[1]Hoja1!K5</f>
        <v>0</v>
      </c>
      <c r="L5" s="6">
        <f>[1]Hoja1!L5</f>
        <v>0</v>
      </c>
      <c r="M5" s="6">
        <f>[1]Hoja1!M5</f>
        <v>100</v>
      </c>
      <c r="N5" s="6">
        <f>[1]Hoja1!N5</f>
        <v>0</v>
      </c>
      <c r="O5" s="6">
        <f>[1]Hoja1!O5</f>
        <v>0</v>
      </c>
      <c r="P5" s="6">
        <f>[1]Hoja1!P5</f>
        <v>100</v>
      </c>
      <c r="Q5" s="6">
        <f>[1]Hoja1!Q5</f>
        <v>0</v>
      </c>
      <c r="R5" s="6">
        <f>[1]Hoja1!R5</f>
        <v>0</v>
      </c>
      <c r="S5" s="6">
        <f>[1]Hoja1!S5</f>
        <v>0</v>
      </c>
      <c r="T5" s="11"/>
    </row>
    <row r="6" spans="3:25" x14ac:dyDescent="0.35">
      <c r="C6" s="10">
        <v>2</v>
      </c>
      <c r="D6" s="6">
        <v>202032032</v>
      </c>
      <c r="E6" s="6" t="s">
        <v>4</v>
      </c>
      <c r="F6" s="6">
        <f>[1]Hoja1!F6</f>
        <v>100</v>
      </c>
      <c r="G6" s="6">
        <f>[1]Hoja1!G6</f>
        <v>0</v>
      </c>
      <c r="H6" s="6">
        <f>[1]Hoja1!H6</f>
        <v>50</v>
      </c>
      <c r="I6" s="6">
        <f>[1]Hoja1!I6</f>
        <v>100</v>
      </c>
      <c r="J6" s="6">
        <f>[1]Hoja1!J6</f>
        <v>100</v>
      </c>
      <c r="K6" s="6">
        <f>[1]Hoja1!K6</f>
        <v>100</v>
      </c>
      <c r="L6" s="6">
        <f>[1]Hoja1!L6</f>
        <v>100</v>
      </c>
      <c r="M6" s="6">
        <f>[1]Hoja1!M6</f>
        <v>100</v>
      </c>
      <c r="N6" s="6">
        <f>[1]Hoja1!N6</f>
        <v>80</v>
      </c>
      <c r="O6" s="6">
        <f>[1]Hoja1!O6</f>
        <v>100</v>
      </c>
      <c r="P6" s="6">
        <f>[1]Hoja1!P6</f>
        <v>100</v>
      </c>
      <c r="Q6" s="6">
        <f>[1]Hoja1!Q6</f>
        <v>100</v>
      </c>
      <c r="R6" s="6">
        <f>[1]Hoja1!R6</f>
        <v>100</v>
      </c>
      <c r="S6" s="6">
        <f>[1]Hoja1!S6</f>
        <v>100</v>
      </c>
      <c r="T6" s="11"/>
    </row>
    <row r="7" spans="3:25" x14ac:dyDescent="0.35">
      <c r="C7" s="10">
        <v>3</v>
      </c>
      <c r="D7" s="6">
        <v>202231116</v>
      </c>
      <c r="E7" s="6" t="s">
        <v>5</v>
      </c>
      <c r="F7" s="6">
        <f>[1]Hoja1!F7</f>
        <v>100</v>
      </c>
      <c r="G7" s="6">
        <f>[1]Hoja1!G7</f>
        <v>0</v>
      </c>
      <c r="H7" s="6">
        <f>[1]Hoja1!H7</f>
        <v>100</v>
      </c>
      <c r="I7" s="6">
        <f>[1]Hoja1!I7</f>
        <v>0</v>
      </c>
      <c r="J7" s="6">
        <f>[1]Hoja1!J7</f>
        <v>85</v>
      </c>
      <c r="K7" s="6">
        <f>[1]Hoja1!K7</f>
        <v>100</v>
      </c>
      <c r="L7" s="6">
        <f>[1]Hoja1!L7</f>
        <v>100</v>
      </c>
      <c r="M7" s="6">
        <f>[1]Hoja1!M7</f>
        <v>100</v>
      </c>
      <c r="N7" s="6">
        <f>[1]Hoja1!N7</f>
        <v>70</v>
      </c>
      <c r="O7" s="6">
        <f>[1]Hoja1!O7</f>
        <v>0</v>
      </c>
      <c r="P7" s="6">
        <f>[1]Hoja1!P7</f>
        <v>85</v>
      </c>
      <c r="Q7" s="6">
        <f>[1]Hoja1!Q7</f>
        <v>80</v>
      </c>
      <c r="R7" s="6">
        <f>[1]Hoja1!R7</f>
        <v>0</v>
      </c>
      <c r="S7" s="6">
        <f>[1]Hoja1!S7</f>
        <v>100</v>
      </c>
      <c r="T7" s="11"/>
    </row>
    <row r="8" spans="3:25" x14ac:dyDescent="0.35">
      <c r="C8" s="10">
        <v>4</v>
      </c>
      <c r="D8" s="6">
        <v>202330276</v>
      </c>
      <c r="E8" s="6" t="s">
        <v>6</v>
      </c>
      <c r="F8" s="6">
        <f>[1]Hoja1!F8</f>
        <v>0</v>
      </c>
      <c r="G8" s="6">
        <f>[1]Hoja1!G8</f>
        <v>0</v>
      </c>
      <c r="H8" s="6">
        <f>[1]Hoja1!H8</f>
        <v>0</v>
      </c>
      <c r="I8" s="6">
        <f>[1]Hoja1!I8</f>
        <v>0</v>
      </c>
      <c r="J8" s="6">
        <f>[1]Hoja1!J8</f>
        <v>0</v>
      </c>
      <c r="K8" s="6">
        <f>[1]Hoja1!K8</f>
        <v>0</v>
      </c>
      <c r="L8" s="6">
        <f>[1]Hoja1!L8</f>
        <v>0</v>
      </c>
      <c r="M8" s="6">
        <f>[1]Hoja1!M8</f>
        <v>0</v>
      </c>
      <c r="N8" s="6">
        <f>[1]Hoja1!N8</f>
        <v>0</v>
      </c>
      <c r="O8" s="6">
        <f>[1]Hoja1!O8</f>
        <v>0</v>
      </c>
      <c r="P8" s="6">
        <f>[1]Hoja1!P8</f>
        <v>0</v>
      </c>
      <c r="Q8" s="6">
        <f>[1]Hoja1!Q8</f>
        <v>0</v>
      </c>
      <c r="R8" s="6">
        <f>[1]Hoja1!R8</f>
        <v>0</v>
      </c>
      <c r="S8" s="6">
        <f>[1]Hoja1!S8</f>
        <v>0</v>
      </c>
      <c r="T8" s="11"/>
    </row>
    <row r="9" spans="3:25" x14ac:dyDescent="0.35">
      <c r="C9" s="10">
        <v>5</v>
      </c>
      <c r="D9" s="6">
        <v>202331587</v>
      </c>
      <c r="E9" s="6" t="s">
        <v>7</v>
      </c>
      <c r="F9" s="6">
        <f>[1]Hoja1!F9</f>
        <v>0</v>
      </c>
      <c r="G9" s="6">
        <f>[1]Hoja1!G9</f>
        <v>0</v>
      </c>
      <c r="H9" s="6">
        <f>[1]Hoja1!H9</f>
        <v>100</v>
      </c>
      <c r="I9" s="6">
        <f>[1]Hoja1!I9</f>
        <v>90</v>
      </c>
      <c r="J9" s="6">
        <f>[1]Hoja1!J9</f>
        <v>0</v>
      </c>
      <c r="K9" s="6">
        <f>[1]Hoja1!K9</f>
        <v>50</v>
      </c>
      <c r="L9" s="6">
        <f>[1]Hoja1!L9</f>
        <v>90</v>
      </c>
      <c r="M9" s="6">
        <f>[1]Hoja1!M9</f>
        <v>80</v>
      </c>
      <c r="N9" s="6">
        <f>[1]Hoja1!N9</f>
        <v>75</v>
      </c>
      <c r="O9" s="6">
        <f>[1]Hoja1!O9</f>
        <v>85</v>
      </c>
      <c r="P9" s="6">
        <f>[1]Hoja1!P9</f>
        <v>0</v>
      </c>
      <c r="Q9" s="6">
        <f>[1]Hoja1!Q9</f>
        <v>100</v>
      </c>
      <c r="R9" s="6">
        <f>[1]Hoja1!R9</f>
        <v>100</v>
      </c>
      <c r="S9" s="6">
        <f>[1]Hoja1!S9</f>
        <v>100</v>
      </c>
      <c r="T9" s="11"/>
    </row>
    <row r="10" spans="3:25" x14ac:dyDescent="0.35">
      <c r="C10" s="10">
        <v>6</v>
      </c>
      <c r="D10" s="6">
        <v>202332049</v>
      </c>
      <c r="E10" s="6" t="s">
        <v>8</v>
      </c>
      <c r="F10" s="6">
        <f>[1]Hoja1!F10</f>
        <v>0</v>
      </c>
      <c r="G10" s="6">
        <f>[1]Hoja1!G10</f>
        <v>0</v>
      </c>
      <c r="H10" s="6">
        <f>[1]Hoja1!H10</f>
        <v>0</v>
      </c>
      <c r="I10" s="6">
        <f>[1]Hoja1!I10</f>
        <v>0</v>
      </c>
      <c r="J10" s="6">
        <f>[1]Hoja1!J10</f>
        <v>0</v>
      </c>
      <c r="K10" s="6">
        <f>[1]Hoja1!K10</f>
        <v>0</v>
      </c>
      <c r="L10" s="6">
        <f>[1]Hoja1!L10</f>
        <v>0</v>
      </c>
      <c r="M10" s="6">
        <f>[1]Hoja1!M10</f>
        <v>0</v>
      </c>
      <c r="N10" s="6">
        <f>[1]Hoja1!N10</f>
        <v>0</v>
      </c>
      <c r="O10" s="6">
        <f>[1]Hoja1!O10</f>
        <v>0</v>
      </c>
      <c r="P10" s="6">
        <f>[1]Hoja1!P10</f>
        <v>0</v>
      </c>
      <c r="Q10" s="6">
        <f>[1]Hoja1!Q10</f>
        <v>0</v>
      </c>
      <c r="R10" s="6">
        <f>[1]Hoja1!R10</f>
        <v>0</v>
      </c>
      <c r="S10" s="6">
        <f>[1]Hoja1!S10</f>
        <v>0</v>
      </c>
      <c r="T10" s="11"/>
    </row>
    <row r="11" spans="3:25" x14ac:dyDescent="0.35">
      <c r="C11" s="10">
        <v>7</v>
      </c>
      <c r="D11" s="6">
        <v>202402553</v>
      </c>
      <c r="E11" s="6" t="s">
        <v>9</v>
      </c>
      <c r="F11" s="6">
        <f>[1]Hoja1!F11</f>
        <v>100</v>
      </c>
      <c r="G11" s="6">
        <f>[1]Hoja1!G11</f>
        <v>0</v>
      </c>
      <c r="H11" s="6">
        <f>[1]Hoja1!H11</f>
        <v>100</v>
      </c>
      <c r="I11" s="6">
        <f>[1]Hoja1!I11</f>
        <v>90</v>
      </c>
      <c r="J11" s="6">
        <f>[1]Hoja1!J11</f>
        <v>60</v>
      </c>
      <c r="K11" s="6">
        <f>[1]Hoja1!K11</f>
        <v>0</v>
      </c>
      <c r="L11" s="6">
        <f>[1]Hoja1!L11</f>
        <v>100</v>
      </c>
      <c r="M11" s="6">
        <f>[1]Hoja1!M11</f>
        <v>100</v>
      </c>
      <c r="N11" s="6">
        <f>[1]Hoja1!N11</f>
        <v>50</v>
      </c>
      <c r="O11" s="6">
        <f>[1]Hoja1!O11</f>
        <v>0</v>
      </c>
      <c r="P11" s="6">
        <f>[1]Hoja1!P11</f>
        <v>65</v>
      </c>
      <c r="Q11" s="6">
        <f>[1]Hoja1!Q11</f>
        <v>80</v>
      </c>
      <c r="R11" s="6">
        <f>[1]Hoja1!R11</f>
        <v>100</v>
      </c>
      <c r="S11" s="6">
        <f>[1]Hoja1!S11</f>
        <v>0</v>
      </c>
      <c r="T11" s="11"/>
    </row>
    <row r="12" spans="3:25" x14ac:dyDescent="0.35">
      <c r="C12" s="10">
        <v>8</v>
      </c>
      <c r="D12" s="6">
        <v>202430271</v>
      </c>
      <c r="E12" s="6" t="s">
        <v>10</v>
      </c>
      <c r="F12" s="6">
        <f>[1]Hoja1!F12</f>
        <v>0</v>
      </c>
      <c r="G12" s="6">
        <f>[1]Hoja1!G12</f>
        <v>100</v>
      </c>
      <c r="H12" s="6">
        <f>[1]Hoja1!H12</f>
        <v>0</v>
      </c>
      <c r="I12" s="6">
        <f>[1]Hoja1!I12</f>
        <v>0</v>
      </c>
      <c r="J12" s="6">
        <f>[1]Hoja1!J12</f>
        <v>100</v>
      </c>
      <c r="K12" s="6">
        <f>[1]Hoja1!K12</f>
        <v>100</v>
      </c>
      <c r="L12" s="6">
        <f>[1]Hoja1!L12</f>
        <v>0</v>
      </c>
      <c r="M12" s="6">
        <f>[1]Hoja1!M12</f>
        <v>0</v>
      </c>
      <c r="N12" s="6">
        <f>[1]Hoja1!N12</f>
        <v>0</v>
      </c>
      <c r="O12" s="6">
        <f>[1]Hoja1!O12</f>
        <v>0</v>
      </c>
      <c r="P12" s="6">
        <f>[1]Hoja1!P12</f>
        <v>70</v>
      </c>
      <c r="Q12" s="6">
        <f>[1]Hoja1!Q12</f>
        <v>80</v>
      </c>
      <c r="R12" s="6">
        <f>[1]Hoja1!R12</f>
        <v>0</v>
      </c>
      <c r="S12" s="6">
        <f>[1]Hoja1!S12</f>
        <v>100</v>
      </c>
      <c r="T12" s="11"/>
    </row>
    <row r="13" spans="3:25" x14ac:dyDescent="0.35">
      <c r="C13" s="10">
        <v>9</v>
      </c>
      <c r="D13" s="6">
        <v>202430532</v>
      </c>
      <c r="E13" s="6" t="s">
        <v>11</v>
      </c>
      <c r="F13" s="6">
        <f>[1]Hoja1!F13</f>
        <v>100</v>
      </c>
      <c r="G13" s="6">
        <f>[1]Hoja1!G13</f>
        <v>0</v>
      </c>
      <c r="H13" s="6">
        <f>[1]Hoja1!H13</f>
        <v>100</v>
      </c>
      <c r="I13" s="6">
        <f>[1]Hoja1!I13</f>
        <v>100</v>
      </c>
      <c r="J13" s="6">
        <f>[1]Hoja1!J13</f>
        <v>100</v>
      </c>
      <c r="K13" s="6">
        <f>[1]Hoja1!K13</f>
        <v>100</v>
      </c>
      <c r="L13" s="6">
        <f>[1]Hoja1!L13</f>
        <v>100</v>
      </c>
      <c r="M13" s="6">
        <f>[1]Hoja1!M13</f>
        <v>100</v>
      </c>
      <c r="N13" s="6">
        <f>[1]Hoja1!N13</f>
        <v>100</v>
      </c>
      <c r="O13" s="6">
        <f>[1]Hoja1!O13</f>
        <v>65</v>
      </c>
      <c r="P13" s="6">
        <f>[1]Hoja1!P13</f>
        <v>80</v>
      </c>
      <c r="Q13" s="6">
        <f>[1]Hoja1!Q13</f>
        <v>100</v>
      </c>
      <c r="R13" s="6">
        <f>[1]Hoja1!R13</f>
        <v>100</v>
      </c>
      <c r="S13" s="6">
        <f>[1]Hoja1!S13</f>
        <v>100</v>
      </c>
      <c r="T13" s="11"/>
    </row>
    <row r="14" spans="3:25" x14ac:dyDescent="0.35">
      <c r="C14" s="10">
        <v>10</v>
      </c>
      <c r="D14" s="6">
        <v>202430589</v>
      </c>
      <c r="E14" s="6" t="s">
        <v>12</v>
      </c>
      <c r="F14" s="6">
        <f>[1]Hoja1!F14</f>
        <v>0</v>
      </c>
      <c r="G14" s="6">
        <f>[1]Hoja1!G14</f>
        <v>0</v>
      </c>
      <c r="H14" s="6">
        <f>[1]Hoja1!H14</f>
        <v>0</v>
      </c>
      <c r="I14" s="6">
        <f>[1]Hoja1!I14</f>
        <v>100</v>
      </c>
      <c r="J14" s="6">
        <f>[1]Hoja1!J14</f>
        <v>75</v>
      </c>
      <c r="K14" s="6">
        <f>[1]Hoja1!K14</f>
        <v>90</v>
      </c>
      <c r="L14" s="6">
        <f>[1]Hoja1!L14</f>
        <v>100</v>
      </c>
      <c r="M14" s="6">
        <f>[1]Hoja1!M14</f>
        <v>80</v>
      </c>
      <c r="N14" s="6">
        <f>[1]Hoja1!N14</f>
        <v>70</v>
      </c>
      <c r="O14" s="6">
        <f>[1]Hoja1!O14</f>
        <v>0</v>
      </c>
      <c r="P14" s="6">
        <f>[1]Hoja1!P14</f>
        <v>0</v>
      </c>
      <c r="Q14" s="6">
        <f>[1]Hoja1!Q14</f>
        <v>0</v>
      </c>
      <c r="R14" s="6">
        <f>[1]Hoja1!R14</f>
        <v>0</v>
      </c>
      <c r="S14" s="6">
        <f>[1]Hoja1!S14</f>
        <v>100</v>
      </c>
      <c r="T14" s="11"/>
    </row>
    <row r="15" spans="3:25" x14ac:dyDescent="0.35">
      <c r="C15" s="10">
        <v>11</v>
      </c>
      <c r="D15" s="6">
        <v>202430602</v>
      </c>
      <c r="E15" s="6" t="s">
        <v>13</v>
      </c>
      <c r="F15" s="6">
        <f>[1]Hoja1!F15</f>
        <v>0</v>
      </c>
      <c r="G15" s="6">
        <f>[1]Hoja1!G15</f>
        <v>0</v>
      </c>
      <c r="H15" s="6">
        <f>[1]Hoja1!H15</f>
        <v>100</v>
      </c>
      <c r="I15" s="6">
        <f>[1]Hoja1!I15</f>
        <v>0</v>
      </c>
      <c r="J15" s="6">
        <f>[1]Hoja1!J15</f>
        <v>60</v>
      </c>
      <c r="K15" s="6">
        <f>[1]Hoja1!K15</f>
        <v>0</v>
      </c>
      <c r="L15" s="6">
        <f>[1]Hoja1!L15</f>
        <v>90</v>
      </c>
      <c r="M15" s="6">
        <f>[1]Hoja1!M15</f>
        <v>100</v>
      </c>
      <c r="N15" s="6">
        <f>[1]Hoja1!N15</f>
        <v>0</v>
      </c>
      <c r="O15" s="6">
        <f>[1]Hoja1!O15</f>
        <v>0</v>
      </c>
      <c r="P15" s="6">
        <f>[1]Hoja1!P15</f>
        <v>30</v>
      </c>
      <c r="Q15" s="6">
        <f>[1]Hoja1!Q15</f>
        <v>0</v>
      </c>
      <c r="R15" s="6">
        <f>[1]Hoja1!R15</f>
        <v>0</v>
      </c>
      <c r="S15" s="6">
        <f>[1]Hoja1!S15</f>
        <v>0</v>
      </c>
      <c r="T15" s="11"/>
    </row>
    <row r="16" spans="3:25" x14ac:dyDescent="0.35">
      <c r="C16" s="10">
        <v>12</v>
      </c>
      <c r="D16" s="6">
        <v>202430633</v>
      </c>
      <c r="E16" s="6" t="s">
        <v>14</v>
      </c>
      <c r="F16" s="6">
        <f>[1]Hoja1!F16</f>
        <v>100</v>
      </c>
      <c r="G16" s="6">
        <f>[1]Hoja1!G16</f>
        <v>0</v>
      </c>
      <c r="H16" s="6">
        <f>[1]Hoja1!H16</f>
        <v>100</v>
      </c>
      <c r="I16" s="6">
        <f>[1]Hoja1!I16</f>
        <v>100</v>
      </c>
      <c r="J16" s="6">
        <f>[1]Hoja1!J16</f>
        <v>100</v>
      </c>
      <c r="K16" s="6">
        <f>[1]Hoja1!K16</f>
        <v>100</v>
      </c>
      <c r="L16" s="6">
        <f>[1]Hoja1!L16</f>
        <v>100</v>
      </c>
      <c r="M16" s="6">
        <f>[1]Hoja1!M16</f>
        <v>100</v>
      </c>
      <c r="N16" s="6">
        <f>[1]Hoja1!N16</f>
        <v>50</v>
      </c>
      <c r="O16" s="6">
        <f>[1]Hoja1!O16</f>
        <v>100</v>
      </c>
      <c r="P16" s="6">
        <f>[1]Hoja1!P16</f>
        <v>50</v>
      </c>
      <c r="Q16" s="6">
        <f>[1]Hoja1!Q16</f>
        <v>0</v>
      </c>
      <c r="R16" s="6">
        <f>[1]Hoja1!R16</f>
        <v>0</v>
      </c>
      <c r="S16" s="6">
        <f>[1]Hoja1!S16</f>
        <v>100</v>
      </c>
      <c r="T16" s="11"/>
    </row>
    <row r="17" spans="3:20" x14ac:dyDescent="0.35">
      <c r="C17" s="10">
        <v>13</v>
      </c>
      <c r="D17" s="6">
        <v>202430645</v>
      </c>
      <c r="E17" s="6" t="s">
        <v>15</v>
      </c>
      <c r="F17" s="6">
        <f>[1]Hoja1!F17</f>
        <v>100</v>
      </c>
      <c r="G17" s="6">
        <f>[1]Hoja1!G17</f>
        <v>0</v>
      </c>
      <c r="H17" s="6">
        <f>[1]Hoja1!H17</f>
        <v>50</v>
      </c>
      <c r="I17" s="6">
        <f>[1]Hoja1!I17</f>
        <v>90</v>
      </c>
      <c r="J17" s="6">
        <f>[1]Hoja1!J17</f>
        <v>100</v>
      </c>
      <c r="K17" s="6">
        <f>[1]Hoja1!K17</f>
        <v>85</v>
      </c>
      <c r="L17" s="6">
        <f>[1]Hoja1!L17</f>
        <v>100</v>
      </c>
      <c r="M17" s="6">
        <f>[1]Hoja1!M17</f>
        <v>100</v>
      </c>
      <c r="N17" s="6">
        <f>[1]Hoja1!N17</f>
        <v>70</v>
      </c>
      <c r="O17" s="6">
        <f>[1]Hoja1!O17</f>
        <v>75</v>
      </c>
      <c r="P17" s="6">
        <f>[1]Hoja1!P17</f>
        <v>70</v>
      </c>
      <c r="Q17" s="6">
        <f>[1]Hoja1!Q17</f>
        <v>100</v>
      </c>
      <c r="R17" s="6">
        <f>[1]Hoja1!R17</f>
        <v>100</v>
      </c>
      <c r="S17" s="6">
        <f>[1]Hoja1!S17</f>
        <v>100</v>
      </c>
      <c r="T17" s="11"/>
    </row>
    <row r="18" spans="3:20" x14ac:dyDescent="0.35">
      <c r="C18" s="10">
        <v>14</v>
      </c>
      <c r="D18" s="6">
        <v>202430733</v>
      </c>
      <c r="E18" s="6" t="s">
        <v>16</v>
      </c>
      <c r="F18" s="6">
        <f>[1]Hoja1!F18</f>
        <v>100</v>
      </c>
      <c r="G18" s="6">
        <f>[1]Hoja1!G18</f>
        <v>0</v>
      </c>
      <c r="H18" s="6">
        <f>[1]Hoja1!H18</f>
        <v>50</v>
      </c>
      <c r="I18" s="6">
        <f>[1]Hoja1!I18</f>
        <v>100</v>
      </c>
      <c r="J18" s="6">
        <f>[1]Hoja1!J18</f>
        <v>85</v>
      </c>
      <c r="K18" s="6">
        <f>[1]Hoja1!K18</f>
        <v>100</v>
      </c>
      <c r="L18" s="6">
        <f>[1]Hoja1!L18</f>
        <v>100</v>
      </c>
      <c r="M18" s="6">
        <f>[1]Hoja1!M18</f>
        <v>100</v>
      </c>
      <c r="N18" s="6">
        <f>[1]Hoja1!N18</f>
        <v>50</v>
      </c>
      <c r="O18" s="6">
        <f>[1]Hoja1!O18</f>
        <v>100</v>
      </c>
      <c r="P18" s="6">
        <f>[1]Hoja1!P18</f>
        <v>100</v>
      </c>
      <c r="Q18" s="6">
        <f>[1]Hoja1!Q18</f>
        <v>100</v>
      </c>
      <c r="R18" s="6">
        <f>[1]Hoja1!R18</f>
        <v>100</v>
      </c>
      <c r="S18" s="6">
        <f>[1]Hoja1!S18</f>
        <v>100</v>
      </c>
      <c r="T18" s="11"/>
    </row>
    <row r="19" spans="3:20" x14ac:dyDescent="0.35">
      <c r="C19" s="10">
        <v>15</v>
      </c>
      <c r="D19" s="6">
        <v>202430804</v>
      </c>
      <c r="E19" s="6" t="s">
        <v>17</v>
      </c>
      <c r="F19" s="6">
        <f>[1]Hoja1!F19</f>
        <v>100</v>
      </c>
      <c r="G19" s="6">
        <f>[1]Hoja1!G19</f>
        <v>0</v>
      </c>
      <c r="H19" s="6">
        <f>[1]Hoja1!H19</f>
        <v>0</v>
      </c>
      <c r="I19" s="6">
        <f>[1]Hoja1!I19</f>
        <v>0</v>
      </c>
      <c r="J19" s="6">
        <f>[1]Hoja1!J19</f>
        <v>100</v>
      </c>
      <c r="K19" s="6">
        <f>[1]Hoja1!K19</f>
        <v>100</v>
      </c>
      <c r="L19" s="6">
        <f>[1]Hoja1!L19</f>
        <v>100</v>
      </c>
      <c r="M19" s="6">
        <f>[1]Hoja1!M19</f>
        <v>100</v>
      </c>
      <c r="N19" s="6">
        <f>[1]Hoja1!N19</f>
        <v>80</v>
      </c>
      <c r="O19" s="6">
        <f>[1]Hoja1!O19</f>
        <v>100</v>
      </c>
      <c r="P19" s="6">
        <f>[1]Hoja1!P19</f>
        <v>100</v>
      </c>
      <c r="Q19" s="6">
        <f>[1]Hoja1!Q19</f>
        <v>0</v>
      </c>
      <c r="R19" s="6">
        <f>[1]Hoja1!R19</f>
        <v>0</v>
      </c>
      <c r="S19" s="6">
        <f>[1]Hoja1!S19</f>
        <v>0</v>
      </c>
      <c r="T19" s="11"/>
    </row>
    <row r="20" spans="3:20" x14ac:dyDescent="0.35">
      <c r="C20" s="10">
        <v>16</v>
      </c>
      <c r="D20" s="6">
        <v>202430829</v>
      </c>
      <c r="E20" s="6" t="s">
        <v>18</v>
      </c>
      <c r="F20" s="6">
        <f>[1]Hoja1!F20</f>
        <v>100</v>
      </c>
      <c r="G20" s="6">
        <f>[1]Hoja1!G20</f>
        <v>100</v>
      </c>
      <c r="H20" s="6">
        <f>[1]Hoja1!H20</f>
        <v>100</v>
      </c>
      <c r="I20" s="6">
        <f>[1]Hoja1!I20</f>
        <v>90</v>
      </c>
      <c r="J20" s="6">
        <f>[1]Hoja1!J20</f>
        <v>85</v>
      </c>
      <c r="K20" s="6">
        <f>[1]Hoja1!K20</f>
        <v>100</v>
      </c>
      <c r="L20" s="6">
        <f>[1]Hoja1!L20</f>
        <v>100</v>
      </c>
      <c r="M20" s="6">
        <f>[1]Hoja1!M20</f>
        <v>100</v>
      </c>
      <c r="N20" s="6">
        <f>[1]Hoja1!N20</f>
        <v>70</v>
      </c>
      <c r="O20" s="6">
        <f>[1]Hoja1!O20</f>
        <v>85</v>
      </c>
      <c r="P20" s="6">
        <f>[1]Hoja1!P20</f>
        <v>85</v>
      </c>
      <c r="Q20" s="6">
        <f>[1]Hoja1!Q20</f>
        <v>80</v>
      </c>
      <c r="R20" s="6">
        <f>[1]Hoja1!R20</f>
        <v>100</v>
      </c>
      <c r="S20" s="6">
        <f>[1]Hoja1!S20</f>
        <v>100</v>
      </c>
      <c r="T20" s="11"/>
    </row>
    <row r="21" spans="3:20" x14ac:dyDescent="0.35">
      <c r="C21" s="10">
        <v>17</v>
      </c>
      <c r="D21" s="6">
        <v>202431169</v>
      </c>
      <c r="E21" s="6" t="s">
        <v>19</v>
      </c>
      <c r="F21" s="6">
        <f>[1]Hoja1!F21</f>
        <v>100</v>
      </c>
      <c r="G21" s="6">
        <f>[1]Hoja1!G21</f>
        <v>0</v>
      </c>
      <c r="H21" s="6">
        <f>[1]Hoja1!H21</f>
        <v>50</v>
      </c>
      <c r="I21" s="6">
        <f>[1]Hoja1!I21</f>
        <v>100</v>
      </c>
      <c r="J21" s="6">
        <f>[1]Hoja1!J21</f>
        <v>85</v>
      </c>
      <c r="K21" s="6">
        <f>[1]Hoja1!K21</f>
        <v>100</v>
      </c>
      <c r="L21" s="6">
        <f>[1]Hoja1!L21</f>
        <v>100</v>
      </c>
      <c r="M21" s="6">
        <f>[1]Hoja1!M21</f>
        <v>100</v>
      </c>
      <c r="N21" s="6">
        <f>[1]Hoja1!N21</f>
        <v>50</v>
      </c>
      <c r="O21" s="6">
        <f>[1]Hoja1!O21</f>
        <v>100</v>
      </c>
      <c r="P21" s="6">
        <f>[1]Hoja1!P21</f>
        <v>100</v>
      </c>
      <c r="Q21" s="6">
        <f>[1]Hoja1!Q21</f>
        <v>100</v>
      </c>
      <c r="R21" s="6">
        <f>[1]Hoja1!R21</f>
        <v>100</v>
      </c>
      <c r="S21" s="6">
        <f>[1]Hoja1!S21</f>
        <v>100</v>
      </c>
      <c r="T21" s="11"/>
    </row>
    <row r="22" spans="3:20" x14ac:dyDescent="0.35">
      <c r="C22" s="10">
        <v>18</v>
      </c>
      <c r="D22" s="6">
        <v>202431502</v>
      </c>
      <c r="E22" s="6" t="s">
        <v>20</v>
      </c>
      <c r="F22" s="6">
        <f>[1]Hoja1!F22</f>
        <v>100</v>
      </c>
      <c r="G22" s="6">
        <f>[1]Hoja1!G22</f>
        <v>100</v>
      </c>
      <c r="H22" s="6">
        <f>[1]Hoja1!H22</f>
        <v>100</v>
      </c>
      <c r="I22" s="6">
        <f>[1]Hoja1!I22</f>
        <v>100</v>
      </c>
      <c r="J22" s="6">
        <f>[1]Hoja1!J22</f>
        <v>100</v>
      </c>
      <c r="K22" s="6">
        <f>[1]Hoja1!K22</f>
        <v>100</v>
      </c>
      <c r="L22" s="6">
        <f>[1]Hoja1!L22</f>
        <v>100</v>
      </c>
      <c r="M22" s="6">
        <f>[1]Hoja1!M22</f>
        <v>100</v>
      </c>
      <c r="N22" s="6">
        <f>[1]Hoja1!N22</f>
        <v>50</v>
      </c>
      <c r="O22" s="6">
        <f>[1]Hoja1!O22</f>
        <v>90</v>
      </c>
      <c r="P22" s="6">
        <f>[1]Hoja1!P22</f>
        <v>45</v>
      </c>
      <c r="Q22" s="6">
        <f>[1]Hoja1!Q22</f>
        <v>80</v>
      </c>
      <c r="R22" s="6">
        <f>[1]Hoja1!R22</f>
        <v>100</v>
      </c>
      <c r="S22" s="6">
        <f>[1]Hoja1!S22</f>
        <v>100</v>
      </c>
      <c r="T22" s="11"/>
    </row>
    <row r="23" spans="3:20" x14ac:dyDescent="0.35">
      <c r="C23" s="10">
        <v>19</v>
      </c>
      <c r="D23" s="6">
        <v>202431726</v>
      </c>
      <c r="E23" s="6" t="s">
        <v>21</v>
      </c>
      <c r="F23" s="6">
        <f>[1]Hoja1!F23</f>
        <v>100</v>
      </c>
      <c r="G23" s="6">
        <f>[1]Hoja1!G23</f>
        <v>0</v>
      </c>
      <c r="H23" s="6">
        <f>[1]Hoja1!H23</f>
        <v>100</v>
      </c>
      <c r="I23" s="6">
        <f>[1]Hoja1!I23</f>
        <v>100</v>
      </c>
      <c r="J23" s="6">
        <f>[1]Hoja1!J23</f>
        <v>75</v>
      </c>
      <c r="K23" s="6">
        <f>[1]Hoja1!K23</f>
        <v>100</v>
      </c>
      <c r="L23" s="6">
        <f>[1]Hoja1!L23</f>
        <v>100</v>
      </c>
      <c r="M23" s="6">
        <f>[1]Hoja1!M23</f>
        <v>100</v>
      </c>
      <c r="N23" s="6">
        <f>[1]Hoja1!N23</f>
        <v>90</v>
      </c>
      <c r="O23" s="6">
        <f>[1]Hoja1!O23</f>
        <v>95</v>
      </c>
      <c r="P23" s="6">
        <f>[1]Hoja1!P23</f>
        <v>90</v>
      </c>
      <c r="Q23" s="6">
        <f>[1]Hoja1!Q23</f>
        <v>0</v>
      </c>
      <c r="R23" s="6">
        <f>[1]Hoja1!R23</f>
        <v>0</v>
      </c>
      <c r="S23" s="6">
        <f>[1]Hoja1!S23</f>
        <v>0</v>
      </c>
      <c r="T23" s="11"/>
    </row>
    <row r="24" spans="3:20" x14ac:dyDescent="0.35">
      <c r="C24" s="10">
        <v>20</v>
      </c>
      <c r="D24" s="6">
        <v>202431817</v>
      </c>
      <c r="E24" s="6" t="s">
        <v>22</v>
      </c>
      <c r="F24" s="6">
        <f>[1]Hoja1!F24</f>
        <v>0</v>
      </c>
      <c r="G24" s="6">
        <f>[1]Hoja1!G24</f>
        <v>0</v>
      </c>
      <c r="H24" s="6">
        <f>[1]Hoja1!H24</f>
        <v>100</v>
      </c>
      <c r="I24" s="6">
        <f>[1]Hoja1!I24</f>
        <v>100</v>
      </c>
      <c r="J24" s="6">
        <f>[1]Hoja1!J24</f>
        <v>0</v>
      </c>
      <c r="K24" s="6">
        <f>[1]Hoja1!K24</f>
        <v>0</v>
      </c>
      <c r="L24" s="6">
        <f>[1]Hoja1!L24</f>
        <v>100</v>
      </c>
      <c r="M24" s="6">
        <f>[1]Hoja1!M24</f>
        <v>0</v>
      </c>
      <c r="N24" s="6">
        <f>[1]Hoja1!N24</f>
        <v>0</v>
      </c>
      <c r="O24" s="6">
        <f>[1]Hoja1!O24</f>
        <v>15</v>
      </c>
      <c r="P24" s="6">
        <f>[1]Hoja1!P24</f>
        <v>90</v>
      </c>
      <c r="Q24" s="6">
        <f>[1]Hoja1!Q24</f>
        <v>100</v>
      </c>
      <c r="R24" s="6">
        <f>[1]Hoja1!R24</f>
        <v>0</v>
      </c>
      <c r="S24" s="6">
        <f>[1]Hoja1!S24</f>
        <v>100</v>
      </c>
      <c r="T24" s="11"/>
    </row>
    <row r="25" spans="3:20" x14ac:dyDescent="0.35">
      <c r="C25" s="10">
        <v>21</v>
      </c>
      <c r="D25" s="6">
        <v>202431819</v>
      </c>
      <c r="E25" s="6" t="s">
        <v>23</v>
      </c>
      <c r="F25" s="6">
        <f>[1]Hoja1!F25</f>
        <v>0</v>
      </c>
      <c r="G25" s="6">
        <f>[1]Hoja1!G25</f>
        <v>100</v>
      </c>
      <c r="H25" s="6">
        <f>[1]Hoja1!H25</f>
        <v>0</v>
      </c>
      <c r="I25" s="6">
        <f>[1]Hoja1!I25</f>
        <v>0</v>
      </c>
      <c r="J25" s="6">
        <f>[1]Hoja1!J25</f>
        <v>0</v>
      </c>
      <c r="K25" s="6">
        <f>[1]Hoja1!K25</f>
        <v>100</v>
      </c>
      <c r="L25" s="6">
        <f>[1]Hoja1!L25</f>
        <v>0</v>
      </c>
      <c r="M25" s="6">
        <f>[1]Hoja1!M25</f>
        <v>100</v>
      </c>
      <c r="N25" s="6">
        <f>[1]Hoja1!N25</f>
        <v>0</v>
      </c>
      <c r="O25" s="6">
        <f>[1]Hoja1!O25</f>
        <v>85</v>
      </c>
      <c r="P25" s="6">
        <f>[1]Hoja1!P25</f>
        <v>70</v>
      </c>
      <c r="Q25" s="6">
        <f>[1]Hoja1!Q25</f>
        <v>80</v>
      </c>
      <c r="R25" s="6">
        <f>[1]Hoja1!R25</f>
        <v>100</v>
      </c>
      <c r="S25" s="6">
        <f>[1]Hoja1!S25</f>
        <v>100</v>
      </c>
      <c r="T25" s="11"/>
    </row>
    <row r="26" spans="3:20" x14ac:dyDescent="0.35">
      <c r="C26" s="10">
        <v>22</v>
      </c>
      <c r="D26" s="6">
        <v>202431863</v>
      </c>
      <c r="E26" s="6" t="s">
        <v>24</v>
      </c>
      <c r="F26" s="6">
        <f>[1]Hoja1!F26</f>
        <v>100</v>
      </c>
      <c r="G26" s="6">
        <f>[1]Hoja1!G26</f>
        <v>0</v>
      </c>
      <c r="H26" s="6">
        <f>[1]Hoja1!H26</f>
        <v>0</v>
      </c>
      <c r="I26" s="6">
        <f>[1]Hoja1!I26</f>
        <v>100</v>
      </c>
      <c r="J26" s="6">
        <f>[1]Hoja1!J26</f>
        <v>50</v>
      </c>
      <c r="K26" s="6">
        <f>[1]Hoja1!K26</f>
        <v>50</v>
      </c>
      <c r="L26" s="6">
        <f>[1]Hoja1!L26</f>
        <v>50</v>
      </c>
      <c r="M26" s="6">
        <f>[1]Hoja1!M26</f>
        <v>100</v>
      </c>
      <c r="N26" s="6">
        <f>[1]Hoja1!N26</f>
        <v>25</v>
      </c>
      <c r="O26" s="6">
        <f>[1]Hoja1!O26</f>
        <v>25</v>
      </c>
      <c r="P26" s="6">
        <f>[1]Hoja1!P26</f>
        <v>100</v>
      </c>
      <c r="Q26" s="6">
        <f>[1]Hoja1!Q26</f>
        <v>80</v>
      </c>
      <c r="R26" s="6">
        <f>[1]Hoja1!R26</f>
        <v>0</v>
      </c>
      <c r="S26" s="6">
        <f>[1]Hoja1!S26</f>
        <v>100</v>
      </c>
      <c r="T26" s="11"/>
    </row>
    <row r="27" spans="3:20" x14ac:dyDescent="0.35">
      <c r="C27" s="10">
        <v>23</v>
      </c>
      <c r="D27" s="6">
        <v>202432080</v>
      </c>
      <c r="E27" s="6" t="s">
        <v>25</v>
      </c>
      <c r="F27" s="6">
        <f>[1]Hoja1!F27</f>
        <v>100</v>
      </c>
      <c r="G27" s="6">
        <f>[1]Hoja1!G27</f>
        <v>0</v>
      </c>
      <c r="H27" s="6">
        <f>[1]Hoja1!H27</f>
        <v>0</v>
      </c>
      <c r="I27" s="6">
        <f>[1]Hoja1!I27</f>
        <v>0</v>
      </c>
      <c r="J27" s="6">
        <f>[1]Hoja1!J27</f>
        <v>0</v>
      </c>
      <c r="K27" s="6">
        <f>[1]Hoja1!K27</f>
        <v>100</v>
      </c>
      <c r="L27" s="6">
        <f>[1]Hoja1!L27</f>
        <v>100</v>
      </c>
      <c r="M27" s="6">
        <f>[1]Hoja1!M27</f>
        <v>100</v>
      </c>
      <c r="N27" s="6">
        <f>[1]Hoja1!N27</f>
        <v>70</v>
      </c>
      <c r="O27" s="6">
        <f>[1]Hoja1!O27</f>
        <v>100</v>
      </c>
      <c r="P27" s="6">
        <f>[1]Hoja1!P27</f>
        <v>100</v>
      </c>
      <c r="Q27" s="6">
        <f>[1]Hoja1!Q27</f>
        <v>0</v>
      </c>
      <c r="R27" s="6">
        <f>[1]Hoja1!R27</f>
        <v>0</v>
      </c>
      <c r="S27" s="6">
        <f>[1]Hoja1!S27</f>
        <v>0</v>
      </c>
      <c r="T27" s="11"/>
    </row>
    <row r="28" spans="3:20" x14ac:dyDescent="0.35">
      <c r="C28" s="10">
        <v>24</v>
      </c>
      <c r="D28" s="6">
        <v>202432085</v>
      </c>
      <c r="E28" s="6" t="s">
        <v>26</v>
      </c>
      <c r="F28" s="6">
        <f>[1]Hoja1!F28</f>
        <v>100</v>
      </c>
      <c r="G28" s="6">
        <f>[1]Hoja1!G28</f>
        <v>0</v>
      </c>
      <c r="H28" s="6">
        <f>[1]Hoja1!H28</f>
        <v>100</v>
      </c>
      <c r="I28" s="6">
        <f>[1]Hoja1!I28</f>
        <v>100</v>
      </c>
      <c r="J28" s="6">
        <f>[1]Hoja1!J28</f>
        <v>75</v>
      </c>
      <c r="K28" s="6">
        <f>[1]Hoja1!K28</f>
        <v>100</v>
      </c>
      <c r="L28" s="6">
        <f>[1]Hoja1!L28</f>
        <v>90</v>
      </c>
      <c r="M28" s="6">
        <f>[1]Hoja1!M28</f>
        <v>100</v>
      </c>
      <c r="N28" s="6">
        <f>[1]Hoja1!N28</f>
        <v>70</v>
      </c>
      <c r="O28" s="6">
        <f>[1]Hoja1!O28</f>
        <v>95</v>
      </c>
      <c r="P28" s="6">
        <f>[1]Hoja1!P28</f>
        <v>90</v>
      </c>
      <c r="Q28" s="6">
        <f>[1]Hoja1!Q28</f>
        <v>0</v>
      </c>
      <c r="R28" s="6">
        <f>[1]Hoja1!R28</f>
        <v>0</v>
      </c>
      <c r="S28" s="6">
        <f>[1]Hoja1!S28</f>
        <v>0</v>
      </c>
      <c r="T28" s="11"/>
    </row>
    <row r="29" spans="3:20" x14ac:dyDescent="0.35">
      <c r="C29" s="10">
        <v>25</v>
      </c>
      <c r="D29" s="6">
        <v>202432137</v>
      </c>
      <c r="E29" s="6" t="s">
        <v>27</v>
      </c>
      <c r="F29" s="6">
        <f>[1]Hoja1!F29</f>
        <v>100</v>
      </c>
      <c r="G29" s="6">
        <f>[1]Hoja1!G29</f>
        <v>0</v>
      </c>
      <c r="H29" s="6">
        <f>[1]Hoja1!H29</f>
        <v>0</v>
      </c>
      <c r="I29" s="6">
        <f>[1]Hoja1!I29</f>
        <v>100</v>
      </c>
      <c r="J29" s="6">
        <f>[1]Hoja1!J29</f>
        <v>50</v>
      </c>
      <c r="K29" s="6">
        <f>[1]Hoja1!K29</f>
        <v>50</v>
      </c>
      <c r="L29" s="6">
        <f>[1]Hoja1!L29</f>
        <v>50</v>
      </c>
      <c r="M29" s="6">
        <f>[1]Hoja1!M29</f>
        <v>0</v>
      </c>
      <c r="N29" s="6">
        <f>[1]Hoja1!N29</f>
        <v>25</v>
      </c>
      <c r="O29" s="6">
        <f>[1]Hoja1!O29</f>
        <v>25</v>
      </c>
      <c r="P29" s="6">
        <f>[1]Hoja1!P29</f>
        <v>100</v>
      </c>
      <c r="Q29" s="6">
        <f>[1]Hoja1!Q29</f>
        <v>80</v>
      </c>
      <c r="R29" s="6">
        <f>[1]Hoja1!R29</f>
        <v>0</v>
      </c>
      <c r="S29" s="6">
        <f>[1]Hoja1!S29</f>
        <v>100</v>
      </c>
      <c r="T29" s="11"/>
    </row>
    <row r="30" spans="3:20" x14ac:dyDescent="0.35">
      <c r="C30" s="10">
        <v>26</v>
      </c>
      <c r="D30" s="6">
        <v>202530125</v>
      </c>
      <c r="E30" s="6" t="s">
        <v>28</v>
      </c>
      <c r="F30" s="6">
        <f>[1]Hoja1!F30</f>
        <v>0</v>
      </c>
      <c r="G30" s="6">
        <f>[1]Hoja1!G30</f>
        <v>0</v>
      </c>
      <c r="H30" s="6">
        <f>[1]Hoja1!H30</f>
        <v>100</v>
      </c>
      <c r="I30" s="6">
        <f>[1]Hoja1!I30</f>
        <v>100</v>
      </c>
      <c r="J30" s="6">
        <f>[1]Hoja1!J30</f>
        <v>100</v>
      </c>
      <c r="K30" s="6">
        <f>[1]Hoja1!K30</f>
        <v>75</v>
      </c>
      <c r="L30" s="6">
        <f>[1]Hoja1!L30</f>
        <v>90</v>
      </c>
      <c r="M30" s="6">
        <f>[1]Hoja1!M30</f>
        <v>100</v>
      </c>
      <c r="N30" s="6">
        <f>[1]Hoja1!N30</f>
        <v>80</v>
      </c>
      <c r="O30" s="6">
        <f>[1]Hoja1!O30</f>
        <v>90</v>
      </c>
      <c r="P30" s="6">
        <f>[1]Hoja1!P30</f>
        <v>60</v>
      </c>
      <c r="Q30" s="6">
        <f>[1]Hoja1!Q30</f>
        <v>0</v>
      </c>
      <c r="R30" s="6">
        <f>[1]Hoja1!R30</f>
        <v>0</v>
      </c>
      <c r="S30" s="6">
        <f>[1]Hoja1!S30</f>
        <v>0</v>
      </c>
      <c r="T30" s="11"/>
    </row>
    <row r="31" spans="3:20" x14ac:dyDescent="0.35">
      <c r="C31" s="10">
        <v>27</v>
      </c>
      <c r="D31" s="6">
        <v>202530235</v>
      </c>
      <c r="E31" s="6" t="s">
        <v>29</v>
      </c>
      <c r="F31" s="6">
        <f>[1]Hoja1!F31</f>
        <v>100</v>
      </c>
      <c r="G31" s="6">
        <f>[1]Hoja1!G31</f>
        <v>0</v>
      </c>
      <c r="H31" s="6">
        <f>[1]Hoja1!H31</f>
        <v>100</v>
      </c>
      <c r="I31" s="6">
        <f>[1]Hoja1!I31</f>
        <v>100</v>
      </c>
      <c r="J31" s="6">
        <f>[1]Hoja1!J31</f>
        <v>100</v>
      </c>
      <c r="K31" s="6">
        <f>[1]Hoja1!K31</f>
        <v>100</v>
      </c>
      <c r="L31" s="6">
        <f>[1]Hoja1!L31</f>
        <v>100</v>
      </c>
      <c r="M31" s="6">
        <f>[1]Hoja1!M31</f>
        <v>100</v>
      </c>
      <c r="N31" s="6">
        <f>[1]Hoja1!N31</f>
        <v>100</v>
      </c>
      <c r="O31" s="6">
        <f>[1]Hoja1!O31</f>
        <v>0</v>
      </c>
      <c r="P31" s="6">
        <f>[1]Hoja1!P31</f>
        <v>100</v>
      </c>
      <c r="Q31" s="6">
        <f>[1]Hoja1!Q31</f>
        <v>80</v>
      </c>
      <c r="R31" s="6">
        <f>[1]Hoja1!R31</f>
        <v>100</v>
      </c>
      <c r="S31" s="6">
        <f>[1]Hoja1!S31</f>
        <v>100</v>
      </c>
      <c r="T31" s="11"/>
    </row>
    <row r="32" spans="3:20" x14ac:dyDescent="0.35">
      <c r="C32" s="10">
        <v>28</v>
      </c>
      <c r="D32" s="6">
        <v>202530265</v>
      </c>
      <c r="E32" s="6" t="s">
        <v>30</v>
      </c>
      <c r="F32" s="6">
        <f>[1]Hoja1!F32</f>
        <v>100</v>
      </c>
      <c r="G32" s="6">
        <f>[1]Hoja1!G32</f>
        <v>100</v>
      </c>
      <c r="H32" s="6">
        <f>[1]Hoja1!H32</f>
        <v>100</v>
      </c>
      <c r="I32" s="6">
        <f>[1]Hoja1!I32</f>
        <v>100</v>
      </c>
      <c r="J32" s="6">
        <f>[1]Hoja1!J32</f>
        <v>100</v>
      </c>
      <c r="K32" s="6">
        <f>[1]Hoja1!K32</f>
        <v>90</v>
      </c>
      <c r="L32" s="6">
        <f>[1]Hoja1!L32</f>
        <v>100</v>
      </c>
      <c r="M32" s="6">
        <f>[1]Hoja1!M32</f>
        <v>100</v>
      </c>
      <c r="N32" s="6">
        <f>[1]Hoja1!N32</f>
        <v>70</v>
      </c>
      <c r="O32" s="6">
        <f>[1]Hoja1!O32</f>
        <v>100</v>
      </c>
      <c r="P32" s="6">
        <f>[1]Hoja1!P32</f>
        <v>100</v>
      </c>
      <c r="Q32" s="6">
        <f>[1]Hoja1!Q32</f>
        <v>90</v>
      </c>
      <c r="R32" s="6">
        <f>[1]Hoja1!R32</f>
        <v>100</v>
      </c>
      <c r="S32" s="6">
        <f>[1]Hoja1!S32</f>
        <v>100</v>
      </c>
      <c r="T32" s="11"/>
    </row>
    <row r="33" spans="3:20" x14ac:dyDescent="0.35">
      <c r="C33" s="10">
        <v>29</v>
      </c>
      <c r="D33" s="6">
        <v>202530315</v>
      </c>
      <c r="E33" s="6" t="s">
        <v>31</v>
      </c>
      <c r="F33" s="6">
        <f>[1]Hoja1!F33</f>
        <v>100</v>
      </c>
      <c r="G33" s="6">
        <f>[1]Hoja1!G33</f>
        <v>0</v>
      </c>
      <c r="H33" s="6">
        <f>[1]Hoja1!H33</f>
        <v>100</v>
      </c>
      <c r="I33" s="6">
        <f>[1]Hoja1!I33</f>
        <v>100</v>
      </c>
      <c r="J33" s="6">
        <f>[1]Hoja1!J33</f>
        <v>100</v>
      </c>
      <c r="K33" s="6">
        <f>[1]Hoja1!K33</f>
        <v>100</v>
      </c>
      <c r="L33" s="6">
        <f>[1]Hoja1!L33</f>
        <v>100</v>
      </c>
      <c r="M33" s="6">
        <f>[1]Hoja1!M33</f>
        <v>100</v>
      </c>
      <c r="N33" s="6">
        <f>[1]Hoja1!N33</f>
        <v>50</v>
      </c>
      <c r="O33" s="6">
        <f>[1]Hoja1!O33</f>
        <v>100</v>
      </c>
      <c r="P33" s="6">
        <f>[1]Hoja1!P33</f>
        <v>50</v>
      </c>
      <c r="Q33" s="6">
        <f>[1]Hoja1!Q33</f>
        <v>80</v>
      </c>
      <c r="R33" s="6">
        <f>[1]Hoja1!R33</f>
        <v>100</v>
      </c>
      <c r="S33" s="6">
        <f>[1]Hoja1!S33</f>
        <v>100</v>
      </c>
      <c r="T33" s="11"/>
    </row>
    <row r="34" spans="3:20" x14ac:dyDescent="0.35">
      <c r="C34" s="10">
        <v>30</v>
      </c>
      <c r="D34" s="6">
        <v>202530329</v>
      </c>
      <c r="E34" s="6" t="s">
        <v>32</v>
      </c>
      <c r="F34" s="6">
        <f>[1]Hoja1!F34</f>
        <v>100</v>
      </c>
      <c r="G34" s="6">
        <f>[1]Hoja1!G34</f>
        <v>0</v>
      </c>
      <c r="H34" s="6">
        <f>[1]Hoja1!H34</f>
        <v>100</v>
      </c>
      <c r="I34" s="6">
        <f>[1]Hoja1!I34</f>
        <v>0</v>
      </c>
      <c r="J34" s="6">
        <f>[1]Hoja1!J34</f>
        <v>100</v>
      </c>
      <c r="K34" s="6">
        <f>[1]Hoja1!K34</f>
        <v>95</v>
      </c>
      <c r="L34" s="6">
        <f>[1]Hoja1!L34</f>
        <v>100</v>
      </c>
      <c r="M34" s="6">
        <f>[1]Hoja1!M34</f>
        <v>100</v>
      </c>
      <c r="N34" s="6">
        <f>[1]Hoja1!N34</f>
        <v>70</v>
      </c>
      <c r="O34" s="6">
        <f>[1]Hoja1!O34</f>
        <v>85</v>
      </c>
      <c r="P34" s="6">
        <f>[1]Hoja1!P34</f>
        <v>65</v>
      </c>
      <c r="Q34" s="6">
        <f>[1]Hoja1!Q34</f>
        <v>80</v>
      </c>
      <c r="R34" s="6">
        <f>[1]Hoja1!R34</f>
        <v>100</v>
      </c>
      <c r="S34" s="6">
        <f>[1]Hoja1!S34</f>
        <v>100</v>
      </c>
      <c r="T34" s="11"/>
    </row>
    <row r="35" spans="3:20" x14ac:dyDescent="0.35">
      <c r="C35" s="10">
        <v>31</v>
      </c>
      <c r="D35" s="6">
        <v>202530349</v>
      </c>
      <c r="E35" s="6" t="s">
        <v>33</v>
      </c>
      <c r="F35" s="6">
        <f>[1]Hoja1!F35</f>
        <v>0</v>
      </c>
      <c r="G35" s="6">
        <f>[1]Hoja1!G35</f>
        <v>0</v>
      </c>
      <c r="H35" s="6">
        <f>[1]Hoja1!H35</f>
        <v>100</v>
      </c>
      <c r="I35" s="6">
        <f>[1]Hoja1!I35</f>
        <v>100</v>
      </c>
      <c r="J35" s="6">
        <f>[1]Hoja1!J35</f>
        <v>100</v>
      </c>
      <c r="K35" s="6">
        <f>[1]Hoja1!K35</f>
        <v>75</v>
      </c>
      <c r="L35" s="6">
        <f>[1]Hoja1!L35</f>
        <v>100</v>
      </c>
      <c r="M35" s="6">
        <f>[1]Hoja1!M35</f>
        <v>100</v>
      </c>
      <c r="N35" s="6">
        <f>[1]Hoja1!N35</f>
        <v>80</v>
      </c>
      <c r="O35" s="6">
        <f>[1]Hoja1!O35</f>
        <v>90</v>
      </c>
      <c r="P35" s="6">
        <f>[1]Hoja1!P35</f>
        <v>60</v>
      </c>
      <c r="Q35" s="6">
        <f>[1]Hoja1!Q35</f>
        <v>100</v>
      </c>
      <c r="R35" s="6">
        <f>[1]Hoja1!R35</f>
        <v>100</v>
      </c>
      <c r="S35" s="6">
        <f>[1]Hoja1!S35</f>
        <v>100</v>
      </c>
      <c r="T35" s="11"/>
    </row>
    <row r="36" spans="3:20" x14ac:dyDescent="0.35">
      <c r="C36" s="10">
        <v>32</v>
      </c>
      <c r="D36" s="6">
        <v>202530357</v>
      </c>
      <c r="E36" s="6" t="s">
        <v>34</v>
      </c>
      <c r="F36" s="6">
        <f>[1]Hoja1!F36</f>
        <v>100</v>
      </c>
      <c r="G36" s="6">
        <f>[1]Hoja1!G36</f>
        <v>0</v>
      </c>
      <c r="H36" s="6">
        <f>[1]Hoja1!H36</f>
        <v>100</v>
      </c>
      <c r="I36" s="6">
        <f>[1]Hoja1!I36</f>
        <v>100</v>
      </c>
      <c r="J36" s="6">
        <f>[1]Hoja1!J36</f>
        <v>100</v>
      </c>
      <c r="K36" s="6">
        <f>[1]Hoja1!K36</f>
        <v>100</v>
      </c>
      <c r="L36" s="6">
        <f>[1]Hoja1!L36</f>
        <v>100</v>
      </c>
      <c r="M36" s="6">
        <f>[1]Hoja1!M36</f>
        <v>100</v>
      </c>
      <c r="N36" s="6">
        <f>[1]Hoja1!N36</f>
        <v>80</v>
      </c>
      <c r="O36" s="6">
        <f>[1]Hoja1!O36</f>
        <v>65</v>
      </c>
      <c r="P36" s="6">
        <f>[1]Hoja1!P36</f>
        <v>80</v>
      </c>
      <c r="Q36" s="6">
        <f>[1]Hoja1!Q36</f>
        <v>100</v>
      </c>
      <c r="R36" s="6">
        <f>[1]Hoja1!R36</f>
        <v>100</v>
      </c>
      <c r="S36" s="6">
        <f>[1]Hoja1!S36</f>
        <v>100</v>
      </c>
      <c r="T36" s="11"/>
    </row>
    <row r="37" spans="3:20" x14ac:dyDescent="0.35">
      <c r="C37" s="10">
        <v>33</v>
      </c>
      <c r="D37" s="6">
        <v>202530381</v>
      </c>
      <c r="E37" s="6" t="s">
        <v>35</v>
      </c>
      <c r="F37" s="6">
        <f>[1]Hoja1!F37</f>
        <v>100</v>
      </c>
      <c r="G37" s="6">
        <f>[1]Hoja1!G37</f>
        <v>100</v>
      </c>
      <c r="H37" s="6">
        <f>[1]Hoja1!H37</f>
        <v>100</v>
      </c>
      <c r="I37" s="6">
        <f>[1]Hoja1!I37</f>
        <v>100</v>
      </c>
      <c r="J37" s="6">
        <f>[1]Hoja1!J37</f>
        <v>100</v>
      </c>
      <c r="K37" s="6">
        <f>[1]Hoja1!K37</f>
        <v>100</v>
      </c>
      <c r="L37" s="6">
        <f>[1]Hoja1!L37</f>
        <v>100</v>
      </c>
      <c r="M37" s="6">
        <f>[1]Hoja1!M37</f>
        <v>100</v>
      </c>
      <c r="N37" s="6">
        <f>[1]Hoja1!N37</f>
        <v>50</v>
      </c>
      <c r="O37" s="6">
        <f>[1]Hoja1!O37</f>
        <v>90</v>
      </c>
      <c r="P37" s="6">
        <f>[1]Hoja1!P37</f>
        <v>45</v>
      </c>
      <c r="Q37" s="6">
        <f>[1]Hoja1!Q37</f>
        <v>80</v>
      </c>
      <c r="R37" s="6">
        <f>[1]Hoja1!R37</f>
        <v>100</v>
      </c>
      <c r="S37" s="6">
        <f>[1]Hoja1!S37</f>
        <v>100</v>
      </c>
      <c r="T37" s="11"/>
    </row>
    <row r="38" spans="3:20" x14ac:dyDescent="0.35">
      <c r="C38" s="10">
        <v>34</v>
      </c>
      <c r="D38" s="6">
        <v>202530434</v>
      </c>
      <c r="E38" s="6" t="s">
        <v>36</v>
      </c>
      <c r="F38" s="6">
        <f>[1]Hoja1!F38</f>
        <v>100</v>
      </c>
      <c r="G38" s="6">
        <f>[1]Hoja1!G38</f>
        <v>0</v>
      </c>
      <c r="H38" s="6">
        <f>[1]Hoja1!H38</f>
        <v>100</v>
      </c>
      <c r="I38" s="6">
        <f>[1]Hoja1!I38</f>
        <v>90</v>
      </c>
      <c r="J38" s="6">
        <f>[1]Hoja1!J38</f>
        <v>75</v>
      </c>
      <c r="K38" s="6">
        <f>[1]Hoja1!K38</f>
        <v>55</v>
      </c>
      <c r="L38" s="6">
        <f>[1]Hoja1!L38</f>
        <v>100</v>
      </c>
      <c r="M38" s="6">
        <f>[1]Hoja1!M38</f>
        <v>100</v>
      </c>
      <c r="N38" s="6">
        <f>[1]Hoja1!N38</f>
        <v>90</v>
      </c>
      <c r="O38" s="6">
        <f>[1]Hoja1!O38</f>
        <v>75</v>
      </c>
      <c r="P38" s="6">
        <f>[1]Hoja1!P38</f>
        <v>100</v>
      </c>
      <c r="Q38" s="6">
        <f>[1]Hoja1!Q38</f>
        <v>95</v>
      </c>
      <c r="R38" s="6">
        <f>[1]Hoja1!R38</f>
        <v>100</v>
      </c>
      <c r="S38" s="6">
        <f>[1]Hoja1!S38</f>
        <v>100</v>
      </c>
      <c r="T38" s="11"/>
    </row>
    <row r="39" spans="3:20" x14ac:dyDescent="0.35">
      <c r="C39" s="10">
        <v>35</v>
      </c>
      <c r="D39" s="6">
        <v>202530446</v>
      </c>
      <c r="E39" s="6" t="s">
        <v>37</v>
      </c>
      <c r="F39" s="6">
        <f>[1]Hoja1!F39</f>
        <v>100</v>
      </c>
      <c r="G39" s="6">
        <f>[1]Hoja1!G39</f>
        <v>0</v>
      </c>
      <c r="H39" s="6">
        <f>[1]Hoja1!H39</f>
        <v>100</v>
      </c>
      <c r="I39" s="6">
        <f>[1]Hoja1!I39</f>
        <v>0</v>
      </c>
      <c r="J39" s="6">
        <f>[1]Hoja1!J39</f>
        <v>100</v>
      </c>
      <c r="K39" s="6">
        <f>[1]Hoja1!K39</f>
        <v>100</v>
      </c>
      <c r="L39" s="6">
        <f>[1]Hoja1!L39</f>
        <v>100</v>
      </c>
      <c r="M39" s="6">
        <f>[1]Hoja1!M39</f>
        <v>100</v>
      </c>
      <c r="N39" s="6">
        <f>[1]Hoja1!N39</f>
        <v>50</v>
      </c>
      <c r="O39" s="6">
        <f>[1]Hoja1!O39</f>
        <v>85</v>
      </c>
      <c r="P39" s="6">
        <f>[1]Hoja1!P39</f>
        <v>80</v>
      </c>
      <c r="Q39" s="6">
        <f>[1]Hoja1!Q39</f>
        <v>100</v>
      </c>
      <c r="R39" s="6">
        <f>[1]Hoja1!R39</f>
        <v>100</v>
      </c>
      <c r="S39" s="6">
        <f>[1]Hoja1!S39</f>
        <v>100</v>
      </c>
      <c r="T39" s="11"/>
    </row>
    <row r="40" spans="3:20" x14ac:dyDescent="0.35">
      <c r="C40" s="10">
        <v>36</v>
      </c>
      <c r="D40" s="6">
        <v>202530522</v>
      </c>
      <c r="E40" s="6" t="s">
        <v>38</v>
      </c>
      <c r="F40" s="6">
        <f>[1]Hoja1!F40</f>
        <v>100</v>
      </c>
      <c r="G40" s="6">
        <f>[1]Hoja1!G40</f>
        <v>0</v>
      </c>
      <c r="H40" s="6">
        <f>[1]Hoja1!H40</f>
        <v>100</v>
      </c>
      <c r="I40" s="6">
        <f>[1]Hoja1!I40</f>
        <v>0</v>
      </c>
      <c r="J40" s="6">
        <f>[1]Hoja1!J40</f>
        <v>100</v>
      </c>
      <c r="K40" s="6">
        <f>[1]Hoja1!K40</f>
        <v>100</v>
      </c>
      <c r="L40" s="6">
        <f>[1]Hoja1!L40</f>
        <v>100</v>
      </c>
      <c r="M40" s="6">
        <f>[1]Hoja1!M40</f>
        <v>100</v>
      </c>
      <c r="N40" s="6">
        <f>[1]Hoja1!N40</f>
        <v>50</v>
      </c>
      <c r="O40" s="6">
        <f>[1]Hoja1!O40</f>
        <v>80</v>
      </c>
      <c r="P40" s="6">
        <f>[1]Hoja1!P40</f>
        <v>80</v>
      </c>
      <c r="Q40" s="6">
        <f>[1]Hoja1!Q40</f>
        <v>0</v>
      </c>
      <c r="R40" s="6">
        <f>[1]Hoja1!R40</f>
        <v>0</v>
      </c>
      <c r="S40" s="6">
        <f>[1]Hoja1!S40</f>
        <v>0</v>
      </c>
      <c r="T40" s="11"/>
    </row>
    <row r="41" spans="3:20" x14ac:dyDescent="0.35">
      <c r="C41" s="10">
        <v>37</v>
      </c>
      <c r="D41" s="6">
        <v>202530613</v>
      </c>
      <c r="E41" s="6" t="s">
        <v>39</v>
      </c>
      <c r="F41" s="6">
        <f>[1]Hoja1!F41</f>
        <v>0</v>
      </c>
      <c r="G41" s="6">
        <f>[1]Hoja1!G41</f>
        <v>100</v>
      </c>
      <c r="H41" s="6">
        <f>[1]Hoja1!H41</f>
        <v>0</v>
      </c>
      <c r="I41" s="6">
        <f>[1]Hoja1!I41</f>
        <v>0</v>
      </c>
      <c r="J41" s="6">
        <f>[1]Hoja1!J41</f>
        <v>0</v>
      </c>
      <c r="K41" s="6">
        <f>[1]Hoja1!K41</f>
        <v>0</v>
      </c>
      <c r="L41" s="6">
        <f>[1]Hoja1!L41</f>
        <v>0</v>
      </c>
      <c r="M41" s="6">
        <f>[1]Hoja1!M41</f>
        <v>0</v>
      </c>
      <c r="N41" s="6">
        <f>[1]Hoja1!N41</f>
        <v>0</v>
      </c>
      <c r="O41" s="6">
        <f>[1]Hoja1!O41</f>
        <v>0</v>
      </c>
      <c r="P41" s="6">
        <f>[1]Hoja1!P41</f>
        <v>0</v>
      </c>
      <c r="Q41" s="6">
        <f>[1]Hoja1!Q41</f>
        <v>0</v>
      </c>
      <c r="R41" s="6">
        <f>[1]Hoja1!R41</f>
        <v>0</v>
      </c>
      <c r="S41" s="6">
        <f>[1]Hoja1!S41</f>
        <v>0</v>
      </c>
      <c r="T41" s="11"/>
    </row>
    <row r="42" spans="3:20" x14ac:dyDescent="0.35">
      <c r="C42" s="10">
        <v>38</v>
      </c>
      <c r="D42" s="6">
        <v>202530621</v>
      </c>
      <c r="E42" s="6" t="s">
        <v>40</v>
      </c>
      <c r="F42" s="6">
        <f>[1]Hoja1!F42</f>
        <v>100</v>
      </c>
      <c r="G42" s="6">
        <f>[1]Hoja1!G42</f>
        <v>0</v>
      </c>
      <c r="H42" s="6">
        <f>[1]Hoja1!H42</f>
        <v>100</v>
      </c>
      <c r="I42" s="6">
        <f>[1]Hoja1!I42</f>
        <v>90</v>
      </c>
      <c r="J42" s="6">
        <f>[1]Hoja1!J42</f>
        <v>70</v>
      </c>
      <c r="K42" s="6">
        <f>[1]Hoja1!K42</f>
        <v>100</v>
      </c>
      <c r="L42" s="6">
        <f>[1]Hoja1!L42</f>
        <v>100</v>
      </c>
      <c r="M42" s="6">
        <f>[1]Hoja1!M42</f>
        <v>100</v>
      </c>
      <c r="N42" s="6">
        <f>[1]Hoja1!N42</f>
        <v>70</v>
      </c>
      <c r="O42" s="6">
        <f>[1]Hoja1!O42</f>
        <v>60</v>
      </c>
      <c r="P42" s="6">
        <f>[1]Hoja1!P42</f>
        <v>65</v>
      </c>
      <c r="Q42" s="6">
        <f>[1]Hoja1!Q42</f>
        <v>80</v>
      </c>
      <c r="R42" s="6">
        <f>[1]Hoja1!R42</f>
        <v>100</v>
      </c>
      <c r="S42" s="6">
        <f>[1]Hoja1!S42</f>
        <v>100</v>
      </c>
      <c r="T42" s="11"/>
    </row>
    <row r="43" spans="3:20" x14ac:dyDescent="0.35">
      <c r="C43" s="10">
        <v>39</v>
      </c>
      <c r="D43" s="6">
        <v>202530673</v>
      </c>
      <c r="E43" s="6" t="s">
        <v>41</v>
      </c>
      <c r="F43" s="6">
        <f>[1]Hoja1!F43</f>
        <v>0</v>
      </c>
      <c r="G43" s="6">
        <f>[1]Hoja1!G43</f>
        <v>0</v>
      </c>
      <c r="H43" s="6">
        <f>[1]Hoja1!H43</f>
        <v>0</v>
      </c>
      <c r="I43" s="6">
        <f>[1]Hoja1!I43</f>
        <v>100</v>
      </c>
      <c r="J43" s="6">
        <f>[1]Hoja1!J43</f>
        <v>0</v>
      </c>
      <c r="K43" s="6">
        <f>[1]Hoja1!K43</f>
        <v>100</v>
      </c>
      <c r="L43" s="6">
        <f>[1]Hoja1!L43</f>
        <v>100</v>
      </c>
      <c r="M43" s="6">
        <f>[1]Hoja1!M43</f>
        <v>100</v>
      </c>
      <c r="N43" s="6">
        <f>[1]Hoja1!N43</f>
        <v>70</v>
      </c>
      <c r="O43" s="6">
        <f>[1]Hoja1!O43</f>
        <v>95</v>
      </c>
      <c r="P43" s="6">
        <f>[1]Hoja1!P43</f>
        <v>0</v>
      </c>
      <c r="Q43" s="6">
        <f>[1]Hoja1!Q43</f>
        <v>50</v>
      </c>
      <c r="R43" s="6">
        <f>[1]Hoja1!R43</f>
        <v>0</v>
      </c>
      <c r="S43" s="6">
        <f>[1]Hoja1!S43</f>
        <v>100</v>
      </c>
      <c r="T43" s="11"/>
    </row>
    <row r="44" spans="3:20" x14ac:dyDescent="0.35">
      <c r="C44" s="10">
        <v>40</v>
      </c>
      <c r="D44" s="6">
        <v>202530674</v>
      </c>
      <c r="E44" s="6" t="s">
        <v>42</v>
      </c>
      <c r="F44" s="6">
        <f>[1]Hoja1!F44</f>
        <v>0</v>
      </c>
      <c r="G44" s="6">
        <f>[1]Hoja1!G44</f>
        <v>0</v>
      </c>
      <c r="H44" s="6">
        <f>[1]Hoja1!H44</f>
        <v>50</v>
      </c>
      <c r="I44" s="6">
        <f>[1]Hoja1!I44</f>
        <v>0</v>
      </c>
      <c r="J44" s="6">
        <f>[1]Hoja1!J44</f>
        <v>100</v>
      </c>
      <c r="K44" s="6">
        <f>[1]Hoja1!K44</f>
        <v>100</v>
      </c>
      <c r="L44" s="6">
        <f>[1]Hoja1!L44</f>
        <v>90</v>
      </c>
      <c r="M44" s="6">
        <f>[1]Hoja1!M44</f>
        <v>100</v>
      </c>
      <c r="N44" s="6">
        <f>[1]Hoja1!N44</f>
        <v>50</v>
      </c>
      <c r="O44" s="6">
        <f>[1]Hoja1!O44</f>
        <v>85</v>
      </c>
      <c r="P44" s="6">
        <f>[1]Hoja1!P44</f>
        <v>70</v>
      </c>
      <c r="Q44" s="6">
        <f>[1]Hoja1!Q44</f>
        <v>0</v>
      </c>
      <c r="R44" s="6">
        <f>[1]Hoja1!R44</f>
        <v>0</v>
      </c>
      <c r="S44" s="6">
        <f>[1]Hoja1!S44</f>
        <v>0</v>
      </c>
      <c r="T44" s="11"/>
    </row>
    <row r="45" spans="3:20" x14ac:dyDescent="0.35">
      <c r="C45" s="10">
        <v>41</v>
      </c>
      <c r="D45" s="6">
        <v>202530677</v>
      </c>
      <c r="E45" s="6" t="s">
        <v>43</v>
      </c>
      <c r="F45" s="6">
        <f>[1]Hoja1!F45</f>
        <v>100</v>
      </c>
      <c r="G45" s="6">
        <f>[1]Hoja1!G45</f>
        <v>0</v>
      </c>
      <c r="H45" s="6">
        <f>[1]Hoja1!H45</f>
        <v>100</v>
      </c>
      <c r="I45" s="6">
        <f>[1]Hoja1!I45</f>
        <v>0</v>
      </c>
      <c r="J45" s="6">
        <f>[1]Hoja1!J45</f>
        <v>100</v>
      </c>
      <c r="K45" s="6">
        <f>[1]Hoja1!K45</f>
        <v>0</v>
      </c>
      <c r="L45" s="6">
        <f>[1]Hoja1!L45</f>
        <v>100</v>
      </c>
      <c r="M45" s="6">
        <f>[1]Hoja1!M45</f>
        <v>0</v>
      </c>
      <c r="N45" s="6">
        <f>[1]Hoja1!N45</f>
        <v>0</v>
      </c>
      <c r="O45" s="6">
        <f>[1]Hoja1!O45</f>
        <v>0</v>
      </c>
      <c r="P45" s="6">
        <f>[1]Hoja1!P45</f>
        <v>0</v>
      </c>
      <c r="Q45" s="6">
        <f>[1]Hoja1!Q45</f>
        <v>0</v>
      </c>
      <c r="R45" s="6">
        <f>[1]Hoja1!R45</f>
        <v>0</v>
      </c>
      <c r="S45" s="6">
        <f>[1]Hoja1!S45</f>
        <v>0</v>
      </c>
      <c r="T45" s="11"/>
    </row>
    <row r="46" spans="3:20" x14ac:dyDescent="0.35">
      <c r="C46" s="10">
        <v>42</v>
      </c>
      <c r="D46" s="6">
        <v>202530728</v>
      </c>
      <c r="E46" s="6" t="s">
        <v>44</v>
      </c>
      <c r="F46" s="6">
        <f>[1]Hoja1!F46</f>
        <v>100</v>
      </c>
      <c r="G46" s="6">
        <f>[1]Hoja1!G46</f>
        <v>0</v>
      </c>
      <c r="H46" s="6">
        <f>[1]Hoja1!H46</f>
        <v>100</v>
      </c>
      <c r="I46" s="6">
        <f>[1]Hoja1!I46</f>
        <v>0</v>
      </c>
      <c r="J46" s="6">
        <f>[1]Hoja1!J46</f>
        <v>100</v>
      </c>
      <c r="K46" s="6">
        <f>[1]Hoja1!K46</f>
        <v>100</v>
      </c>
      <c r="L46" s="6">
        <f>[1]Hoja1!L46</f>
        <v>0</v>
      </c>
      <c r="M46" s="6">
        <f>[1]Hoja1!M46</f>
        <v>100</v>
      </c>
      <c r="N46" s="6">
        <f>[1]Hoja1!N46</f>
        <v>70</v>
      </c>
      <c r="O46" s="6">
        <f>[1]Hoja1!O46</f>
        <v>85</v>
      </c>
      <c r="P46" s="6">
        <f>[1]Hoja1!P46</f>
        <v>50</v>
      </c>
      <c r="Q46" s="6">
        <f>[1]Hoja1!Q46</f>
        <v>80</v>
      </c>
      <c r="R46" s="6">
        <f>[1]Hoja1!R46</f>
        <v>100</v>
      </c>
      <c r="S46" s="6">
        <f>[1]Hoja1!S46</f>
        <v>100</v>
      </c>
      <c r="T46" s="11"/>
    </row>
    <row r="47" spans="3:20" x14ac:dyDescent="0.35">
      <c r="C47" s="10">
        <v>43</v>
      </c>
      <c r="D47" s="6">
        <v>202530843</v>
      </c>
      <c r="E47" s="6" t="s">
        <v>45</v>
      </c>
      <c r="F47" s="6">
        <f>[1]Hoja1!F47</f>
        <v>0</v>
      </c>
      <c r="G47" s="6">
        <f>[1]Hoja1!G47</f>
        <v>0</v>
      </c>
      <c r="H47" s="6">
        <f>[1]Hoja1!H47</f>
        <v>0</v>
      </c>
      <c r="I47" s="6">
        <f>[1]Hoja1!I47</f>
        <v>0</v>
      </c>
      <c r="J47" s="6">
        <f>[1]Hoja1!J47</f>
        <v>100</v>
      </c>
      <c r="K47" s="6">
        <f>[1]Hoja1!K47</f>
        <v>100</v>
      </c>
      <c r="L47" s="6">
        <f>[1]Hoja1!L47</f>
        <v>0</v>
      </c>
      <c r="M47" s="6">
        <f>[1]Hoja1!M47</f>
        <v>100</v>
      </c>
      <c r="N47" s="6">
        <f>[1]Hoja1!N47</f>
        <v>70</v>
      </c>
      <c r="O47" s="6">
        <f>[1]Hoja1!O47</f>
        <v>85</v>
      </c>
      <c r="P47" s="6">
        <f>[1]Hoja1!P47</f>
        <v>85</v>
      </c>
      <c r="Q47" s="6">
        <f>[1]Hoja1!Q47</f>
        <v>80</v>
      </c>
      <c r="R47" s="6">
        <f>[1]Hoja1!R47</f>
        <v>100</v>
      </c>
      <c r="S47" s="6">
        <f>[1]Hoja1!S47</f>
        <v>100</v>
      </c>
      <c r="T47" s="11"/>
    </row>
    <row r="48" spans="3:20" x14ac:dyDescent="0.35">
      <c r="C48" s="10">
        <v>44</v>
      </c>
      <c r="D48" s="6">
        <v>202530866</v>
      </c>
      <c r="E48" s="6" t="s">
        <v>46</v>
      </c>
      <c r="F48" s="6">
        <f>[1]Hoja1!F48</f>
        <v>100</v>
      </c>
      <c r="G48" s="6">
        <f>[1]Hoja1!G48</f>
        <v>0</v>
      </c>
      <c r="H48" s="6">
        <f>[1]Hoja1!H48</f>
        <v>100</v>
      </c>
      <c r="I48" s="6">
        <f>[1]Hoja1!I48</f>
        <v>90</v>
      </c>
      <c r="J48" s="6">
        <f>[1]Hoja1!J48</f>
        <v>100</v>
      </c>
      <c r="K48" s="6">
        <f>[1]Hoja1!K48</f>
        <v>100</v>
      </c>
      <c r="L48" s="6">
        <f>[1]Hoja1!L48</f>
        <v>90</v>
      </c>
      <c r="M48" s="6">
        <f>[1]Hoja1!M48</f>
        <v>100</v>
      </c>
      <c r="N48" s="6">
        <f>[1]Hoja1!N48</f>
        <v>50</v>
      </c>
      <c r="O48" s="6">
        <f>[1]Hoja1!O48</f>
        <v>85</v>
      </c>
      <c r="P48" s="6">
        <f>[1]Hoja1!P48</f>
        <v>55</v>
      </c>
      <c r="Q48" s="6">
        <f>[1]Hoja1!Q48</f>
        <v>100</v>
      </c>
      <c r="R48" s="6">
        <f>[1]Hoja1!R48</f>
        <v>100</v>
      </c>
      <c r="S48" s="6">
        <f>[1]Hoja1!S48</f>
        <v>100</v>
      </c>
      <c r="T48" s="11"/>
    </row>
    <row r="49" spans="3:20" x14ac:dyDescent="0.35">
      <c r="C49" s="10">
        <v>45</v>
      </c>
      <c r="D49" s="6">
        <v>202530917</v>
      </c>
      <c r="E49" s="6" t="s">
        <v>47</v>
      </c>
      <c r="F49" s="6">
        <f>[1]Hoja1!F49</f>
        <v>0</v>
      </c>
      <c r="G49" s="6">
        <f>[1]Hoja1!G49</f>
        <v>0</v>
      </c>
      <c r="H49" s="6">
        <f>[1]Hoja1!H49</f>
        <v>50</v>
      </c>
      <c r="I49" s="6">
        <f>[1]Hoja1!I49</f>
        <v>100</v>
      </c>
      <c r="J49" s="6">
        <f>[1]Hoja1!J49</f>
        <v>75</v>
      </c>
      <c r="K49" s="6">
        <f>[1]Hoja1!K49</f>
        <v>100</v>
      </c>
      <c r="L49" s="6">
        <f>[1]Hoja1!L49</f>
        <v>100</v>
      </c>
      <c r="M49" s="6">
        <f>[1]Hoja1!M49</f>
        <v>100</v>
      </c>
      <c r="N49" s="6">
        <f>[1]Hoja1!N49</f>
        <v>90</v>
      </c>
      <c r="O49" s="6">
        <f>[1]Hoja1!O49</f>
        <v>95</v>
      </c>
      <c r="P49" s="6">
        <f>[1]Hoja1!P49</f>
        <v>65</v>
      </c>
      <c r="Q49" s="6">
        <f>[1]Hoja1!Q49</f>
        <v>100</v>
      </c>
      <c r="R49" s="6">
        <f>[1]Hoja1!R49</f>
        <v>100</v>
      </c>
      <c r="S49" s="6">
        <f>[1]Hoja1!S49</f>
        <v>100</v>
      </c>
      <c r="T49" s="11"/>
    </row>
    <row r="50" spans="3:20" x14ac:dyDescent="0.35">
      <c r="C50" s="10">
        <v>46</v>
      </c>
      <c r="D50" s="6">
        <v>202531013</v>
      </c>
      <c r="E50" s="6" t="s">
        <v>48</v>
      </c>
      <c r="F50" s="6">
        <f>[1]Hoja1!F50</f>
        <v>100</v>
      </c>
      <c r="G50" s="6">
        <f>[1]Hoja1!G50</f>
        <v>0</v>
      </c>
      <c r="H50" s="6">
        <f>[1]Hoja1!H50</f>
        <v>100</v>
      </c>
      <c r="I50" s="6">
        <f>[1]Hoja1!I50</f>
        <v>90</v>
      </c>
      <c r="J50" s="6">
        <f>[1]Hoja1!J50</f>
        <v>100</v>
      </c>
      <c r="K50" s="6">
        <f>[1]Hoja1!K50</f>
        <v>75</v>
      </c>
      <c r="L50" s="6">
        <f>[1]Hoja1!L50</f>
        <v>100</v>
      </c>
      <c r="M50" s="6">
        <f>[1]Hoja1!M50</f>
        <v>100</v>
      </c>
      <c r="N50" s="6">
        <f>[1]Hoja1!N50</f>
        <v>100</v>
      </c>
      <c r="O50" s="6">
        <f>[1]Hoja1!O50</f>
        <v>90</v>
      </c>
      <c r="P50" s="6">
        <f>[1]Hoja1!P50</f>
        <v>70</v>
      </c>
      <c r="Q50" s="6">
        <f>[1]Hoja1!Q50</f>
        <v>100</v>
      </c>
      <c r="R50" s="6">
        <f>[1]Hoja1!R50</f>
        <v>100</v>
      </c>
      <c r="S50" s="6">
        <f>[1]Hoja1!S50</f>
        <v>100</v>
      </c>
      <c r="T50" s="11"/>
    </row>
    <row r="51" spans="3:20" x14ac:dyDescent="0.35">
      <c r="C51" s="10">
        <v>47</v>
      </c>
      <c r="D51" s="6">
        <v>202531019</v>
      </c>
      <c r="E51" s="6" t="s">
        <v>49</v>
      </c>
      <c r="F51" s="6">
        <f>[1]Hoja1!F51</f>
        <v>0</v>
      </c>
      <c r="G51" s="6">
        <f>[1]Hoja1!G51</f>
        <v>0</v>
      </c>
      <c r="H51" s="6">
        <f>[1]Hoja1!H51</f>
        <v>100</v>
      </c>
      <c r="I51" s="6">
        <f>[1]Hoja1!I51</f>
        <v>90</v>
      </c>
      <c r="J51" s="6">
        <f>[1]Hoja1!J51</f>
        <v>100</v>
      </c>
      <c r="K51" s="6">
        <f>[1]Hoja1!K51</f>
        <v>55</v>
      </c>
      <c r="L51" s="6">
        <f>[1]Hoja1!L51</f>
        <v>100</v>
      </c>
      <c r="M51" s="6">
        <f>[1]Hoja1!M51</f>
        <v>100</v>
      </c>
      <c r="N51" s="6">
        <f>[1]Hoja1!N51</f>
        <v>95</v>
      </c>
      <c r="O51" s="6">
        <f>[1]Hoja1!O51</f>
        <v>0</v>
      </c>
      <c r="P51" s="6">
        <f>[1]Hoja1!P51</f>
        <v>55</v>
      </c>
      <c r="Q51" s="6">
        <f>[1]Hoja1!Q51</f>
        <v>100</v>
      </c>
      <c r="R51" s="6">
        <f>[1]Hoja1!R51</f>
        <v>100</v>
      </c>
      <c r="S51" s="6">
        <f>[1]Hoja1!S51</f>
        <v>100</v>
      </c>
      <c r="T51" s="11"/>
    </row>
    <row r="52" spans="3:20" x14ac:dyDescent="0.35">
      <c r="C52" s="10">
        <v>48</v>
      </c>
      <c r="D52" s="6">
        <v>202531089</v>
      </c>
      <c r="E52" s="6" t="s">
        <v>50</v>
      </c>
      <c r="F52" s="6">
        <f>[1]Hoja1!F52</f>
        <v>100</v>
      </c>
      <c r="G52" s="6">
        <f>[1]Hoja1!G52</f>
        <v>0</v>
      </c>
      <c r="H52" s="6">
        <f>[1]Hoja1!H52</f>
        <v>100</v>
      </c>
      <c r="I52" s="6">
        <f>[1]Hoja1!I52</f>
        <v>90</v>
      </c>
      <c r="J52" s="6">
        <f>[1]Hoja1!J52</f>
        <v>70</v>
      </c>
      <c r="K52" s="6">
        <f>[1]Hoja1!K52</f>
        <v>100</v>
      </c>
      <c r="L52" s="6">
        <f>[1]Hoja1!L52</f>
        <v>90</v>
      </c>
      <c r="M52" s="6">
        <f>[1]Hoja1!M52</f>
        <v>100</v>
      </c>
      <c r="N52" s="6">
        <f>[1]Hoja1!N52</f>
        <v>50</v>
      </c>
      <c r="O52" s="6">
        <f>[1]Hoja1!O52</f>
        <v>85</v>
      </c>
      <c r="P52" s="6">
        <f>[1]Hoja1!P52</f>
        <v>55</v>
      </c>
      <c r="Q52" s="6">
        <f>[1]Hoja1!Q52</f>
        <v>100</v>
      </c>
      <c r="R52" s="6">
        <f>[1]Hoja1!R52</f>
        <v>100</v>
      </c>
      <c r="S52" s="6">
        <f>[1]Hoja1!S52</f>
        <v>100</v>
      </c>
      <c r="T52" s="11"/>
    </row>
    <row r="53" spans="3:20" x14ac:dyDescent="0.35">
      <c r="C53" s="10">
        <v>49</v>
      </c>
      <c r="D53" s="6">
        <v>202531127</v>
      </c>
      <c r="E53" s="6" t="s">
        <v>51</v>
      </c>
      <c r="F53" s="6">
        <f>[1]Hoja1!F53</f>
        <v>0</v>
      </c>
      <c r="G53" s="6">
        <f>[1]Hoja1!G53</f>
        <v>0</v>
      </c>
      <c r="H53" s="6">
        <f>[1]Hoja1!H53</f>
        <v>100</v>
      </c>
      <c r="I53" s="6">
        <f>[1]Hoja1!I53</f>
        <v>0</v>
      </c>
      <c r="J53" s="6">
        <f>[1]Hoja1!J53</f>
        <v>0</v>
      </c>
      <c r="K53" s="6">
        <f>[1]Hoja1!K53</f>
        <v>100</v>
      </c>
      <c r="L53" s="6">
        <f>[1]Hoja1!L53</f>
        <v>0</v>
      </c>
      <c r="M53" s="6">
        <f>[1]Hoja1!M53</f>
        <v>100</v>
      </c>
      <c r="N53" s="6">
        <f>[1]Hoja1!N53</f>
        <v>70</v>
      </c>
      <c r="O53" s="6">
        <f>[1]Hoja1!O53</f>
        <v>85</v>
      </c>
      <c r="P53" s="6">
        <f>[1]Hoja1!P53</f>
        <v>85</v>
      </c>
      <c r="Q53" s="6">
        <f>[1]Hoja1!Q53</f>
        <v>80</v>
      </c>
      <c r="R53" s="6">
        <f>[1]Hoja1!R53</f>
        <v>100</v>
      </c>
      <c r="S53" s="6">
        <f>[1]Hoja1!S53</f>
        <v>100</v>
      </c>
      <c r="T53" s="11"/>
    </row>
    <row r="54" spans="3:20" x14ac:dyDescent="0.35">
      <c r="C54" s="10">
        <v>50</v>
      </c>
      <c r="D54" s="6">
        <v>202531213</v>
      </c>
      <c r="E54" s="6" t="s">
        <v>52</v>
      </c>
      <c r="F54" s="6">
        <f>[1]Hoja1!F54</f>
        <v>100</v>
      </c>
      <c r="G54" s="6">
        <f>[1]Hoja1!G54</f>
        <v>100</v>
      </c>
      <c r="H54" s="6">
        <f>[1]Hoja1!H54</f>
        <v>100</v>
      </c>
      <c r="I54" s="6">
        <f>[1]Hoja1!I54</f>
        <v>90</v>
      </c>
      <c r="J54" s="6">
        <f>[1]Hoja1!J54</f>
        <v>100</v>
      </c>
      <c r="K54" s="6">
        <f>[1]Hoja1!K54</f>
        <v>90</v>
      </c>
      <c r="L54" s="6">
        <f>[1]Hoja1!L54</f>
        <v>100</v>
      </c>
      <c r="M54" s="6">
        <f>[1]Hoja1!M54</f>
        <v>100</v>
      </c>
      <c r="N54" s="6">
        <f>[1]Hoja1!N54</f>
        <v>80</v>
      </c>
      <c r="O54" s="6">
        <f>[1]Hoja1!O54</f>
        <v>100</v>
      </c>
      <c r="P54" s="6">
        <f>[1]Hoja1!P54</f>
        <v>100</v>
      </c>
      <c r="Q54" s="6">
        <f>[1]Hoja1!Q54</f>
        <v>90</v>
      </c>
      <c r="R54" s="6">
        <f>[1]Hoja1!R54</f>
        <v>100</v>
      </c>
      <c r="S54" s="6">
        <f>[1]Hoja1!S54</f>
        <v>100</v>
      </c>
      <c r="T54" s="11"/>
    </row>
    <row r="55" spans="3:20" x14ac:dyDescent="0.35">
      <c r="C55" s="10">
        <v>51</v>
      </c>
      <c r="D55" s="6">
        <v>202531219</v>
      </c>
      <c r="E55" s="6" t="s">
        <v>53</v>
      </c>
      <c r="F55" s="6">
        <f>[1]Hoja1!F55</f>
        <v>0</v>
      </c>
      <c r="G55" s="6">
        <f>[1]Hoja1!G55</f>
        <v>0</v>
      </c>
      <c r="H55" s="6">
        <f>[1]Hoja1!H55</f>
        <v>100</v>
      </c>
      <c r="I55" s="6">
        <f>[1]Hoja1!I55</f>
        <v>100</v>
      </c>
      <c r="J55" s="6">
        <f>[1]Hoja1!J55</f>
        <v>75</v>
      </c>
      <c r="K55" s="6">
        <f>[1]Hoja1!K55</f>
        <v>90</v>
      </c>
      <c r="L55" s="6">
        <f>[1]Hoja1!L55</f>
        <v>100</v>
      </c>
      <c r="M55" s="6">
        <f>[1]Hoja1!M55</f>
        <v>80</v>
      </c>
      <c r="N55" s="6">
        <f>[1]Hoja1!N55</f>
        <v>70</v>
      </c>
      <c r="O55" s="6">
        <f>[1]Hoja1!O55</f>
        <v>45</v>
      </c>
      <c r="P55" s="6">
        <f>[1]Hoja1!P55</f>
        <v>0</v>
      </c>
      <c r="Q55" s="6">
        <f>[1]Hoja1!Q55</f>
        <v>80</v>
      </c>
      <c r="R55" s="6">
        <f>[1]Hoja1!R55</f>
        <v>100</v>
      </c>
      <c r="S55" s="6">
        <f>[1]Hoja1!S55</f>
        <v>100</v>
      </c>
      <c r="T55" s="11"/>
    </row>
    <row r="56" spans="3:20" x14ac:dyDescent="0.35">
      <c r="C56" s="10">
        <v>52</v>
      </c>
      <c r="D56" s="6">
        <v>202531289</v>
      </c>
      <c r="E56" s="6" t="s">
        <v>54</v>
      </c>
      <c r="F56" s="6">
        <f>[1]Hoja1!F56</f>
        <v>100</v>
      </c>
      <c r="G56" s="6">
        <f>[1]Hoja1!G56</f>
        <v>0</v>
      </c>
      <c r="H56" s="6">
        <f>[1]Hoja1!H56</f>
        <v>100</v>
      </c>
      <c r="I56" s="6">
        <f>[1]Hoja1!I56</f>
        <v>100</v>
      </c>
      <c r="J56" s="6">
        <f>[1]Hoja1!J56</f>
        <v>85</v>
      </c>
      <c r="K56" s="6">
        <f>[1]Hoja1!K56</f>
        <v>100</v>
      </c>
      <c r="L56" s="6">
        <f>[1]Hoja1!L56</f>
        <v>100</v>
      </c>
      <c r="M56" s="6">
        <f>[1]Hoja1!M56</f>
        <v>100</v>
      </c>
      <c r="N56" s="6">
        <f>[1]Hoja1!N56</f>
        <v>100</v>
      </c>
      <c r="O56" s="6">
        <f>[1]Hoja1!O56</f>
        <v>95</v>
      </c>
      <c r="P56" s="6">
        <f>[1]Hoja1!P56</f>
        <v>85</v>
      </c>
      <c r="Q56" s="6">
        <f>[1]Hoja1!Q56</f>
        <v>95</v>
      </c>
      <c r="R56" s="6">
        <f>[1]Hoja1!R56</f>
        <v>0</v>
      </c>
      <c r="S56" s="6">
        <f>[1]Hoja1!S56</f>
        <v>100</v>
      </c>
      <c r="T56" s="11"/>
    </row>
    <row r="57" spans="3:20" x14ac:dyDescent="0.35">
      <c r="C57" s="10">
        <v>53</v>
      </c>
      <c r="D57" s="6">
        <v>202531319</v>
      </c>
      <c r="E57" s="6" t="s">
        <v>55</v>
      </c>
      <c r="F57" s="6">
        <f>[1]Hoja1!F57</f>
        <v>100</v>
      </c>
      <c r="G57" s="6">
        <f>[1]Hoja1!G57</f>
        <v>0</v>
      </c>
      <c r="H57" s="6">
        <f>[1]Hoja1!H57</f>
        <v>50</v>
      </c>
      <c r="I57" s="6">
        <f>[1]Hoja1!I57</f>
        <v>100</v>
      </c>
      <c r="J57" s="6">
        <f>[1]Hoja1!J57</f>
        <v>75</v>
      </c>
      <c r="K57" s="6">
        <f>[1]Hoja1!K57</f>
        <v>100</v>
      </c>
      <c r="L57" s="6">
        <f>[1]Hoja1!L57</f>
        <v>100</v>
      </c>
      <c r="M57" s="6">
        <f>[1]Hoja1!M57</f>
        <v>100</v>
      </c>
      <c r="N57" s="6">
        <f>[1]Hoja1!N57</f>
        <v>50</v>
      </c>
      <c r="O57" s="6">
        <f>[1]Hoja1!O57</f>
        <v>0</v>
      </c>
      <c r="P57" s="6">
        <f>[1]Hoja1!P57</f>
        <v>50</v>
      </c>
      <c r="Q57" s="6">
        <f>[1]Hoja1!Q57</f>
        <v>100</v>
      </c>
      <c r="R57" s="6">
        <f>[1]Hoja1!R57</f>
        <v>100</v>
      </c>
      <c r="S57" s="6">
        <f>[1]Hoja1!S57</f>
        <v>100</v>
      </c>
      <c r="T57" s="11"/>
    </row>
    <row r="58" spans="3:20" x14ac:dyDescent="0.35">
      <c r="C58" s="10">
        <v>54</v>
      </c>
      <c r="D58" s="6">
        <v>202531351</v>
      </c>
      <c r="E58" s="6" t="s">
        <v>56</v>
      </c>
      <c r="F58" s="6">
        <f>[1]Hoja1!F58</f>
        <v>100</v>
      </c>
      <c r="G58" s="6">
        <f>[1]Hoja1!G58</f>
        <v>100</v>
      </c>
      <c r="H58" s="6">
        <f>[1]Hoja1!H58</f>
        <v>100</v>
      </c>
      <c r="I58" s="6">
        <f>[1]Hoja1!I58</f>
        <v>90</v>
      </c>
      <c r="J58" s="6">
        <f>[1]Hoja1!J58</f>
        <v>100</v>
      </c>
      <c r="K58" s="6">
        <f>[1]Hoja1!K58</f>
        <v>100</v>
      </c>
      <c r="L58" s="6">
        <f>[1]Hoja1!L58</f>
        <v>100</v>
      </c>
      <c r="M58" s="6">
        <f>[1]Hoja1!M58</f>
        <v>100</v>
      </c>
      <c r="N58" s="6">
        <f>[1]Hoja1!N58</f>
        <v>80</v>
      </c>
      <c r="O58" s="6">
        <f>[1]Hoja1!O58</f>
        <v>90</v>
      </c>
      <c r="P58" s="6">
        <f>[1]Hoja1!P58</f>
        <v>100</v>
      </c>
      <c r="Q58" s="6">
        <f>[1]Hoja1!Q58</f>
        <v>90</v>
      </c>
      <c r="R58" s="6">
        <f>[1]Hoja1!R58</f>
        <v>100</v>
      </c>
      <c r="S58" s="6">
        <f>[1]Hoja1!S58</f>
        <v>100</v>
      </c>
      <c r="T58" s="11"/>
    </row>
    <row r="59" spans="3:20" x14ac:dyDescent="0.35">
      <c r="C59" s="10">
        <v>55</v>
      </c>
      <c r="D59" s="6">
        <v>202531352</v>
      </c>
      <c r="E59" s="6" t="s">
        <v>57</v>
      </c>
      <c r="F59" s="6">
        <f>[1]Hoja1!F59</f>
        <v>100</v>
      </c>
      <c r="G59" s="6">
        <f>[1]Hoja1!G59</f>
        <v>0</v>
      </c>
      <c r="H59" s="6">
        <f>[1]Hoja1!H59</f>
        <v>100</v>
      </c>
      <c r="I59" s="6">
        <f>[1]Hoja1!I59</f>
        <v>100</v>
      </c>
      <c r="J59" s="6">
        <f>[1]Hoja1!J59</f>
        <v>100</v>
      </c>
      <c r="K59" s="6">
        <f>[1]Hoja1!K59</f>
        <v>100</v>
      </c>
      <c r="L59" s="6">
        <f>[1]Hoja1!L59</f>
        <v>100</v>
      </c>
      <c r="M59" s="6">
        <f>[1]Hoja1!M59</f>
        <v>100</v>
      </c>
      <c r="N59" s="6">
        <f>[1]Hoja1!N59</f>
        <v>70</v>
      </c>
      <c r="O59" s="6">
        <f>[1]Hoja1!O59</f>
        <v>0</v>
      </c>
      <c r="P59" s="6">
        <f>[1]Hoja1!P59</f>
        <v>75</v>
      </c>
      <c r="Q59" s="6">
        <f>[1]Hoja1!Q59</f>
        <v>80</v>
      </c>
      <c r="R59" s="6">
        <f>[1]Hoja1!R59</f>
        <v>0</v>
      </c>
      <c r="S59" s="6">
        <f>[1]Hoja1!S59</f>
        <v>100</v>
      </c>
      <c r="T59" s="11"/>
    </row>
    <row r="60" spans="3:20" x14ac:dyDescent="0.35">
      <c r="C60" s="10">
        <v>56</v>
      </c>
      <c r="D60" s="6">
        <v>202531384</v>
      </c>
      <c r="E60" s="6" t="s">
        <v>58</v>
      </c>
      <c r="F60" s="6">
        <f>[1]Hoja1!F60</f>
        <v>100</v>
      </c>
      <c r="G60" s="6">
        <f>[1]Hoja1!G60</f>
        <v>100</v>
      </c>
      <c r="H60" s="6">
        <f>[1]Hoja1!H60</f>
        <v>50</v>
      </c>
      <c r="I60" s="6">
        <f>[1]Hoja1!I60</f>
        <v>90</v>
      </c>
      <c r="J60" s="6">
        <f>[1]Hoja1!J60</f>
        <v>100</v>
      </c>
      <c r="K60" s="6">
        <f>[1]Hoja1!K60</f>
        <v>100</v>
      </c>
      <c r="L60" s="6">
        <f>[1]Hoja1!L60</f>
        <v>100</v>
      </c>
      <c r="M60" s="6">
        <f>[1]Hoja1!M60</f>
        <v>100</v>
      </c>
      <c r="N60" s="6">
        <f>[1]Hoja1!N60</f>
        <v>70</v>
      </c>
      <c r="O60" s="6">
        <f>[1]Hoja1!O60</f>
        <v>100</v>
      </c>
      <c r="P60" s="6">
        <f>[1]Hoja1!P60</f>
        <v>90</v>
      </c>
      <c r="Q60" s="6">
        <f>[1]Hoja1!Q60</f>
        <v>80</v>
      </c>
      <c r="R60" s="6">
        <f>[1]Hoja1!R60</f>
        <v>100</v>
      </c>
      <c r="S60" s="6">
        <f>[1]Hoja1!S60</f>
        <v>100</v>
      </c>
      <c r="T60" s="11"/>
    </row>
    <row r="61" spans="3:20" x14ac:dyDescent="0.35">
      <c r="C61" s="10">
        <v>57</v>
      </c>
      <c r="D61" s="6">
        <v>202531399</v>
      </c>
      <c r="E61" s="6" t="s">
        <v>59</v>
      </c>
      <c r="F61" s="6">
        <f>[1]Hoja1!F61</f>
        <v>0</v>
      </c>
      <c r="G61" s="6">
        <f>[1]Hoja1!G61</f>
        <v>0</v>
      </c>
      <c r="H61" s="6">
        <f>[1]Hoja1!H61</f>
        <v>50</v>
      </c>
      <c r="I61" s="6">
        <f>[1]Hoja1!I61</f>
        <v>0</v>
      </c>
      <c r="J61" s="6">
        <f>[1]Hoja1!J61</f>
        <v>0</v>
      </c>
      <c r="K61" s="6">
        <f>[1]Hoja1!K61</f>
        <v>0</v>
      </c>
      <c r="L61" s="6">
        <f>[1]Hoja1!L61</f>
        <v>0</v>
      </c>
      <c r="M61" s="6">
        <f>[1]Hoja1!M61</f>
        <v>0</v>
      </c>
      <c r="N61" s="6">
        <f>[1]Hoja1!N61</f>
        <v>0</v>
      </c>
      <c r="O61" s="6">
        <f>[1]Hoja1!O61</f>
        <v>0</v>
      </c>
      <c r="P61" s="6">
        <f>[1]Hoja1!P61</f>
        <v>0</v>
      </c>
      <c r="Q61" s="6">
        <f>[1]Hoja1!Q61</f>
        <v>0</v>
      </c>
      <c r="R61" s="6">
        <f>[1]Hoja1!R61</f>
        <v>0</v>
      </c>
      <c r="S61" s="6">
        <f>[1]Hoja1!S61</f>
        <v>0</v>
      </c>
      <c r="T61" s="11"/>
    </row>
    <row r="62" spans="3:20" x14ac:dyDescent="0.35">
      <c r="C62" s="10">
        <v>58</v>
      </c>
      <c r="D62" s="6">
        <v>202531441</v>
      </c>
      <c r="E62" s="6" t="s">
        <v>60</v>
      </c>
      <c r="F62" s="6">
        <f>[1]Hoja1!F62</f>
        <v>0</v>
      </c>
      <c r="G62" s="6">
        <f>[1]Hoja1!G62</f>
        <v>0</v>
      </c>
      <c r="H62" s="6">
        <f>[1]Hoja1!H62</f>
        <v>0</v>
      </c>
      <c r="I62" s="6">
        <f>[1]Hoja1!I62</f>
        <v>0</v>
      </c>
      <c r="J62" s="6">
        <f>[1]Hoja1!J62</f>
        <v>0</v>
      </c>
      <c r="K62" s="6">
        <f>[1]Hoja1!K62</f>
        <v>0</v>
      </c>
      <c r="L62" s="6">
        <f>[1]Hoja1!L62</f>
        <v>0</v>
      </c>
      <c r="M62" s="6">
        <f>[1]Hoja1!M62</f>
        <v>0</v>
      </c>
      <c r="N62" s="6">
        <f>[1]Hoja1!N62</f>
        <v>0</v>
      </c>
      <c r="O62" s="6">
        <f>[1]Hoja1!O62</f>
        <v>0</v>
      </c>
      <c r="P62" s="6">
        <f>[1]Hoja1!P62</f>
        <v>0</v>
      </c>
      <c r="Q62" s="6">
        <f>[1]Hoja1!Q62</f>
        <v>0</v>
      </c>
      <c r="R62" s="6">
        <f>[1]Hoja1!R62</f>
        <v>0</v>
      </c>
      <c r="S62" s="6">
        <f>[1]Hoja1!S62</f>
        <v>0</v>
      </c>
      <c r="T62" s="11"/>
    </row>
    <row r="63" spans="3:20" x14ac:dyDescent="0.35">
      <c r="C63" s="10">
        <v>59</v>
      </c>
      <c r="D63" s="6">
        <v>202531444</v>
      </c>
      <c r="E63" s="6" t="s">
        <v>61</v>
      </c>
      <c r="F63" s="6">
        <f>[1]Hoja1!F63</f>
        <v>100</v>
      </c>
      <c r="G63" s="6">
        <f>[1]Hoja1!G63</f>
        <v>0</v>
      </c>
      <c r="H63" s="6">
        <f>[1]Hoja1!H63</f>
        <v>100</v>
      </c>
      <c r="I63" s="6">
        <f>[1]Hoja1!I63</f>
        <v>90</v>
      </c>
      <c r="J63" s="6">
        <f>[1]Hoja1!J63</f>
        <v>100</v>
      </c>
      <c r="K63" s="6">
        <f>[1]Hoja1!K63</f>
        <v>95</v>
      </c>
      <c r="L63" s="6">
        <f>[1]Hoja1!L63</f>
        <v>100</v>
      </c>
      <c r="M63" s="6">
        <f>[1]Hoja1!M63</f>
        <v>100</v>
      </c>
      <c r="N63" s="6">
        <f>[1]Hoja1!N63</f>
        <v>50</v>
      </c>
      <c r="O63" s="6">
        <f>[1]Hoja1!O63</f>
        <v>0</v>
      </c>
      <c r="P63" s="6">
        <f>[1]Hoja1!P63</f>
        <v>65</v>
      </c>
      <c r="Q63" s="6">
        <f>[1]Hoja1!Q63</f>
        <v>100</v>
      </c>
      <c r="R63" s="6">
        <f>[1]Hoja1!R63</f>
        <v>100</v>
      </c>
      <c r="S63" s="6">
        <f>[1]Hoja1!S63</f>
        <v>100</v>
      </c>
      <c r="T63" s="11"/>
    </row>
    <row r="64" spans="3:20" x14ac:dyDescent="0.35">
      <c r="C64" s="10">
        <v>60</v>
      </c>
      <c r="D64" s="6">
        <v>202531566</v>
      </c>
      <c r="E64" s="6" t="s">
        <v>62</v>
      </c>
      <c r="F64" s="6">
        <f>[1]Hoja1!F64</f>
        <v>100</v>
      </c>
      <c r="G64" s="6">
        <f>[1]Hoja1!G64</f>
        <v>0</v>
      </c>
      <c r="H64" s="6">
        <f>[1]Hoja1!H64</f>
        <v>100</v>
      </c>
      <c r="I64" s="6">
        <f>[1]Hoja1!I64</f>
        <v>90</v>
      </c>
      <c r="J64" s="6">
        <f>[1]Hoja1!J64</f>
        <v>100</v>
      </c>
      <c r="K64" s="6">
        <f>[1]Hoja1!K64</f>
        <v>85</v>
      </c>
      <c r="L64" s="6">
        <f>[1]Hoja1!L64</f>
        <v>100</v>
      </c>
      <c r="M64" s="6">
        <f>[1]Hoja1!M64</f>
        <v>100</v>
      </c>
      <c r="N64" s="6">
        <f>[1]Hoja1!N64</f>
        <v>70</v>
      </c>
      <c r="O64" s="6">
        <f>[1]Hoja1!O64</f>
        <v>75</v>
      </c>
      <c r="P64" s="6">
        <f>[1]Hoja1!P64</f>
        <v>55</v>
      </c>
      <c r="Q64" s="6">
        <f>[1]Hoja1!Q64</f>
        <v>95</v>
      </c>
      <c r="R64" s="6">
        <f>[1]Hoja1!R64</f>
        <v>100</v>
      </c>
      <c r="S64" s="6">
        <f>[1]Hoja1!S64</f>
        <v>100</v>
      </c>
      <c r="T64" s="11"/>
    </row>
    <row r="65" spans="3:20" x14ac:dyDescent="0.35">
      <c r="C65" s="10">
        <v>61</v>
      </c>
      <c r="D65" s="6">
        <v>202531611</v>
      </c>
      <c r="E65" s="6" t="s">
        <v>63</v>
      </c>
      <c r="F65" s="6">
        <f>[1]Hoja1!F65</f>
        <v>100</v>
      </c>
      <c r="G65" s="6">
        <f>[1]Hoja1!G65</f>
        <v>0</v>
      </c>
      <c r="H65" s="6">
        <f>[1]Hoja1!H65</f>
        <v>100</v>
      </c>
      <c r="I65" s="6">
        <f>[1]Hoja1!I65</f>
        <v>0</v>
      </c>
      <c r="J65" s="6">
        <f>[1]Hoja1!J65</f>
        <v>75</v>
      </c>
      <c r="K65" s="6">
        <f>[1]Hoja1!K65</f>
        <v>100</v>
      </c>
      <c r="L65" s="6">
        <f>[1]Hoja1!L65</f>
        <v>100</v>
      </c>
      <c r="M65" s="6">
        <f>[1]Hoja1!M65</f>
        <v>100</v>
      </c>
      <c r="N65" s="6">
        <f>[1]Hoja1!N65</f>
        <v>70</v>
      </c>
      <c r="O65" s="6">
        <f>[1]Hoja1!O65</f>
        <v>45</v>
      </c>
      <c r="P65" s="6">
        <f>[1]Hoja1!P65</f>
        <v>75</v>
      </c>
      <c r="Q65" s="6">
        <f>[1]Hoja1!Q65</f>
        <v>0</v>
      </c>
      <c r="R65" s="6">
        <f>[1]Hoja1!R65</f>
        <v>0</v>
      </c>
      <c r="S65" s="6">
        <f>[1]Hoja1!S65</f>
        <v>100</v>
      </c>
      <c r="T65" s="11"/>
    </row>
    <row r="66" spans="3:20" x14ac:dyDescent="0.35">
      <c r="C66" s="10">
        <v>62</v>
      </c>
      <c r="D66" s="6">
        <v>202531645</v>
      </c>
      <c r="E66" s="6" t="s">
        <v>64</v>
      </c>
      <c r="F66" s="6">
        <f>[1]Hoja1!F66</f>
        <v>100</v>
      </c>
      <c r="G66" s="6">
        <f>[1]Hoja1!G66</f>
        <v>100</v>
      </c>
      <c r="H66" s="6">
        <f>[1]Hoja1!H66</f>
        <v>100</v>
      </c>
      <c r="I66" s="6">
        <f>[1]Hoja1!I66</f>
        <v>90</v>
      </c>
      <c r="J66" s="6">
        <f>[1]Hoja1!J66</f>
        <v>100</v>
      </c>
      <c r="K66" s="6">
        <f>[1]Hoja1!K66</f>
        <v>100</v>
      </c>
      <c r="L66" s="6">
        <f>[1]Hoja1!L66</f>
        <v>100</v>
      </c>
      <c r="M66" s="6">
        <f>[1]Hoja1!M66</f>
        <v>0</v>
      </c>
      <c r="N66" s="6">
        <f>[1]Hoja1!N66</f>
        <v>40</v>
      </c>
      <c r="O66" s="6">
        <f>[1]Hoja1!O66</f>
        <v>90</v>
      </c>
      <c r="P66" s="6">
        <f>[1]Hoja1!P66</f>
        <v>100</v>
      </c>
      <c r="Q66" s="6">
        <f>[1]Hoja1!Q66</f>
        <v>90</v>
      </c>
      <c r="R66" s="6">
        <f>[1]Hoja1!R66</f>
        <v>100</v>
      </c>
      <c r="S66" s="6">
        <f>[1]Hoja1!S66</f>
        <v>100</v>
      </c>
      <c r="T66" s="11"/>
    </row>
    <row r="67" spans="3:20" x14ac:dyDescent="0.35">
      <c r="C67" s="10">
        <v>63</v>
      </c>
      <c r="D67" s="6">
        <v>202531663</v>
      </c>
      <c r="E67" s="6" t="s">
        <v>65</v>
      </c>
      <c r="F67" s="6">
        <f>[1]Hoja1!F67</f>
        <v>100</v>
      </c>
      <c r="G67" s="6">
        <f>[1]Hoja1!G67</f>
        <v>0</v>
      </c>
      <c r="H67" s="6">
        <f>[1]Hoja1!H67</f>
        <v>0</v>
      </c>
      <c r="I67" s="6">
        <f>[1]Hoja1!I67</f>
        <v>0</v>
      </c>
      <c r="J67" s="6">
        <f>[1]Hoja1!J67</f>
        <v>0</v>
      </c>
      <c r="K67" s="6">
        <f>[1]Hoja1!K67</f>
        <v>0</v>
      </c>
      <c r="L67" s="6">
        <f>[1]Hoja1!L67</f>
        <v>0</v>
      </c>
      <c r="M67" s="6">
        <f>[1]Hoja1!M67</f>
        <v>0</v>
      </c>
      <c r="N67" s="6">
        <f>[1]Hoja1!N67</f>
        <v>0</v>
      </c>
      <c r="O67" s="6">
        <f>[1]Hoja1!O67</f>
        <v>0</v>
      </c>
      <c r="P67" s="6">
        <f>[1]Hoja1!P67</f>
        <v>0</v>
      </c>
      <c r="Q67" s="6">
        <f>[1]Hoja1!Q67</f>
        <v>0</v>
      </c>
      <c r="R67" s="6">
        <f>[1]Hoja1!R67</f>
        <v>0</v>
      </c>
      <c r="S67" s="6">
        <f>[1]Hoja1!S67</f>
        <v>0</v>
      </c>
      <c r="T67" s="11"/>
    </row>
    <row r="68" spans="3:20" x14ac:dyDescent="0.35">
      <c r="C68" s="10">
        <v>64</v>
      </c>
      <c r="D68" s="6">
        <v>202531724</v>
      </c>
      <c r="E68" s="6" t="s">
        <v>66</v>
      </c>
      <c r="F68" s="6">
        <f>[1]Hoja1!F68</f>
        <v>100</v>
      </c>
      <c r="G68" s="6">
        <f>[1]Hoja1!G68</f>
        <v>0</v>
      </c>
      <c r="H68" s="6">
        <f>[1]Hoja1!H68</f>
        <v>50</v>
      </c>
      <c r="I68" s="6">
        <f>[1]Hoja1!I68</f>
        <v>90</v>
      </c>
      <c r="J68" s="6">
        <f>[1]Hoja1!J68</f>
        <v>40</v>
      </c>
      <c r="K68" s="6">
        <f>[1]Hoja1!K68</f>
        <v>85</v>
      </c>
      <c r="L68" s="6">
        <f>[1]Hoja1!L68</f>
        <v>100</v>
      </c>
      <c r="M68" s="6">
        <f>[1]Hoja1!M68</f>
        <v>100</v>
      </c>
      <c r="N68" s="6">
        <f>[1]Hoja1!N68</f>
        <v>70</v>
      </c>
      <c r="O68" s="6">
        <f>[1]Hoja1!O68</f>
        <v>75</v>
      </c>
      <c r="P68" s="6">
        <f>[1]Hoja1!P68</f>
        <v>70</v>
      </c>
      <c r="Q68" s="6">
        <f>[1]Hoja1!Q68</f>
        <v>100</v>
      </c>
      <c r="R68" s="6">
        <f>[1]Hoja1!R68</f>
        <v>100</v>
      </c>
      <c r="S68" s="6">
        <f>[1]Hoja1!S68</f>
        <v>100</v>
      </c>
      <c r="T68" s="11"/>
    </row>
    <row r="69" spans="3:20" x14ac:dyDescent="0.35">
      <c r="C69" s="10">
        <v>65</v>
      </c>
      <c r="D69" s="6">
        <v>202531736</v>
      </c>
      <c r="E69" s="6" t="s">
        <v>67</v>
      </c>
      <c r="F69" s="6">
        <f>[1]Hoja1!F69</f>
        <v>100</v>
      </c>
      <c r="G69" s="6">
        <f>[1]Hoja1!G69</f>
        <v>0</v>
      </c>
      <c r="H69" s="6">
        <f>[1]Hoja1!H69</f>
        <v>100</v>
      </c>
      <c r="I69" s="6">
        <f>[1]Hoja1!I69</f>
        <v>0</v>
      </c>
      <c r="J69" s="6">
        <f>[1]Hoja1!J69</f>
        <v>0</v>
      </c>
      <c r="K69" s="6">
        <f>[1]Hoja1!K69</f>
        <v>100</v>
      </c>
      <c r="L69" s="6">
        <f>[1]Hoja1!L69</f>
        <v>100</v>
      </c>
      <c r="M69" s="6">
        <f>[1]Hoja1!M69</f>
        <v>100</v>
      </c>
      <c r="N69" s="6">
        <f>[1]Hoja1!N69</f>
        <v>0</v>
      </c>
      <c r="O69" s="6">
        <f>[1]Hoja1!O69</f>
        <v>60</v>
      </c>
      <c r="P69" s="6">
        <f>[1]Hoja1!P69</f>
        <v>65</v>
      </c>
      <c r="Q69" s="6">
        <f>[1]Hoja1!Q69</f>
        <v>80</v>
      </c>
      <c r="R69" s="6">
        <f>[1]Hoja1!R69</f>
        <v>100</v>
      </c>
      <c r="S69" s="6">
        <f>[1]Hoja1!S69</f>
        <v>100</v>
      </c>
      <c r="T69" s="11"/>
    </row>
    <row r="70" spans="3:20" x14ac:dyDescent="0.35">
      <c r="C70" s="10">
        <v>66</v>
      </c>
      <c r="D70" s="6">
        <v>202531778</v>
      </c>
      <c r="E70" s="6" t="s">
        <v>68</v>
      </c>
      <c r="F70" s="6">
        <f>[1]Hoja1!F70</f>
        <v>100</v>
      </c>
      <c r="G70" s="6">
        <f>[1]Hoja1!G70</f>
        <v>0</v>
      </c>
      <c r="H70" s="6">
        <f>[1]Hoja1!H70</f>
        <v>100</v>
      </c>
      <c r="I70" s="6">
        <f>[1]Hoja1!I70</f>
        <v>90</v>
      </c>
      <c r="J70" s="6">
        <f>[1]Hoja1!J70</f>
        <v>75</v>
      </c>
      <c r="K70" s="6">
        <f>[1]Hoja1!K70</f>
        <v>85</v>
      </c>
      <c r="L70" s="6">
        <f>[1]Hoja1!L70</f>
        <v>100</v>
      </c>
      <c r="M70" s="6">
        <f>[1]Hoja1!M70</f>
        <v>100</v>
      </c>
      <c r="N70" s="6">
        <f>[1]Hoja1!N70</f>
        <v>70</v>
      </c>
      <c r="O70" s="6">
        <f>[1]Hoja1!O70</f>
        <v>90</v>
      </c>
      <c r="P70" s="6">
        <f>[1]Hoja1!P70</f>
        <v>100</v>
      </c>
      <c r="Q70" s="6">
        <f>[1]Hoja1!Q70</f>
        <v>100</v>
      </c>
      <c r="R70" s="6">
        <f>[1]Hoja1!R70</f>
        <v>100</v>
      </c>
      <c r="S70" s="6">
        <f>[1]Hoja1!S70</f>
        <v>100</v>
      </c>
      <c r="T70" s="11"/>
    </row>
    <row r="71" spans="3:20" x14ac:dyDescent="0.35">
      <c r="C71" s="10">
        <v>67</v>
      </c>
      <c r="D71" s="6">
        <v>202531844</v>
      </c>
      <c r="E71" s="6" t="s">
        <v>69</v>
      </c>
      <c r="F71" s="6">
        <f>[1]Hoja1!F71</f>
        <v>100</v>
      </c>
      <c r="G71" s="6">
        <f>[1]Hoja1!G71</f>
        <v>0</v>
      </c>
      <c r="H71" s="6">
        <f>[1]Hoja1!H71</f>
        <v>100</v>
      </c>
      <c r="I71" s="6">
        <f>[1]Hoja1!I71</f>
        <v>100</v>
      </c>
      <c r="J71" s="6">
        <f>[1]Hoja1!J71</f>
        <v>100</v>
      </c>
      <c r="K71" s="6">
        <f>[1]Hoja1!K71</f>
        <v>100</v>
      </c>
      <c r="L71" s="6">
        <f>[1]Hoja1!L71</f>
        <v>100</v>
      </c>
      <c r="M71" s="6">
        <f>[1]Hoja1!M71</f>
        <v>100</v>
      </c>
      <c r="N71" s="6">
        <f>[1]Hoja1!N71</f>
        <v>100</v>
      </c>
      <c r="O71" s="6">
        <f>[1]Hoja1!O71</f>
        <v>0</v>
      </c>
      <c r="P71" s="6">
        <f>[1]Hoja1!P71</f>
        <v>100</v>
      </c>
      <c r="Q71" s="6">
        <f>[1]Hoja1!Q71</f>
        <v>0</v>
      </c>
      <c r="R71" s="6">
        <f>[1]Hoja1!R71</f>
        <v>0</v>
      </c>
      <c r="S71" s="6">
        <f>[1]Hoja1!S71</f>
        <v>0</v>
      </c>
      <c r="T71" s="11"/>
    </row>
    <row r="72" spans="3:20" x14ac:dyDescent="0.35">
      <c r="C72" s="10">
        <v>68</v>
      </c>
      <c r="D72" s="6">
        <v>202531883</v>
      </c>
      <c r="E72" s="6" t="s">
        <v>70</v>
      </c>
      <c r="F72" s="6">
        <f>[1]Hoja1!F72</f>
        <v>100</v>
      </c>
      <c r="G72" s="6">
        <f>[1]Hoja1!G72</f>
        <v>0</v>
      </c>
      <c r="H72" s="6">
        <f>[1]Hoja1!H72</f>
        <v>100</v>
      </c>
      <c r="I72" s="6">
        <f>[1]Hoja1!I72</f>
        <v>100</v>
      </c>
      <c r="J72" s="6">
        <f>[1]Hoja1!J72</f>
        <v>85</v>
      </c>
      <c r="K72" s="6">
        <f>[1]Hoja1!K72</f>
        <v>100</v>
      </c>
      <c r="L72" s="6">
        <f>[1]Hoja1!L72</f>
        <v>100</v>
      </c>
      <c r="M72" s="6">
        <f>[1]Hoja1!M72</f>
        <v>100</v>
      </c>
      <c r="N72" s="6">
        <f>[1]Hoja1!N72</f>
        <v>90</v>
      </c>
      <c r="O72" s="6">
        <f>[1]Hoja1!O72</f>
        <v>95</v>
      </c>
      <c r="P72" s="6">
        <f>[1]Hoja1!P72</f>
        <v>85</v>
      </c>
      <c r="Q72" s="6">
        <f>[1]Hoja1!Q72</f>
        <v>95</v>
      </c>
      <c r="R72" s="6">
        <f>[1]Hoja1!R72</f>
        <v>0</v>
      </c>
      <c r="S72" s="6">
        <f>[1]Hoja1!S72</f>
        <v>100</v>
      </c>
      <c r="T72" s="11"/>
    </row>
    <row r="73" spans="3:20" x14ac:dyDescent="0.35">
      <c r="C73" s="10">
        <v>69</v>
      </c>
      <c r="D73" s="6">
        <v>202531947</v>
      </c>
      <c r="E73" s="6" t="s">
        <v>71</v>
      </c>
      <c r="F73" s="6">
        <f>[1]Hoja1!F73</f>
        <v>100</v>
      </c>
      <c r="G73" s="6">
        <f>[1]Hoja1!G73</f>
        <v>0</v>
      </c>
      <c r="H73" s="6">
        <f>[1]Hoja1!H73</f>
        <v>100</v>
      </c>
      <c r="I73" s="6">
        <f>[1]Hoja1!I73</f>
        <v>0</v>
      </c>
      <c r="J73" s="6">
        <f>[1]Hoja1!J73</f>
        <v>85</v>
      </c>
      <c r="K73" s="6">
        <f>[1]Hoja1!K73</f>
        <v>75</v>
      </c>
      <c r="L73" s="6">
        <f>[1]Hoja1!L73</f>
        <v>100</v>
      </c>
      <c r="M73" s="6">
        <f>[1]Hoja1!M73</f>
        <v>100</v>
      </c>
      <c r="N73" s="6">
        <f>[1]Hoja1!N73</f>
        <v>50</v>
      </c>
      <c r="O73" s="6">
        <f>[1]Hoja1!O73</f>
        <v>90</v>
      </c>
      <c r="P73" s="6">
        <f>[1]Hoja1!P73</f>
        <v>70</v>
      </c>
      <c r="Q73" s="6">
        <f>[1]Hoja1!Q73</f>
        <v>0</v>
      </c>
      <c r="R73" s="6">
        <f>[1]Hoja1!R73</f>
        <v>0</v>
      </c>
      <c r="S73" s="6">
        <f>[1]Hoja1!S73</f>
        <v>0</v>
      </c>
      <c r="T73" s="11"/>
    </row>
    <row r="74" spans="3:20" x14ac:dyDescent="0.35">
      <c r="C74" s="10">
        <v>70</v>
      </c>
      <c r="D74" s="6">
        <v>202532062</v>
      </c>
      <c r="E74" s="6" t="s">
        <v>72</v>
      </c>
      <c r="F74" s="6">
        <f>[1]Hoja1!F74</f>
        <v>0</v>
      </c>
      <c r="G74" s="6">
        <f>[1]Hoja1!G74</f>
        <v>0</v>
      </c>
      <c r="H74" s="6">
        <f>[1]Hoja1!H74</f>
        <v>100</v>
      </c>
      <c r="I74" s="6">
        <f>[1]Hoja1!I74</f>
        <v>0</v>
      </c>
      <c r="J74" s="6">
        <f>[1]Hoja1!J74</f>
        <v>85</v>
      </c>
      <c r="K74" s="6">
        <f>[1]Hoja1!K74</f>
        <v>100</v>
      </c>
      <c r="L74" s="6">
        <f>[1]Hoja1!L74</f>
        <v>100</v>
      </c>
      <c r="M74" s="6">
        <f>[1]Hoja1!M74</f>
        <v>100</v>
      </c>
      <c r="N74" s="6">
        <f>[1]Hoja1!N74</f>
        <v>50</v>
      </c>
      <c r="O74" s="6">
        <f>[1]Hoja1!O74</f>
        <v>0</v>
      </c>
      <c r="P74" s="6">
        <f>[1]Hoja1!P74</f>
        <v>20</v>
      </c>
      <c r="Q74" s="6">
        <f>[1]Hoja1!Q74</f>
        <v>100</v>
      </c>
      <c r="R74" s="6">
        <f>[1]Hoja1!R74</f>
        <v>100</v>
      </c>
      <c r="S74" s="6">
        <f>[1]Hoja1!S74</f>
        <v>100</v>
      </c>
      <c r="T74" s="11"/>
    </row>
    <row r="75" spans="3:20" x14ac:dyDescent="0.35">
      <c r="C75" s="10">
        <v>71</v>
      </c>
      <c r="D75" s="6">
        <v>202532079</v>
      </c>
      <c r="E75" s="6" t="s">
        <v>73</v>
      </c>
      <c r="F75" s="6">
        <f>[1]Hoja1!F75</f>
        <v>0</v>
      </c>
      <c r="G75" s="6">
        <f>[1]Hoja1!G75</f>
        <v>0</v>
      </c>
      <c r="H75" s="6">
        <f>[1]Hoja1!H75</f>
        <v>100</v>
      </c>
      <c r="I75" s="6">
        <f>[1]Hoja1!I75</f>
        <v>0</v>
      </c>
      <c r="J75" s="6">
        <f>[1]Hoja1!J75</f>
        <v>0</v>
      </c>
      <c r="K75" s="6">
        <f>[1]Hoja1!K75</f>
        <v>50</v>
      </c>
      <c r="L75" s="6">
        <f>[1]Hoja1!L75</f>
        <v>0</v>
      </c>
      <c r="M75" s="6">
        <f>[1]Hoja1!M75</f>
        <v>0</v>
      </c>
      <c r="N75" s="6">
        <f>[1]Hoja1!N75</f>
        <v>0</v>
      </c>
      <c r="O75" s="6">
        <f>[1]Hoja1!O75</f>
        <v>0</v>
      </c>
      <c r="P75" s="6">
        <f>[1]Hoja1!P75</f>
        <v>0</v>
      </c>
      <c r="Q75" s="6">
        <f>[1]Hoja1!Q75</f>
        <v>0</v>
      </c>
      <c r="R75" s="6">
        <f>[1]Hoja1!R75</f>
        <v>0</v>
      </c>
      <c r="S75" s="6">
        <f>[1]Hoja1!S75</f>
        <v>0</v>
      </c>
      <c r="T75" s="11"/>
    </row>
    <row r="76" spans="3:20" x14ac:dyDescent="0.35">
      <c r="C76" s="10">
        <v>72</v>
      </c>
      <c r="D76" s="6">
        <v>202530466</v>
      </c>
      <c r="E76" s="6" t="s">
        <v>74</v>
      </c>
      <c r="F76" s="6">
        <f>[1]Hoja1!F76</f>
        <v>100</v>
      </c>
      <c r="G76" s="6">
        <f>[1]Hoja1!G76</f>
        <v>0</v>
      </c>
      <c r="H76" s="6">
        <f>[1]Hoja1!H76</f>
        <v>100</v>
      </c>
      <c r="I76" s="6">
        <f>[1]Hoja1!I76</f>
        <v>100</v>
      </c>
      <c r="J76" s="6">
        <f>[1]Hoja1!J76</f>
        <v>100</v>
      </c>
      <c r="K76" s="6">
        <f>[1]Hoja1!K76</f>
        <v>100</v>
      </c>
      <c r="L76" s="6">
        <f>[1]Hoja1!L76</f>
        <v>100</v>
      </c>
      <c r="M76" s="6">
        <f>[1]Hoja1!M76</f>
        <v>100</v>
      </c>
      <c r="N76" s="6">
        <f>[1]Hoja1!N76</f>
        <v>100</v>
      </c>
      <c r="O76" s="6">
        <f>[1]Hoja1!O76</f>
        <v>100</v>
      </c>
      <c r="P76" s="6">
        <f>[1]Hoja1!P76</f>
        <v>100</v>
      </c>
      <c r="Q76" s="6">
        <f>[1]Hoja1!Q76</f>
        <v>100</v>
      </c>
      <c r="R76" s="6">
        <f>[1]Hoja1!R76</f>
        <v>100</v>
      </c>
      <c r="S76" s="6">
        <f>[1]Hoja1!S76</f>
        <v>100</v>
      </c>
      <c r="T76" s="11"/>
    </row>
    <row r="77" spans="3:20" ht="15" thickBot="1" x14ac:dyDescent="0.4">
      <c r="C77" s="12">
        <v>73</v>
      </c>
      <c r="D77" s="13">
        <v>202030192</v>
      </c>
      <c r="E77" s="13" t="s">
        <v>75</v>
      </c>
      <c r="F77" s="13">
        <f>[1]Hoja1!F77</f>
        <v>0</v>
      </c>
      <c r="G77" s="13">
        <f>[1]Hoja1!G77</f>
        <v>0</v>
      </c>
      <c r="H77" s="13">
        <f>[1]Hoja1!H77</f>
        <v>50</v>
      </c>
      <c r="I77" s="13">
        <f>[1]Hoja1!I77</f>
        <v>75</v>
      </c>
      <c r="J77" s="13">
        <f>[1]Hoja1!J77</f>
        <v>0</v>
      </c>
      <c r="K77" s="13">
        <f>[1]Hoja1!K77</f>
        <v>100</v>
      </c>
      <c r="L77" s="13">
        <f>[1]Hoja1!L77</f>
        <v>100</v>
      </c>
      <c r="M77" s="13">
        <f>[1]Hoja1!M77</f>
        <v>100</v>
      </c>
      <c r="N77" s="13">
        <f>[1]Hoja1!N77</f>
        <v>100</v>
      </c>
      <c r="O77" s="13">
        <f>[1]Hoja1!O77</f>
        <v>85</v>
      </c>
      <c r="P77" s="13">
        <f>[1]Hoja1!P77</f>
        <v>0</v>
      </c>
      <c r="Q77" s="13">
        <f>[1]Hoja1!Q77</f>
        <v>0</v>
      </c>
      <c r="R77" s="13">
        <f>[1]Hoja1!R77</f>
        <v>0</v>
      </c>
      <c r="S77" s="13">
        <f>[1]Hoja1!S77</f>
        <v>0</v>
      </c>
      <c r="T77" s="14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Notas Principales</vt:lpstr>
      <vt:lpstr>Porcentaje de 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Ivan Carreto Rivera</dc:creator>
  <cp:lastModifiedBy>Ivan Rivera</cp:lastModifiedBy>
  <cp:lastPrinted>2025-10-28T16:54:12Z</cp:lastPrinted>
  <dcterms:created xsi:type="dcterms:W3CDTF">2025-10-26T19:08:22Z</dcterms:created>
  <dcterms:modified xsi:type="dcterms:W3CDTF">2025-10-28T17:08:26Z</dcterms:modified>
</cp:coreProperties>
</file>