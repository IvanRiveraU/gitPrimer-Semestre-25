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van\Documents\gitPrimer-Semestre-25\PRACTICAS DOCENCIA\LABORATORIO MB1\LISTADO COMPLETO MACROS\"/>
    </mc:Choice>
  </mc:AlternateContent>
  <xr:revisionPtr revIDLastSave="0" documentId="13_ncr:1_{C1688327-65A7-4F0A-B28A-950766AE0921}" xr6:coauthVersionLast="47" xr6:coauthVersionMax="47" xr10:uidLastSave="{00000000-0000-0000-0000-000000000000}"/>
  <bookViews>
    <workbookView xWindow="-120" yWindow="-120" windowWidth="20730" windowHeight="11160" activeTab="1" xr2:uid="{B120FE9F-51A9-4E3A-8CF4-53BECC398D17}"/>
  </bookViews>
  <sheets>
    <sheet name="Hoja1" sheetId="1" r:id="rId1"/>
    <sheet name="Hoja2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80" i="1" l="1"/>
  <c r="S81" i="1"/>
  <c r="S82" i="1"/>
  <c r="S79" i="1"/>
  <c r="S80" i="3"/>
  <c r="S79" i="3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E81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E82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E80" i="1"/>
  <c r="S3" i="3"/>
  <c r="G6" i="3"/>
  <c r="H6" i="3"/>
  <c r="I6" i="3"/>
  <c r="J6" i="3"/>
  <c r="K6" i="3"/>
  <c r="L6" i="3"/>
  <c r="M6" i="3"/>
  <c r="N6" i="3"/>
  <c r="O6" i="3"/>
  <c r="P6" i="3"/>
  <c r="Q6" i="3"/>
  <c r="R6" i="3"/>
  <c r="G7" i="3"/>
  <c r="H7" i="3"/>
  <c r="I7" i="3"/>
  <c r="J7" i="3"/>
  <c r="K7" i="3"/>
  <c r="L7" i="3"/>
  <c r="M7" i="3"/>
  <c r="N7" i="3"/>
  <c r="O7" i="3"/>
  <c r="P7" i="3"/>
  <c r="Q7" i="3"/>
  <c r="R7" i="3"/>
  <c r="G8" i="3"/>
  <c r="H8" i="3"/>
  <c r="I8" i="3"/>
  <c r="J8" i="3"/>
  <c r="K8" i="3"/>
  <c r="L8" i="3"/>
  <c r="M8" i="3"/>
  <c r="N8" i="3"/>
  <c r="O8" i="3"/>
  <c r="P8" i="3"/>
  <c r="Q8" i="3"/>
  <c r="R8" i="3"/>
  <c r="G9" i="3"/>
  <c r="H9" i="3"/>
  <c r="I9" i="3"/>
  <c r="J9" i="3"/>
  <c r="K9" i="3"/>
  <c r="L9" i="3"/>
  <c r="M9" i="3"/>
  <c r="N9" i="3"/>
  <c r="O9" i="3"/>
  <c r="P9" i="3"/>
  <c r="Q9" i="3"/>
  <c r="R9" i="3"/>
  <c r="G10" i="3"/>
  <c r="H10" i="3"/>
  <c r="I10" i="3"/>
  <c r="J10" i="3"/>
  <c r="K10" i="3"/>
  <c r="L10" i="3"/>
  <c r="M10" i="3"/>
  <c r="N10" i="3"/>
  <c r="O10" i="3"/>
  <c r="P10" i="3"/>
  <c r="Q10" i="3"/>
  <c r="R10" i="3"/>
  <c r="G11" i="3"/>
  <c r="H11" i="3"/>
  <c r="I11" i="3"/>
  <c r="J11" i="3"/>
  <c r="K11" i="3"/>
  <c r="L11" i="3"/>
  <c r="M11" i="3"/>
  <c r="N11" i="3"/>
  <c r="O11" i="3"/>
  <c r="P11" i="3"/>
  <c r="Q11" i="3"/>
  <c r="R11" i="3"/>
  <c r="G12" i="3"/>
  <c r="H12" i="3"/>
  <c r="I12" i="3"/>
  <c r="J12" i="3"/>
  <c r="K12" i="3"/>
  <c r="L12" i="3"/>
  <c r="M12" i="3"/>
  <c r="N12" i="3"/>
  <c r="O12" i="3"/>
  <c r="P12" i="3"/>
  <c r="Q12" i="3"/>
  <c r="R12" i="3"/>
  <c r="G13" i="3"/>
  <c r="H13" i="3"/>
  <c r="I13" i="3"/>
  <c r="J13" i="3"/>
  <c r="K13" i="3"/>
  <c r="L13" i="3"/>
  <c r="M13" i="3"/>
  <c r="N13" i="3"/>
  <c r="O13" i="3"/>
  <c r="P13" i="3"/>
  <c r="Q13" i="3"/>
  <c r="R13" i="3"/>
  <c r="G14" i="3"/>
  <c r="H14" i="3"/>
  <c r="I14" i="3"/>
  <c r="J14" i="3"/>
  <c r="K14" i="3"/>
  <c r="L14" i="3"/>
  <c r="M14" i="3"/>
  <c r="N14" i="3"/>
  <c r="O14" i="3"/>
  <c r="P14" i="3"/>
  <c r="Q14" i="3"/>
  <c r="R14" i="3"/>
  <c r="G15" i="3"/>
  <c r="H15" i="3"/>
  <c r="I15" i="3"/>
  <c r="J15" i="3"/>
  <c r="K15" i="3"/>
  <c r="L15" i="3"/>
  <c r="M15" i="3"/>
  <c r="N15" i="3"/>
  <c r="O15" i="3"/>
  <c r="P15" i="3"/>
  <c r="Q15" i="3"/>
  <c r="R15" i="3"/>
  <c r="G16" i="3"/>
  <c r="H16" i="3"/>
  <c r="I16" i="3"/>
  <c r="J16" i="3"/>
  <c r="K16" i="3"/>
  <c r="L16" i="3"/>
  <c r="M16" i="3"/>
  <c r="N16" i="3"/>
  <c r="O16" i="3"/>
  <c r="P16" i="3"/>
  <c r="Q16" i="3"/>
  <c r="R16" i="3"/>
  <c r="G17" i="3"/>
  <c r="H17" i="3"/>
  <c r="I17" i="3"/>
  <c r="J17" i="3"/>
  <c r="K17" i="3"/>
  <c r="L17" i="3"/>
  <c r="M17" i="3"/>
  <c r="N17" i="3"/>
  <c r="O17" i="3"/>
  <c r="P17" i="3"/>
  <c r="Q17" i="3"/>
  <c r="R17" i="3"/>
  <c r="G18" i="3"/>
  <c r="H18" i="3"/>
  <c r="I18" i="3"/>
  <c r="J18" i="3"/>
  <c r="K18" i="3"/>
  <c r="L18" i="3"/>
  <c r="M18" i="3"/>
  <c r="N18" i="3"/>
  <c r="O18" i="3"/>
  <c r="P18" i="3"/>
  <c r="Q18" i="3"/>
  <c r="R18" i="3"/>
  <c r="G19" i="3"/>
  <c r="H19" i="3"/>
  <c r="I19" i="3"/>
  <c r="J19" i="3"/>
  <c r="K19" i="3"/>
  <c r="L19" i="3"/>
  <c r="M19" i="3"/>
  <c r="N19" i="3"/>
  <c r="O19" i="3"/>
  <c r="P19" i="3"/>
  <c r="Q19" i="3"/>
  <c r="R19" i="3"/>
  <c r="G20" i="3"/>
  <c r="H20" i="3"/>
  <c r="I20" i="3"/>
  <c r="J20" i="3"/>
  <c r="K20" i="3"/>
  <c r="L20" i="3"/>
  <c r="M20" i="3"/>
  <c r="N20" i="3"/>
  <c r="O20" i="3"/>
  <c r="P20" i="3"/>
  <c r="Q20" i="3"/>
  <c r="R20" i="3"/>
  <c r="G21" i="3"/>
  <c r="H21" i="3"/>
  <c r="I21" i="3"/>
  <c r="J21" i="3"/>
  <c r="K21" i="3"/>
  <c r="L21" i="3"/>
  <c r="M21" i="3"/>
  <c r="N21" i="3"/>
  <c r="O21" i="3"/>
  <c r="P21" i="3"/>
  <c r="Q21" i="3"/>
  <c r="R21" i="3"/>
  <c r="G22" i="3"/>
  <c r="H22" i="3"/>
  <c r="I22" i="3"/>
  <c r="J22" i="3"/>
  <c r="K22" i="3"/>
  <c r="L22" i="3"/>
  <c r="M22" i="3"/>
  <c r="N22" i="3"/>
  <c r="O22" i="3"/>
  <c r="P22" i="3"/>
  <c r="Q22" i="3"/>
  <c r="R22" i="3"/>
  <c r="G23" i="3"/>
  <c r="H23" i="3"/>
  <c r="I23" i="3"/>
  <c r="J23" i="3"/>
  <c r="K23" i="3"/>
  <c r="L23" i="3"/>
  <c r="M23" i="3"/>
  <c r="N23" i="3"/>
  <c r="O23" i="3"/>
  <c r="P23" i="3"/>
  <c r="Q23" i="3"/>
  <c r="R23" i="3"/>
  <c r="G24" i="3"/>
  <c r="H24" i="3"/>
  <c r="I24" i="3"/>
  <c r="J24" i="3"/>
  <c r="K24" i="3"/>
  <c r="L24" i="3"/>
  <c r="M24" i="3"/>
  <c r="N24" i="3"/>
  <c r="O24" i="3"/>
  <c r="P24" i="3"/>
  <c r="Q24" i="3"/>
  <c r="R24" i="3"/>
  <c r="G25" i="3"/>
  <c r="H25" i="3"/>
  <c r="I25" i="3"/>
  <c r="J25" i="3"/>
  <c r="K25" i="3"/>
  <c r="L25" i="3"/>
  <c r="M25" i="3"/>
  <c r="N25" i="3"/>
  <c r="O25" i="3"/>
  <c r="P25" i="3"/>
  <c r="Q25" i="3"/>
  <c r="R25" i="3"/>
  <c r="G26" i="3"/>
  <c r="H26" i="3"/>
  <c r="I26" i="3"/>
  <c r="J26" i="3"/>
  <c r="K26" i="3"/>
  <c r="L26" i="3"/>
  <c r="M26" i="3"/>
  <c r="N26" i="3"/>
  <c r="O26" i="3"/>
  <c r="P26" i="3"/>
  <c r="Q26" i="3"/>
  <c r="R26" i="3"/>
  <c r="G27" i="3"/>
  <c r="H27" i="3"/>
  <c r="I27" i="3"/>
  <c r="J27" i="3"/>
  <c r="K27" i="3"/>
  <c r="L27" i="3"/>
  <c r="M27" i="3"/>
  <c r="N27" i="3"/>
  <c r="O27" i="3"/>
  <c r="P27" i="3"/>
  <c r="Q27" i="3"/>
  <c r="R27" i="3"/>
  <c r="G28" i="3"/>
  <c r="H28" i="3"/>
  <c r="I28" i="3"/>
  <c r="J28" i="3"/>
  <c r="K28" i="3"/>
  <c r="L28" i="3"/>
  <c r="M28" i="3"/>
  <c r="N28" i="3"/>
  <c r="O28" i="3"/>
  <c r="P28" i="3"/>
  <c r="Q28" i="3"/>
  <c r="R28" i="3"/>
  <c r="G29" i="3"/>
  <c r="H29" i="3"/>
  <c r="I29" i="3"/>
  <c r="J29" i="3"/>
  <c r="K29" i="3"/>
  <c r="L29" i="3"/>
  <c r="M29" i="3"/>
  <c r="N29" i="3"/>
  <c r="O29" i="3"/>
  <c r="P29" i="3"/>
  <c r="Q29" i="3"/>
  <c r="R29" i="3"/>
  <c r="G30" i="3"/>
  <c r="H30" i="3"/>
  <c r="I30" i="3"/>
  <c r="J30" i="3"/>
  <c r="K30" i="3"/>
  <c r="L30" i="3"/>
  <c r="M30" i="3"/>
  <c r="N30" i="3"/>
  <c r="O30" i="3"/>
  <c r="P30" i="3"/>
  <c r="Q30" i="3"/>
  <c r="R30" i="3"/>
  <c r="G31" i="3"/>
  <c r="H31" i="3"/>
  <c r="I31" i="3"/>
  <c r="J31" i="3"/>
  <c r="K31" i="3"/>
  <c r="L31" i="3"/>
  <c r="M31" i="3"/>
  <c r="N31" i="3"/>
  <c r="O31" i="3"/>
  <c r="P31" i="3"/>
  <c r="Q31" i="3"/>
  <c r="R31" i="3"/>
  <c r="G32" i="3"/>
  <c r="H32" i="3"/>
  <c r="I32" i="3"/>
  <c r="J32" i="3"/>
  <c r="K32" i="3"/>
  <c r="L32" i="3"/>
  <c r="M32" i="3"/>
  <c r="N32" i="3"/>
  <c r="O32" i="3"/>
  <c r="P32" i="3"/>
  <c r="Q32" i="3"/>
  <c r="R32" i="3"/>
  <c r="G33" i="3"/>
  <c r="H33" i="3"/>
  <c r="I33" i="3"/>
  <c r="J33" i="3"/>
  <c r="K33" i="3"/>
  <c r="L33" i="3"/>
  <c r="M33" i="3"/>
  <c r="N33" i="3"/>
  <c r="O33" i="3"/>
  <c r="P33" i="3"/>
  <c r="Q33" i="3"/>
  <c r="R33" i="3"/>
  <c r="G34" i="3"/>
  <c r="H34" i="3"/>
  <c r="I34" i="3"/>
  <c r="J34" i="3"/>
  <c r="K34" i="3"/>
  <c r="L34" i="3"/>
  <c r="M34" i="3"/>
  <c r="N34" i="3"/>
  <c r="O34" i="3"/>
  <c r="P34" i="3"/>
  <c r="Q34" i="3"/>
  <c r="R34" i="3"/>
  <c r="G35" i="3"/>
  <c r="H35" i="3"/>
  <c r="I35" i="3"/>
  <c r="J35" i="3"/>
  <c r="K35" i="3"/>
  <c r="L35" i="3"/>
  <c r="M35" i="3"/>
  <c r="N35" i="3"/>
  <c r="O35" i="3"/>
  <c r="P35" i="3"/>
  <c r="Q35" i="3"/>
  <c r="R35" i="3"/>
  <c r="G36" i="3"/>
  <c r="H36" i="3"/>
  <c r="I36" i="3"/>
  <c r="J36" i="3"/>
  <c r="K36" i="3"/>
  <c r="L36" i="3"/>
  <c r="M36" i="3"/>
  <c r="N36" i="3"/>
  <c r="O36" i="3"/>
  <c r="P36" i="3"/>
  <c r="Q36" i="3"/>
  <c r="R36" i="3"/>
  <c r="G37" i="3"/>
  <c r="H37" i="3"/>
  <c r="I37" i="3"/>
  <c r="J37" i="3"/>
  <c r="K37" i="3"/>
  <c r="L37" i="3"/>
  <c r="M37" i="3"/>
  <c r="N37" i="3"/>
  <c r="O37" i="3"/>
  <c r="P37" i="3"/>
  <c r="Q37" i="3"/>
  <c r="R37" i="3"/>
  <c r="G38" i="3"/>
  <c r="H38" i="3"/>
  <c r="I38" i="3"/>
  <c r="J38" i="3"/>
  <c r="K38" i="3"/>
  <c r="L38" i="3"/>
  <c r="M38" i="3"/>
  <c r="N38" i="3"/>
  <c r="O38" i="3"/>
  <c r="P38" i="3"/>
  <c r="Q38" i="3"/>
  <c r="R38" i="3"/>
  <c r="G39" i="3"/>
  <c r="H39" i="3"/>
  <c r="I39" i="3"/>
  <c r="J39" i="3"/>
  <c r="K39" i="3"/>
  <c r="L39" i="3"/>
  <c r="M39" i="3"/>
  <c r="N39" i="3"/>
  <c r="O39" i="3"/>
  <c r="P39" i="3"/>
  <c r="Q39" i="3"/>
  <c r="R39" i="3"/>
  <c r="G40" i="3"/>
  <c r="H40" i="3"/>
  <c r="I40" i="3"/>
  <c r="J40" i="3"/>
  <c r="K40" i="3"/>
  <c r="L40" i="3"/>
  <c r="M40" i="3"/>
  <c r="N40" i="3"/>
  <c r="O40" i="3"/>
  <c r="P40" i="3"/>
  <c r="Q40" i="3"/>
  <c r="R40" i="3"/>
  <c r="G41" i="3"/>
  <c r="H41" i="3"/>
  <c r="I41" i="3"/>
  <c r="J41" i="3"/>
  <c r="K41" i="3"/>
  <c r="L41" i="3"/>
  <c r="M41" i="3"/>
  <c r="N41" i="3"/>
  <c r="O41" i="3"/>
  <c r="P41" i="3"/>
  <c r="Q41" i="3"/>
  <c r="R41" i="3"/>
  <c r="G42" i="3"/>
  <c r="H42" i="3"/>
  <c r="I42" i="3"/>
  <c r="J42" i="3"/>
  <c r="K42" i="3"/>
  <c r="L42" i="3"/>
  <c r="M42" i="3"/>
  <c r="N42" i="3"/>
  <c r="O42" i="3"/>
  <c r="P42" i="3"/>
  <c r="Q42" i="3"/>
  <c r="R42" i="3"/>
  <c r="G43" i="3"/>
  <c r="H43" i="3"/>
  <c r="I43" i="3"/>
  <c r="J43" i="3"/>
  <c r="K43" i="3"/>
  <c r="L43" i="3"/>
  <c r="M43" i="3"/>
  <c r="N43" i="3"/>
  <c r="O43" i="3"/>
  <c r="P43" i="3"/>
  <c r="Q43" i="3"/>
  <c r="R43" i="3"/>
  <c r="G44" i="3"/>
  <c r="H44" i="3"/>
  <c r="I44" i="3"/>
  <c r="J44" i="3"/>
  <c r="K44" i="3"/>
  <c r="L44" i="3"/>
  <c r="M44" i="3"/>
  <c r="N44" i="3"/>
  <c r="O44" i="3"/>
  <c r="P44" i="3"/>
  <c r="Q44" i="3"/>
  <c r="R44" i="3"/>
  <c r="G45" i="3"/>
  <c r="H45" i="3"/>
  <c r="I45" i="3"/>
  <c r="J45" i="3"/>
  <c r="K45" i="3"/>
  <c r="L45" i="3"/>
  <c r="M45" i="3"/>
  <c r="N45" i="3"/>
  <c r="O45" i="3"/>
  <c r="P45" i="3"/>
  <c r="Q45" i="3"/>
  <c r="R45" i="3"/>
  <c r="G46" i="3"/>
  <c r="H46" i="3"/>
  <c r="I46" i="3"/>
  <c r="J46" i="3"/>
  <c r="K46" i="3"/>
  <c r="L46" i="3"/>
  <c r="M46" i="3"/>
  <c r="N46" i="3"/>
  <c r="O46" i="3"/>
  <c r="P46" i="3"/>
  <c r="Q46" i="3"/>
  <c r="R46" i="3"/>
  <c r="G47" i="3"/>
  <c r="H47" i="3"/>
  <c r="I47" i="3"/>
  <c r="J47" i="3"/>
  <c r="K47" i="3"/>
  <c r="L47" i="3"/>
  <c r="M47" i="3"/>
  <c r="N47" i="3"/>
  <c r="O47" i="3"/>
  <c r="P47" i="3"/>
  <c r="Q47" i="3"/>
  <c r="R47" i="3"/>
  <c r="G48" i="3"/>
  <c r="H48" i="3"/>
  <c r="I48" i="3"/>
  <c r="J48" i="3"/>
  <c r="K48" i="3"/>
  <c r="L48" i="3"/>
  <c r="M48" i="3"/>
  <c r="N48" i="3"/>
  <c r="O48" i="3"/>
  <c r="P48" i="3"/>
  <c r="Q48" i="3"/>
  <c r="R48" i="3"/>
  <c r="G49" i="3"/>
  <c r="H49" i="3"/>
  <c r="I49" i="3"/>
  <c r="J49" i="3"/>
  <c r="K49" i="3"/>
  <c r="L49" i="3"/>
  <c r="M49" i="3"/>
  <c r="N49" i="3"/>
  <c r="O49" i="3"/>
  <c r="P49" i="3"/>
  <c r="Q49" i="3"/>
  <c r="R49" i="3"/>
  <c r="G50" i="3"/>
  <c r="H50" i="3"/>
  <c r="I50" i="3"/>
  <c r="J50" i="3"/>
  <c r="K50" i="3"/>
  <c r="L50" i="3"/>
  <c r="M50" i="3"/>
  <c r="N50" i="3"/>
  <c r="O50" i="3"/>
  <c r="P50" i="3"/>
  <c r="Q50" i="3"/>
  <c r="R50" i="3"/>
  <c r="G51" i="3"/>
  <c r="H51" i="3"/>
  <c r="I51" i="3"/>
  <c r="J51" i="3"/>
  <c r="K51" i="3"/>
  <c r="L51" i="3"/>
  <c r="M51" i="3"/>
  <c r="N51" i="3"/>
  <c r="O51" i="3"/>
  <c r="P51" i="3"/>
  <c r="Q51" i="3"/>
  <c r="R51" i="3"/>
  <c r="G52" i="3"/>
  <c r="H52" i="3"/>
  <c r="I52" i="3"/>
  <c r="J52" i="3"/>
  <c r="K52" i="3"/>
  <c r="L52" i="3"/>
  <c r="M52" i="3"/>
  <c r="N52" i="3"/>
  <c r="O52" i="3"/>
  <c r="P52" i="3"/>
  <c r="Q52" i="3"/>
  <c r="R52" i="3"/>
  <c r="G53" i="3"/>
  <c r="H53" i="3"/>
  <c r="I53" i="3"/>
  <c r="J53" i="3"/>
  <c r="K53" i="3"/>
  <c r="L53" i="3"/>
  <c r="M53" i="3"/>
  <c r="N53" i="3"/>
  <c r="O53" i="3"/>
  <c r="P53" i="3"/>
  <c r="Q53" i="3"/>
  <c r="R53" i="3"/>
  <c r="G54" i="3"/>
  <c r="H54" i="3"/>
  <c r="I54" i="3"/>
  <c r="J54" i="3"/>
  <c r="K54" i="3"/>
  <c r="L54" i="3"/>
  <c r="M54" i="3"/>
  <c r="N54" i="3"/>
  <c r="O54" i="3"/>
  <c r="P54" i="3"/>
  <c r="Q54" i="3"/>
  <c r="R54" i="3"/>
  <c r="G55" i="3"/>
  <c r="H55" i="3"/>
  <c r="I55" i="3"/>
  <c r="J55" i="3"/>
  <c r="K55" i="3"/>
  <c r="L55" i="3"/>
  <c r="M55" i="3"/>
  <c r="N55" i="3"/>
  <c r="O55" i="3"/>
  <c r="P55" i="3"/>
  <c r="Q55" i="3"/>
  <c r="R55" i="3"/>
  <c r="G56" i="3"/>
  <c r="H56" i="3"/>
  <c r="I56" i="3"/>
  <c r="J56" i="3"/>
  <c r="K56" i="3"/>
  <c r="L56" i="3"/>
  <c r="M56" i="3"/>
  <c r="N56" i="3"/>
  <c r="O56" i="3"/>
  <c r="P56" i="3"/>
  <c r="Q56" i="3"/>
  <c r="R56" i="3"/>
  <c r="G57" i="3"/>
  <c r="H57" i="3"/>
  <c r="I57" i="3"/>
  <c r="J57" i="3"/>
  <c r="K57" i="3"/>
  <c r="L57" i="3"/>
  <c r="M57" i="3"/>
  <c r="N57" i="3"/>
  <c r="O57" i="3"/>
  <c r="P57" i="3"/>
  <c r="Q57" i="3"/>
  <c r="R57" i="3"/>
  <c r="G58" i="3"/>
  <c r="H58" i="3"/>
  <c r="I58" i="3"/>
  <c r="J58" i="3"/>
  <c r="K58" i="3"/>
  <c r="L58" i="3"/>
  <c r="M58" i="3"/>
  <c r="N58" i="3"/>
  <c r="O58" i="3"/>
  <c r="P58" i="3"/>
  <c r="Q58" i="3"/>
  <c r="R58" i="3"/>
  <c r="G59" i="3"/>
  <c r="H59" i="3"/>
  <c r="I59" i="3"/>
  <c r="J59" i="3"/>
  <c r="K59" i="3"/>
  <c r="L59" i="3"/>
  <c r="M59" i="3"/>
  <c r="N59" i="3"/>
  <c r="O59" i="3"/>
  <c r="P59" i="3"/>
  <c r="Q59" i="3"/>
  <c r="R59" i="3"/>
  <c r="G60" i="3"/>
  <c r="H60" i="3"/>
  <c r="I60" i="3"/>
  <c r="J60" i="3"/>
  <c r="K60" i="3"/>
  <c r="L60" i="3"/>
  <c r="M60" i="3"/>
  <c r="N60" i="3"/>
  <c r="O60" i="3"/>
  <c r="P60" i="3"/>
  <c r="Q60" i="3"/>
  <c r="R60" i="3"/>
  <c r="G61" i="3"/>
  <c r="H61" i="3"/>
  <c r="I61" i="3"/>
  <c r="J61" i="3"/>
  <c r="K61" i="3"/>
  <c r="L61" i="3"/>
  <c r="M61" i="3"/>
  <c r="N61" i="3"/>
  <c r="O61" i="3"/>
  <c r="P61" i="3"/>
  <c r="Q61" i="3"/>
  <c r="R61" i="3"/>
  <c r="G62" i="3"/>
  <c r="H62" i="3"/>
  <c r="I62" i="3"/>
  <c r="J62" i="3"/>
  <c r="K62" i="3"/>
  <c r="L62" i="3"/>
  <c r="M62" i="3"/>
  <c r="N62" i="3"/>
  <c r="O62" i="3"/>
  <c r="P62" i="3"/>
  <c r="Q62" i="3"/>
  <c r="R62" i="3"/>
  <c r="G63" i="3"/>
  <c r="H63" i="3"/>
  <c r="I63" i="3"/>
  <c r="J63" i="3"/>
  <c r="K63" i="3"/>
  <c r="L63" i="3"/>
  <c r="M63" i="3"/>
  <c r="N63" i="3"/>
  <c r="O63" i="3"/>
  <c r="P63" i="3"/>
  <c r="Q63" i="3"/>
  <c r="R63" i="3"/>
  <c r="G64" i="3"/>
  <c r="H64" i="3"/>
  <c r="I64" i="3"/>
  <c r="J64" i="3"/>
  <c r="K64" i="3"/>
  <c r="L64" i="3"/>
  <c r="M64" i="3"/>
  <c r="N64" i="3"/>
  <c r="O64" i="3"/>
  <c r="P64" i="3"/>
  <c r="Q64" i="3"/>
  <c r="R64" i="3"/>
  <c r="G65" i="3"/>
  <c r="H65" i="3"/>
  <c r="I65" i="3"/>
  <c r="J65" i="3"/>
  <c r="K65" i="3"/>
  <c r="L65" i="3"/>
  <c r="M65" i="3"/>
  <c r="N65" i="3"/>
  <c r="O65" i="3"/>
  <c r="P65" i="3"/>
  <c r="Q65" i="3"/>
  <c r="R65" i="3"/>
  <c r="G66" i="3"/>
  <c r="H66" i="3"/>
  <c r="I66" i="3"/>
  <c r="J66" i="3"/>
  <c r="K66" i="3"/>
  <c r="L66" i="3"/>
  <c r="M66" i="3"/>
  <c r="N66" i="3"/>
  <c r="O66" i="3"/>
  <c r="P66" i="3"/>
  <c r="Q66" i="3"/>
  <c r="R66" i="3"/>
  <c r="G67" i="3"/>
  <c r="H67" i="3"/>
  <c r="I67" i="3"/>
  <c r="J67" i="3"/>
  <c r="K67" i="3"/>
  <c r="L67" i="3"/>
  <c r="M67" i="3"/>
  <c r="N67" i="3"/>
  <c r="O67" i="3"/>
  <c r="P67" i="3"/>
  <c r="Q67" i="3"/>
  <c r="R67" i="3"/>
  <c r="G68" i="3"/>
  <c r="H68" i="3"/>
  <c r="I68" i="3"/>
  <c r="J68" i="3"/>
  <c r="K68" i="3"/>
  <c r="L68" i="3"/>
  <c r="M68" i="3"/>
  <c r="N68" i="3"/>
  <c r="O68" i="3"/>
  <c r="P68" i="3"/>
  <c r="Q68" i="3"/>
  <c r="R68" i="3"/>
  <c r="G69" i="3"/>
  <c r="H69" i="3"/>
  <c r="I69" i="3"/>
  <c r="J69" i="3"/>
  <c r="K69" i="3"/>
  <c r="L69" i="3"/>
  <c r="M69" i="3"/>
  <c r="N69" i="3"/>
  <c r="O69" i="3"/>
  <c r="P69" i="3"/>
  <c r="Q69" i="3"/>
  <c r="R69" i="3"/>
  <c r="G70" i="3"/>
  <c r="H70" i="3"/>
  <c r="I70" i="3"/>
  <c r="J70" i="3"/>
  <c r="K70" i="3"/>
  <c r="L70" i="3"/>
  <c r="M70" i="3"/>
  <c r="N70" i="3"/>
  <c r="O70" i="3"/>
  <c r="P70" i="3"/>
  <c r="Q70" i="3"/>
  <c r="R70" i="3"/>
  <c r="G71" i="3"/>
  <c r="H71" i="3"/>
  <c r="I71" i="3"/>
  <c r="J71" i="3"/>
  <c r="K71" i="3"/>
  <c r="L71" i="3"/>
  <c r="M71" i="3"/>
  <c r="N71" i="3"/>
  <c r="O71" i="3"/>
  <c r="P71" i="3"/>
  <c r="Q71" i="3"/>
  <c r="R71" i="3"/>
  <c r="G72" i="3"/>
  <c r="H72" i="3"/>
  <c r="I72" i="3"/>
  <c r="J72" i="3"/>
  <c r="K72" i="3"/>
  <c r="L72" i="3"/>
  <c r="M72" i="3"/>
  <c r="N72" i="3"/>
  <c r="O72" i="3"/>
  <c r="P72" i="3"/>
  <c r="Q72" i="3"/>
  <c r="R72" i="3"/>
  <c r="G73" i="3"/>
  <c r="H73" i="3"/>
  <c r="I73" i="3"/>
  <c r="J73" i="3"/>
  <c r="K73" i="3"/>
  <c r="L73" i="3"/>
  <c r="M73" i="3"/>
  <c r="N73" i="3"/>
  <c r="O73" i="3"/>
  <c r="P73" i="3"/>
  <c r="Q73" i="3"/>
  <c r="R73" i="3"/>
  <c r="G74" i="3"/>
  <c r="H74" i="3"/>
  <c r="I74" i="3"/>
  <c r="J74" i="3"/>
  <c r="K74" i="3"/>
  <c r="L74" i="3"/>
  <c r="M74" i="3"/>
  <c r="N74" i="3"/>
  <c r="O74" i="3"/>
  <c r="P74" i="3"/>
  <c r="Q74" i="3"/>
  <c r="R74" i="3"/>
  <c r="G75" i="3"/>
  <c r="H75" i="3"/>
  <c r="I75" i="3"/>
  <c r="J75" i="3"/>
  <c r="K75" i="3"/>
  <c r="L75" i="3"/>
  <c r="M75" i="3"/>
  <c r="N75" i="3"/>
  <c r="O75" i="3"/>
  <c r="P75" i="3"/>
  <c r="Q75" i="3"/>
  <c r="R75" i="3"/>
  <c r="G76" i="3"/>
  <c r="H76" i="3"/>
  <c r="I76" i="3"/>
  <c r="J76" i="3"/>
  <c r="K76" i="3"/>
  <c r="L76" i="3"/>
  <c r="M76" i="3"/>
  <c r="N76" i="3"/>
  <c r="O76" i="3"/>
  <c r="P76" i="3"/>
  <c r="Q76" i="3"/>
  <c r="R76" i="3"/>
  <c r="G77" i="3"/>
  <c r="H77" i="3"/>
  <c r="I77" i="3"/>
  <c r="J77" i="3"/>
  <c r="K77" i="3"/>
  <c r="L77" i="3"/>
  <c r="M77" i="3"/>
  <c r="N77" i="3"/>
  <c r="O77" i="3"/>
  <c r="P77" i="3"/>
  <c r="Q77" i="3"/>
  <c r="R77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S75" i="3" l="1"/>
  <c r="S72" i="3"/>
  <c r="S70" i="3"/>
  <c r="S67" i="3"/>
  <c r="S64" i="3"/>
  <c r="S62" i="3"/>
  <c r="S59" i="3"/>
  <c r="S56" i="3"/>
  <c r="S54" i="3"/>
  <c r="S52" i="3"/>
  <c r="S50" i="3"/>
  <c r="S47" i="3"/>
  <c r="S43" i="3"/>
  <c r="S40" i="3"/>
  <c r="S39" i="3"/>
  <c r="S36" i="3"/>
  <c r="S35" i="3"/>
  <c r="S32" i="3"/>
  <c r="S31" i="3"/>
  <c r="S30" i="3"/>
  <c r="S28" i="3"/>
  <c r="S27" i="3"/>
  <c r="S24" i="3"/>
  <c r="S22" i="3"/>
  <c r="S76" i="3"/>
  <c r="S74" i="3"/>
  <c r="S71" i="3"/>
  <c r="S68" i="3"/>
  <c r="S66" i="3"/>
  <c r="S63" i="3"/>
  <c r="S60" i="3"/>
  <c r="S58" i="3"/>
  <c r="S55" i="3"/>
  <c r="S51" i="3"/>
  <c r="S48" i="3"/>
  <c r="S46" i="3"/>
  <c r="S44" i="3"/>
  <c r="S42" i="3"/>
  <c r="S38" i="3"/>
  <c r="S34" i="3"/>
  <c r="S26" i="3"/>
  <c r="S23" i="3"/>
  <c r="S20" i="3"/>
  <c r="S19" i="3"/>
  <c r="S18" i="3"/>
  <c r="S16" i="3"/>
  <c r="S15" i="3"/>
  <c r="S14" i="3"/>
  <c r="S12" i="3"/>
  <c r="S11" i="3"/>
  <c r="S10" i="3"/>
  <c r="S8" i="3"/>
  <c r="S7" i="3"/>
  <c r="S6" i="3"/>
  <c r="S5" i="3"/>
  <c r="S69" i="3"/>
  <c r="S49" i="3"/>
  <c r="S17" i="3"/>
  <c r="S73" i="3"/>
  <c r="S61" i="3"/>
  <c r="S45" i="3"/>
  <c r="S37" i="3"/>
  <c r="S29" i="3"/>
  <c r="S9" i="3"/>
  <c r="S77" i="3"/>
  <c r="S65" i="3"/>
  <c r="S57" i="3"/>
  <c r="S53" i="3"/>
  <c r="S41" i="3"/>
  <c r="S33" i="3"/>
  <c r="S25" i="3"/>
  <c r="S21" i="3"/>
  <c r="S13" i="3"/>
</calcChain>
</file>

<file path=xl/sharedStrings.xml><?xml version="1.0" encoding="utf-8"?>
<sst xmlns="http://schemas.openxmlformats.org/spreadsheetml/2006/main" count="204" uniqueCount="104">
  <si>
    <t>No.</t>
  </si>
  <si>
    <t>Registro</t>
  </si>
  <si>
    <t>Nombres</t>
  </si>
  <si>
    <t>HT1 inge (29/07/2025)</t>
  </si>
  <si>
    <t>HT2 inge (1/08/2025)</t>
  </si>
  <si>
    <t>HT3  inge(13/08/2025)</t>
  </si>
  <si>
    <t>HT4  inge(29/08/2025)</t>
  </si>
  <si>
    <t>HT(12/08/2025)</t>
  </si>
  <si>
    <t>HT(19/08/2025)</t>
  </si>
  <si>
    <t>HT5 (28/08/2025)</t>
  </si>
  <si>
    <t>HT (2/09/2025)</t>
  </si>
  <si>
    <t>TAREA (2/09/2025)</t>
  </si>
  <si>
    <t>HT 7 (11/09/2025)</t>
  </si>
  <si>
    <t>H8 (23/09/2025)</t>
  </si>
  <si>
    <t>HT(9/10/2025)</t>
  </si>
  <si>
    <t>HT(16/10/2025)</t>
  </si>
  <si>
    <t>Proyecto Final</t>
  </si>
  <si>
    <t>Pérez Aráuz Bily Bilsen Américo</t>
  </si>
  <si>
    <t>Macario Xicara Daniel Enrique</t>
  </si>
  <si>
    <t>Gomez Miranda Ronald Eliu</t>
  </si>
  <si>
    <t>Sum Agustin Cristian Yair</t>
  </si>
  <si>
    <t>Norato Batz Gabriel Alexander</t>
  </si>
  <si>
    <t>Orozco Bautista Cristian Emanuel</t>
  </si>
  <si>
    <t>Juárez Pinzón Yheshua Hermany</t>
  </si>
  <si>
    <t>Poncio Chávez Kevin José Moisés</t>
  </si>
  <si>
    <t>Maldonado Ramírez Leandry Analisse</t>
  </si>
  <si>
    <t>López Pereira Marcos Gadiel</t>
  </si>
  <si>
    <t>Osorio Alvarez Lesther Noel</t>
  </si>
  <si>
    <t>Ventura Ramón Allan Bacilio Guadalupe</t>
  </si>
  <si>
    <t>Gómez Gómez Flor De María</t>
  </si>
  <si>
    <t>Sacalxot Fuentes Ricardo Josué</t>
  </si>
  <si>
    <t>Baquiax Hernández Jackelin Vanessa</t>
  </si>
  <si>
    <t>Colaj Aguilar Juan Carlos</t>
  </si>
  <si>
    <t>De Leon De Leon Wilder Jose Manuel</t>
  </si>
  <si>
    <t>Gabriel Tziquín Francisco Miguel</t>
  </si>
  <si>
    <t>Romero Méndez Hanier Elien</t>
  </si>
  <si>
    <t>García Hernández José Miguel</t>
  </si>
  <si>
    <t>Lem Vicente Kabawil Jose Victor</t>
  </si>
  <si>
    <t>Pérez Güinac Allan Alfonso</t>
  </si>
  <si>
    <t>Caxaj Pérez Monica Silvana</t>
  </si>
  <si>
    <t>Laynez Sanchez Domingo Williams Witt</t>
  </si>
  <si>
    <t>González Agustin Brandon Geovany</t>
  </si>
  <si>
    <t>Estrada Orozco Luis Alessandro</t>
  </si>
  <si>
    <t>Sut Canil Fátima Guadalupe</t>
  </si>
  <si>
    <t>Maldonado Alvarez Willy André</t>
  </si>
  <si>
    <t>Hilario Ixcaticoy David Francisco</t>
  </si>
  <si>
    <t>García Méndez Rubén</t>
  </si>
  <si>
    <t>Lopez Coyoy Daniel Alexander</t>
  </si>
  <si>
    <t>Hernandez Flores Maria De Los Angeles</t>
  </si>
  <si>
    <t>Ramírez Lorenzo Bécket Wenceslao</t>
  </si>
  <si>
    <t>Cux Son Josseline Paola</t>
  </si>
  <si>
    <t>Us Ochoa Emily Paola</t>
  </si>
  <si>
    <t>Montiel Pérez Fulvio Alfredo</t>
  </si>
  <si>
    <t>Aguilar Herrera Kevin Misael</t>
  </si>
  <si>
    <t>Robles Barán Christian Fernando</t>
  </si>
  <si>
    <t>Lopez Rodriguez Marvin Josue</t>
  </si>
  <si>
    <t>Matul Figueroa Estefani Abigail</t>
  </si>
  <si>
    <t>Xiquin Yoxón Fernando David</t>
  </si>
  <si>
    <t>Caxaj Tale Jeremy Roman</t>
  </si>
  <si>
    <t>Say Tax Mario Francisco David</t>
  </si>
  <si>
    <t>Sac Ajxup Joel Isaac</t>
  </si>
  <si>
    <t>Sacalxot Escobar Manuel</t>
  </si>
  <si>
    <t>Poron Quiacain Emman Didier Nicolas</t>
  </si>
  <si>
    <t>Chojolan Macario Heydi Maritza</t>
  </si>
  <si>
    <t>Yancor Ocana Maria Fernanda</t>
  </si>
  <si>
    <t>Salanic Garcia Bryan Rocael</t>
  </si>
  <si>
    <t>Vasquez Peneleu Estuardo Rafael</t>
  </si>
  <si>
    <t>Campollo Garcia Juan Rodrigo</t>
  </si>
  <si>
    <t>Perez Choxom Lidia Alejandra</t>
  </si>
  <si>
    <t>Xivir Xivir Alex Felipe</t>
  </si>
  <si>
    <t>Ramos Cholotio Juan Antonio</t>
  </si>
  <si>
    <t>Fuentes Perez Nelfin Ulises</t>
  </si>
  <si>
    <t>Cac Tzoc Obed Absalon</t>
  </si>
  <si>
    <t>Ramirez García Astrid Alejandra</t>
  </si>
  <si>
    <t>Tistoj Quixtan Daniel Alejandro</t>
  </si>
  <si>
    <t>Copp Elías Esteban Fernando</t>
  </si>
  <si>
    <t>Macario López Débora Marian</t>
  </si>
  <si>
    <t>Lux Xulá Anthony Smaylin</t>
  </si>
  <si>
    <t>Zapeta Pur Angel Herson Jose</t>
  </si>
  <si>
    <t>Garcia Mendez Michael Anderson</t>
  </si>
  <si>
    <t>Juárez González Wilmer Ronaél</t>
  </si>
  <si>
    <t>Recinos Maldonado Jerry Francisco</t>
  </si>
  <si>
    <t>Rodríguez Carreto Brenda Michelle</t>
  </si>
  <si>
    <t>Bach Camaja Ilsi Juanita Magdalena</t>
  </si>
  <si>
    <t>Pelicó Alvarez Astrid Yohana</t>
  </si>
  <si>
    <t>Coyoy Lucas Edgar Inocente Isaac</t>
  </si>
  <si>
    <t>Pastor Cajchum Billy Bequer</t>
  </si>
  <si>
    <t>Jiménez Gómez Angel Daniel Dominique</t>
  </si>
  <si>
    <t xml:space="preserve">José Alexander López Cantoral </t>
  </si>
  <si>
    <t xml:space="preserve">Fredi Horlando Cotom Pérez </t>
  </si>
  <si>
    <t>Total Estudiantes: 0</t>
  </si>
  <si>
    <t>Punteos Finales</t>
  </si>
  <si>
    <t xml:space="preserve">Geometria y ecuaciones </t>
  </si>
  <si>
    <t>Investigacion teorica polinimios</t>
  </si>
  <si>
    <t xml:space="preserve">Graficas </t>
  </si>
  <si>
    <t>Funciones Racionales, Asintotas</t>
  </si>
  <si>
    <t>division de Polinomios</t>
  </si>
  <si>
    <t>Sol y graficas de polinomios</t>
  </si>
  <si>
    <t>Funciones 1</t>
  </si>
  <si>
    <t>Funciones 2</t>
  </si>
  <si>
    <t>Funciones Exp, N, Log</t>
  </si>
  <si>
    <t>Total que sacaron 100</t>
  </si>
  <si>
    <t>Total que no sacaron 100</t>
  </si>
  <si>
    <t>Total que sacaron mayor a 0 pero menor a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</si>
</sst>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8235A-9D8A-4CEA-9FB5-B1E762F87E9A}">
  <dimension ref="B2:X82"/>
  <sheetViews>
    <sheetView topLeftCell="M4" zoomScaleNormal="100" workbookViewId="0">
      <selection activeCell="T82" sqref="T82"/>
    </sheetView>
  </sheetViews>
  <sheetFormatPr baseColWidth="10" defaultRowHeight="15" x14ac:dyDescent="0.25"/>
  <cols>
    <col min="4" max="4" width="37.85546875" customWidth="1"/>
    <col min="5" max="5" width="11.28515625" customWidth="1"/>
    <col min="9" max="9" width="19.140625" customWidth="1"/>
    <col min="10" max="10" width="14" customWidth="1"/>
    <col min="11" max="11" width="15.42578125" customWidth="1"/>
    <col min="12" max="12" width="15.85546875" customWidth="1"/>
    <col min="13" max="13" width="20.85546875" customWidth="1"/>
    <col min="14" max="14" width="18.42578125" customWidth="1"/>
    <col min="15" max="15" width="15.42578125" customWidth="1"/>
    <col min="16" max="16" width="17.7109375" customWidth="1"/>
    <col min="17" max="17" width="16.28515625" customWidth="1"/>
    <col min="18" max="18" width="17.7109375" customWidth="1"/>
  </cols>
  <sheetData>
    <row r="2" spans="2:24" x14ac:dyDescent="0.25">
      <c r="B2" s="1"/>
      <c r="I2" t="s">
        <v>92</v>
      </c>
      <c r="J2" t="s">
        <v>98</v>
      </c>
      <c r="K2" t="s">
        <v>99</v>
      </c>
      <c r="L2" t="s">
        <v>93</v>
      </c>
      <c r="M2" t="s">
        <v>94</v>
      </c>
      <c r="N2" t="s">
        <v>97</v>
      </c>
      <c r="O2" t="s">
        <v>96</v>
      </c>
      <c r="P2" t="s">
        <v>95</v>
      </c>
      <c r="Q2" t="s">
        <v>100</v>
      </c>
      <c r="U2" s="2"/>
      <c r="V2" s="2"/>
      <c r="W2" s="3"/>
      <c r="X2" s="3"/>
    </row>
    <row r="4" spans="2:24" x14ac:dyDescent="0.25"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5</v>
      </c>
      <c r="H4" t="s">
        <v>6</v>
      </c>
      <c r="I4" t="s">
        <v>7</v>
      </c>
      <c r="J4" t="s">
        <v>8</v>
      </c>
      <c r="K4" t="s">
        <v>9</v>
      </c>
      <c r="L4" t="s">
        <v>10</v>
      </c>
      <c r="M4" t="s">
        <v>11</v>
      </c>
      <c r="N4" t="s">
        <v>12</v>
      </c>
      <c r="O4" t="s">
        <v>13</v>
      </c>
      <c r="P4" t="s">
        <v>14</v>
      </c>
      <c r="Q4" t="s">
        <v>15</v>
      </c>
      <c r="R4" t="s">
        <v>16</v>
      </c>
    </row>
    <row r="5" spans="2:24" x14ac:dyDescent="0.25">
      <c r="B5">
        <v>1</v>
      </c>
      <c r="C5">
        <v>202030174</v>
      </c>
      <c r="D5" t="s">
        <v>17</v>
      </c>
      <c r="E5">
        <v>0</v>
      </c>
      <c r="F5">
        <v>0</v>
      </c>
      <c r="G5">
        <v>50</v>
      </c>
      <c r="H5">
        <v>0</v>
      </c>
      <c r="I5">
        <v>0</v>
      </c>
      <c r="J5">
        <v>0</v>
      </c>
      <c r="K5">
        <v>0</v>
      </c>
      <c r="L5">
        <v>100</v>
      </c>
      <c r="M5">
        <v>0</v>
      </c>
      <c r="O5">
        <v>100</v>
      </c>
      <c r="P5">
        <v>0</v>
      </c>
      <c r="Q5">
        <v>0</v>
      </c>
      <c r="R5">
        <v>0</v>
      </c>
    </row>
    <row r="6" spans="2:24" x14ac:dyDescent="0.25">
      <c r="B6">
        <v>2</v>
      </c>
      <c r="C6">
        <v>202032032</v>
      </c>
      <c r="D6" t="s">
        <v>18</v>
      </c>
      <c r="E6">
        <v>100</v>
      </c>
      <c r="F6">
        <v>0</v>
      </c>
      <c r="G6">
        <v>50</v>
      </c>
      <c r="H6">
        <v>100</v>
      </c>
      <c r="I6">
        <v>100</v>
      </c>
      <c r="J6">
        <v>100</v>
      </c>
      <c r="K6">
        <v>100</v>
      </c>
      <c r="L6">
        <v>100</v>
      </c>
      <c r="M6">
        <v>80</v>
      </c>
      <c r="N6">
        <v>100</v>
      </c>
      <c r="O6">
        <v>100</v>
      </c>
      <c r="P6">
        <v>100</v>
      </c>
      <c r="Q6">
        <v>100</v>
      </c>
      <c r="R6">
        <v>100</v>
      </c>
    </row>
    <row r="7" spans="2:24" x14ac:dyDescent="0.25">
      <c r="B7">
        <v>3</v>
      </c>
      <c r="C7">
        <v>202231116</v>
      </c>
      <c r="D7" t="s">
        <v>19</v>
      </c>
      <c r="E7">
        <v>100</v>
      </c>
      <c r="F7">
        <v>0</v>
      </c>
      <c r="G7">
        <v>100</v>
      </c>
      <c r="H7">
        <v>0</v>
      </c>
      <c r="I7">
        <v>85</v>
      </c>
      <c r="J7">
        <v>100</v>
      </c>
      <c r="K7">
        <v>100</v>
      </c>
      <c r="L7">
        <v>100</v>
      </c>
      <c r="M7">
        <v>70</v>
      </c>
      <c r="O7">
        <v>85</v>
      </c>
      <c r="P7">
        <v>80</v>
      </c>
      <c r="Q7">
        <v>0</v>
      </c>
      <c r="R7">
        <v>100</v>
      </c>
    </row>
    <row r="8" spans="2:24" x14ac:dyDescent="0.25">
      <c r="B8">
        <v>4</v>
      </c>
      <c r="C8">
        <v>202330276</v>
      </c>
      <c r="D8" t="s">
        <v>20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P8">
        <v>0</v>
      </c>
      <c r="Q8">
        <v>0</v>
      </c>
      <c r="R8">
        <v>0</v>
      </c>
    </row>
    <row r="9" spans="2:24" x14ac:dyDescent="0.25">
      <c r="B9">
        <v>5</v>
      </c>
      <c r="C9">
        <v>202331587</v>
      </c>
      <c r="D9" t="s">
        <v>21</v>
      </c>
      <c r="E9">
        <v>0</v>
      </c>
      <c r="F9">
        <v>0</v>
      </c>
      <c r="G9">
        <v>100</v>
      </c>
      <c r="H9">
        <v>90</v>
      </c>
      <c r="I9">
        <v>0</v>
      </c>
      <c r="J9">
        <v>50</v>
      </c>
      <c r="K9">
        <v>90</v>
      </c>
      <c r="L9">
        <v>80</v>
      </c>
      <c r="M9">
        <v>75</v>
      </c>
      <c r="N9">
        <v>85</v>
      </c>
      <c r="P9">
        <v>100</v>
      </c>
      <c r="Q9">
        <v>100</v>
      </c>
      <c r="R9">
        <v>100</v>
      </c>
    </row>
    <row r="10" spans="2:24" x14ac:dyDescent="0.25">
      <c r="B10">
        <v>6</v>
      </c>
      <c r="C10">
        <v>202332049</v>
      </c>
      <c r="D10" t="s">
        <v>22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P10">
        <v>0</v>
      </c>
      <c r="Q10">
        <v>0</v>
      </c>
      <c r="R10">
        <v>0</v>
      </c>
    </row>
    <row r="11" spans="2:24" x14ac:dyDescent="0.25">
      <c r="B11">
        <v>7</v>
      </c>
      <c r="C11">
        <v>202402553</v>
      </c>
      <c r="D11" t="s">
        <v>23</v>
      </c>
      <c r="E11">
        <v>100</v>
      </c>
      <c r="F11">
        <v>0</v>
      </c>
      <c r="G11">
        <v>100</v>
      </c>
      <c r="H11">
        <v>90</v>
      </c>
      <c r="I11">
        <v>60</v>
      </c>
      <c r="J11">
        <v>0</v>
      </c>
      <c r="K11">
        <v>100</v>
      </c>
      <c r="L11">
        <v>100</v>
      </c>
      <c r="M11">
        <v>50</v>
      </c>
      <c r="O11">
        <v>65</v>
      </c>
      <c r="P11">
        <v>80</v>
      </c>
      <c r="Q11">
        <v>100</v>
      </c>
      <c r="R11">
        <v>0</v>
      </c>
    </row>
    <row r="12" spans="2:24" x14ac:dyDescent="0.25">
      <c r="B12">
        <v>8</v>
      </c>
      <c r="C12">
        <v>202430271</v>
      </c>
      <c r="D12" t="s">
        <v>24</v>
      </c>
      <c r="E12">
        <v>0</v>
      </c>
      <c r="F12">
        <v>100</v>
      </c>
      <c r="G12">
        <v>0</v>
      </c>
      <c r="H12">
        <v>0</v>
      </c>
      <c r="I12">
        <v>100</v>
      </c>
      <c r="J12">
        <v>100</v>
      </c>
      <c r="K12">
        <v>0</v>
      </c>
      <c r="L12">
        <v>0</v>
      </c>
      <c r="M12">
        <v>0</v>
      </c>
      <c r="O12">
        <v>70</v>
      </c>
      <c r="P12">
        <v>80</v>
      </c>
      <c r="Q12">
        <v>0</v>
      </c>
      <c r="R12">
        <v>100</v>
      </c>
    </row>
    <row r="13" spans="2:24" x14ac:dyDescent="0.25">
      <c r="B13">
        <v>9</v>
      </c>
      <c r="C13">
        <v>202430532</v>
      </c>
      <c r="D13" t="s">
        <v>25</v>
      </c>
      <c r="E13">
        <v>100</v>
      </c>
      <c r="F13">
        <v>0</v>
      </c>
      <c r="G13">
        <v>100</v>
      </c>
      <c r="H13">
        <v>100</v>
      </c>
      <c r="I13">
        <v>100</v>
      </c>
      <c r="J13">
        <v>100</v>
      </c>
      <c r="K13">
        <v>100</v>
      </c>
      <c r="L13">
        <v>100</v>
      </c>
      <c r="M13">
        <v>100</v>
      </c>
      <c r="N13">
        <v>65</v>
      </c>
      <c r="O13">
        <v>80</v>
      </c>
      <c r="P13">
        <v>100</v>
      </c>
      <c r="Q13">
        <v>100</v>
      </c>
      <c r="R13">
        <v>100</v>
      </c>
    </row>
    <row r="14" spans="2:24" x14ac:dyDescent="0.25">
      <c r="B14">
        <v>10</v>
      </c>
      <c r="C14">
        <v>202430589</v>
      </c>
      <c r="D14" t="s">
        <v>26</v>
      </c>
      <c r="E14">
        <v>0</v>
      </c>
      <c r="F14">
        <v>0</v>
      </c>
      <c r="G14">
        <v>0</v>
      </c>
      <c r="H14">
        <v>100</v>
      </c>
      <c r="I14">
        <v>0</v>
      </c>
      <c r="J14">
        <v>0</v>
      </c>
      <c r="K14">
        <v>100</v>
      </c>
      <c r="L14">
        <v>80</v>
      </c>
      <c r="M14">
        <v>70</v>
      </c>
      <c r="P14">
        <v>0</v>
      </c>
      <c r="Q14">
        <v>0</v>
      </c>
      <c r="R14">
        <v>100</v>
      </c>
    </row>
    <row r="15" spans="2:24" x14ac:dyDescent="0.25">
      <c r="B15">
        <v>11</v>
      </c>
      <c r="C15">
        <v>202430602</v>
      </c>
      <c r="D15" t="s">
        <v>27</v>
      </c>
      <c r="E15">
        <v>0</v>
      </c>
      <c r="F15">
        <v>0</v>
      </c>
      <c r="G15">
        <v>100</v>
      </c>
      <c r="H15">
        <v>0</v>
      </c>
      <c r="I15">
        <v>60</v>
      </c>
      <c r="J15">
        <v>0</v>
      </c>
      <c r="K15">
        <v>90</v>
      </c>
      <c r="L15">
        <v>100</v>
      </c>
      <c r="M15">
        <v>0</v>
      </c>
      <c r="O15">
        <v>30</v>
      </c>
      <c r="P15">
        <v>0</v>
      </c>
      <c r="Q15">
        <v>0</v>
      </c>
      <c r="R15">
        <v>0</v>
      </c>
    </row>
    <row r="16" spans="2:24" x14ac:dyDescent="0.25">
      <c r="B16">
        <v>12</v>
      </c>
      <c r="C16">
        <v>202430633</v>
      </c>
      <c r="D16" t="s">
        <v>28</v>
      </c>
      <c r="E16">
        <v>100</v>
      </c>
      <c r="F16">
        <v>0</v>
      </c>
      <c r="G16">
        <v>100</v>
      </c>
      <c r="H16">
        <v>100</v>
      </c>
      <c r="I16">
        <v>100</v>
      </c>
      <c r="J16">
        <v>100</v>
      </c>
      <c r="K16">
        <v>100</v>
      </c>
      <c r="L16">
        <v>100</v>
      </c>
      <c r="M16">
        <v>50</v>
      </c>
      <c r="N16">
        <v>100</v>
      </c>
      <c r="O16">
        <v>50</v>
      </c>
      <c r="P16">
        <v>0</v>
      </c>
      <c r="Q16">
        <v>0</v>
      </c>
      <c r="R16">
        <v>100</v>
      </c>
    </row>
    <row r="17" spans="2:18" x14ac:dyDescent="0.25">
      <c r="B17">
        <v>13</v>
      </c>
      <c r="C17">
        <v>202430645</v>
      </c>
      <c r="D17" t="s">
        <v>29</v>
      </c>
      <c r="E17">
        <v>100</v>
      </c>
      <c r="F17">
        <v>0</v>
      </c>
      <c r="G17">
        <v>50</v>
      </c>
      <c r="H17">
        <v>0</v>
      </c>
      <c r="I17">
        <v>100</v>
      </c>
      <c r="J17">
        <v>85</v>
      </c>
      <c r="K17">
        <v>100</v>
      </c>
      <c r="L17">
        <v>100</v>
      </c>
      <c r="M17">
        <v>70</v>
      </c>
      <c r="N17">
        <v>75</v>
      </c>
      <c r="O17">
        <v>70</v>
      </c>
      <c r="P17">
        <v>100</v>
      </c>
      <c r="Q17">
        <v>100</v>
      </c>
      <c r="R17">
        <v>100</v>
      </c>
    </row>
    <row r="18" spans="2:18" x14ac:dyDescent="0.25">
      <c r="B18">
        <v>14</v>
      </c>
      <c r="C18">
        <v>202430733</v>
      </c>
      <c r="D18" t="s">
        <v>30</v>
      </c>
      <c r="E18">
        <v>100</v>
      </c>
      <c r="F18">
        <v>0</v>
      </c>
      <c r="G18">
        <v>50</v>
      </c>
      <c r="H18">
        <v>100</v>
      </c>
      <c r="I18">
        <v>85</v>
      </c>
      <c r="J18">
        <v>100</v>
      </c>
      <c r="K18">
        <v>100</v>
      </c>
      <c r="L18">
        <v>100</v>
      </c>
      <c r="M18">
        <v>50</v>
      </c>
      <c r="N18">
        <v>100</v>
      </c>
      <c r="O18">
        <v>100</v>
      </c>
      <c r="P18">
        <v>100</v>
      </c>
      <c r="Q18">
        <v>100</v>
      </c>
      <c r="R18">
        <v>100</v>
      </c>
    </row>
    <row r="19" spans="2:18" x14ac:dyDescent="0.25">
      <c r="B19">
        <v>15</v>
      </c>
      <c r="C19">
        <v>202430804</v>
      </c>
      <c r="D19" t="s">
        <v>31</v>
      </c>
      <c r="E19">
        <v>100</v>
      </c>
      <c r="F19">
        <v>0</v>
      </c>
      <c r="G19">
        <v>0</v>
      </c>
      <c r="H19">
        <v>0</v>
      </c>
      <c r="I19">
        <v>100</v>
      </c>
      <c r="J19">
        <v>100</v>
      </c>
      <c r="K19">
        <v>100</v>
      </c>
      <c r="L19">
        <v>100</v>
      </c>
      <c r="M19">
        <v>80</v>
      </c>
      <c r="N19">
        <v>100</v>
      </c>
      <c r="O19">
        <v>100</v>
      </c>
      <c r="P19">
        <v>0</v>
      </c>
      <c r="Q19">
        <v>0</v>
      </c>
      <c r="R19">
        <v>0</v>
      </c>
    </row>
    <row r="20" spans="2:18" x14ac:dyDescent="0.25">
      <c r="B20">
        <v>16</v>
      </c>
      <c r="C20">
        <v>202430829</v>
      </c>
      <c r="D20" t="s">
        <v>32</v>
      </c>
      <c r="E20">
        <v>100</v>
      </c>
      <c r="F20">
        <v>100</v>
      </c>
      <c r="G20">
        <v>100</v>
      </c>
      <c r="H20">
        <v>90</v>
      </c>
      <c r="I20">
        <v>85</v>
      </c>
      <c r="J20">
        <v>100</v>
      </c>
      <c r="K20">
        <v>100</v>
      </c>
      <c r="L20">
        <v>100</v>
      </c>
      <c r="M20">
        <v>70</v>
      </c>
      <c r="N20">
        <v>85</v>
      </c>
      <c r="O20">
        <v>85</v>
      </c>
      <c r="P20">
        <v>80</v>
      </c>
      <c r="Q20">
        <v>100</v>
      </c>
      <c r="R20">
        <v>100</v>
      </c>
    </row>
    <row r="21" spans="2:18" x14ac:dyDescent="0.25">
      <c r="B21">
        <v>17</v>
      </c>
      <c r="C21">
        <v>202431169</v>
      </c>
      <c r="D21" t="s">
        <v>33</v>
      </c>
      <c r="E21">
        <v>100</v>
      </c>
      <c r="F21">
        <v>0</v>
      </c>
      <c r="G21">
        <v>50</v>
      </c>
      <c r="H21">
        <v>100</v>
      </c>
      <c r="I21">
        <v>85</v>
      </c>
      <c r="J21">
        <v>100</v>
      </c>
      <c r="K21">
        <v>100</v>
      </c>
      <c r="L21">
        <v>100</v>
      </c>
      <c r="M21">
        <v>50</v>
      </c>
      <c r="N21">
        <v>100</v>
      </c>
      <c r="O21">
        <v>100</v>
      </c>
      <c r="P21">
        <v>100</v>
      </c>
      <c r="Q21">
        <v>100</v>
      </c>
      <c r="R21">
        <v>100</v>
      </c>
    </row>
    <row r="22" spans="2:18" x14ac:dyDescent="0.25">
      <c r="B22">
        <v>18</v>
      </c>
      <c r="C22">
        <v>202431502</v>
      </c>
      <c r="D22" t="s">
        <v>34</v>
      </c>
      <c r="E22">
        <v>100</v>
      </c>
      <c r="F22">
        <v>100</v>
      </c>
      <c r="G22">
        <v>100</v>
      </c>
      <c r="H22">
        <v>100</v>
      </c>
      <c r="I22">
        <v>100</v>
      </c>
      <c r="J22">
        <v>100</v>
      </c>
      <c r="K22">
        <v>100</v>
      </c>
      <c r="L22">
        <v>100</v>
      </c>
      <c r="M22">
        <v>50</v>
      </c>
      <c r="N22">
        <v>90</v>
      </c>
      <c r="O22">
        <v>45</v>
      </c>
      <c r="P22">
        <v>80</v>
      </c>
      <c r="Q22">
        <v>100</v>
      </c>
      <c r="R22">
        <v>100</v>
      </c>
    </row>
    <row r="23" spans="2:18" x14ac:dyDescent="0.25">
      <c r="B23">
        <v>19</v>
      </c>
      <c r="C23">
        <v>202431726</v>
      </c>
      <c r="D23" t="s">
        <v>35</v>
      </c>
      <c r="E23">
        <v>100</v>
      </c>
      <c r="F23">
        <v>0</v>
      </c>
      <c r="G23">
        <v>100</v>
      </c>
      <c r="H23">
        <v>100</v>
      </c>
      <c r="I23">
        <v>75</v>
      </c>
      <c r="J23">
        <v>100</v>
      </c>
      <c r="K23">
        <v>100</v>
      </c>
      <c r="L23">
        <v>100</v>
      </c>
      <c r="M23">
        <v>90</v>
      </c>
      <c r="N23">
        <v>95</v>
      </c>
      <c r="O23">
        <v>90</v>
      </c>
      <c r="P23">
        <v>0</v>
      </c>
      <c r="Q23">
        <v>0</v>
      </c>
      <c r="R23">
        <v>0</v>
      </c>
    </row>
    <row r="24" spans="2:18" x14ac:dyDescent="0.25">
      <c r="B24">
        <v>20</v>
      </c>
      <c r="C24">
        <v>202431817</v>
      </c>
      <c r="D24" t="s">
        <v>36</v>
      </c>
      <c r="E24">
        <v>0</v>
      </c>
      <c r="F24">
        <v>0</v>
      </c>
      <c r="G24">
        <v>100</v>
      </c>
      <c r="H24">
        <v>100</v>
      </c>
      <c r="I24">
        <v>0</v>
      </c>
      <c r="J24">
        <v>0</v>
      </c>
      <c r="K24">
        <v>100</v>
      </c>
      <c r="L24">
        <v>0</v>
      </c>
      <c r="M24">
        <v>0</v>
      </c>
      <c r="N24">
        <v>15</v>
      </c>
      <c r="O24">
        <v>90</v>
      </c>
      <c r="P24">
        <v>100</v>
      </c>
      <c r="Q24">
        <v>0</v>
      </c>
      <c r="R24">
        <v>100</v>
      </c>
    </row>
    <row r="25" spans="2:18" x14ac:dyDescent="0.25">
      <c r="B25">
        <v>21</v>
      </c>
      <c r="C25">
        <v>202431819</v>
      </c>
      <c r="D25" t="s">
        <v>37</v>
      </c>
      <c r="E25">
        <v>0</v>
      </c>
      <c r="F25">
        <v>100</v>
      </c>
      <c r="G25">
        <v>0</v>
      </c>
      <c r="H25">
        <v>0</v>
      </c>
      <c r="I25">
        <v>0</v>
      </c>
      <c r="J25">
        <v>100</v>
      </c>
      <c r="K25">
        <v>0</v>
      </c>
      <c r="L25">
        <v>100</v>
      </c>
      <c r="M25">
        <v>0</v>
      </c>
      <c r="N25">
        <v>85</v>
      </c>
      <c r="O25">
        <v>70</v>
      </c>
      <c r="P25">
        <v>80</v>
      </c>
      <c r="Q25">
        <v>100</v>
      </c>
      <c r="R25">
        <v>100</v>
      </c>
    </row>
    <row r="26" spans="2:18" x14ac:dyDescent="0.25">
      <c r="B26">
        <v>22</v>
      </c>
      <c r="C26">
        <v>202431863</v>
      </c>
      <c r="D26" t="s">
        <v>38</v>
      </c>
      <c r="E26">
        <v>100</v>
      </c>
      <c r="F26">
        <v>0</v>
      </c>
      <c r="G26">
        <v>0</v>
      </c>
      <c r="H26">
        <v>100</v>
      </c>
      <c r="I26">
        <v>0</v>
      </c>
      <c r="J26">
        <v>0</v>
      </c>
      <c r="K26">
        <v>0</v>
      </c>
      <c r="L26">
        <v>100</v>
      </c>
      <c r="M26">
        <v>0</v>
      </c>
      <c r="O26">
        <v>100</v>
      </c>
      <c r="P26">
        <v>80</v>
      </c>
      <c r="Q26">
        <v>0</v>
      </c>
      <c r="R26">
        <v>100</v>
      </c>
    </row>
    <row r="27" spans="2:18" x14ac:dyDescent="0.25">
      <c r="B27">
        <v>23</v>
      </c>
      <c r="C27">
        <v>202432080</v>
      </c>
      <c r="D27" t="s">
        <v>39</v>
      </c>
      <c r="E27">
        <v>100</v>
      </c>
      <c r="F27">
        <v>0</v>
      </c>
      <c r="G27">
        <v>0</v>
      </c>
      <c r="H27">
        <v>0</v>
      </c>
      <c r="I27">
        <v>0</v>
      </c>
      <c r="J27">
        <v>100</v>
      </c>
      <c r="K27">
        <v>100</v>
      </c>
      <c r="L27">
        <v>100</v>
      </c>
      <c r="M27">
        <v>70</v>
      </c>
      <c r="N27">
        <v>100</v>
      </c>
      <c r="O27">
        <v>100</v>
      </c>
      <c r="P27">
        <v>0</v>
      </c>
      <c r="Q27">
        <v>0</v>
      </c>
      <c r="R27">
        <v>0</v>
      </c>
    </row>
    <row r="28" spans="2:18" x14ac:dyDescent="0.25">
      <c r="B28">
        <v>24</v>
      </c>
      <c r="C28">
        <v>202432085</v>
      </c>
      <c r="D28" t="s">
        <v>40</v>
      </c>
      <c r="E28">
        <v>100</v>
      </c>
      <c r="F28">
        <v>0</v>
      </c>
      <c r="G28">
        <v>100</v>
      </c>
      <c r="H28">
        <v>100</v>
      </c>
      <c r="I28">
        <v>75</v>
      </c>
      <c r="J28">
        <v>100</v>
      </c>
      <c r="K28">
        <v>90</v>
      </c>
      <c r="L28">
        <v>100</v>
      </c>
      <c r="M28">
        <v>70</v>
      </c>
      <c r="N28">
        <v>95</v>
      </c>
      <c r="O28">
        <v>90</v>
      </c>
      <c r="P28">
        <v>0</v>
      </c>
      <c r="Q28">
        <v>0</v>
      </c>
      <c r="R28">
        <v>0</v>
      </c>
    </row>
    <row r="29" spans="2:18" x14ac:dyDescent="0.25">
      <c r="B29">
        <v>25</v>
      </c>
      <c r="C29">
        <v>202432137</v>
      </c>
      <c r="D29" t="s">
        <v>41</v>
      </c>
      <c r="E29">
        <v>100</v>
      </c>
      <c r="F29">
        <v>0</v>
      </c>
      <c r="G29">
        <v>0</v>
      </c>
      <c r="H29">
        <v>100</v>
      </c>
      <c r="I29">
        <v>0</v>
      </c>
      <c r="J29">
        <v>0</v>
      </c>
      <c r="K29">
        <v>0</v>
      </c>
      <c r="L29">
        <v>0</v>
      </c>
      <c r="M29">
        <v>0</v>
      </c>
      <c r="O29">
        <v>100</v>
      </c>
      <c r="P29">
        <v>80</v>
      </c>
      <c r="Q29">
        <v>0</v>
      </c>
      <c r="R29">
        <v>100</v>
      </c>
    </row>
    <row r="30" spans="2:18" x14ac:dyDescent="0.25">
      <c r="B30">
        <v>26</v>
      </c>
      <c r="C30">
        <v>202530125</v>
      </c>
      <c r="D30" t="s">
        <v>42</v>
      </c>
      <c r="E30">
        <v>0</v>
      </c>
      <c r="F30">
        <v>0</v>
      </c>
      <c r="G30">
        <v>100</v>
      </c>
      <c r="H30">
        <v>100</v>
      </c>
      <c r="I30">
        <v>100</v>
      </c>
      <c r="J30">
        <v>75</v>
      </c>
      <c r="K30">
        <v>90</v>
      </c>
      <c r="L30">
        <v>100</v>
      </c>
      <c r="M30">
        <v>80</v>
      </c>
      <c r="N30">
        <v>90</v>
      </c>
      <c r="O30">
        <v>60</v>
      </c>
      <c r="P30">
        <v>0</v>
      </c>
      <c r="Q30">
        <v>0</v>
      </c>
      <c r="R30">
        <v>0</v>
      </c>
    </row>
    <row r="31" spans="2:18" x14ac:dyDescent="0.25">
      <c r="B31">
        <v>27</v>
      </c>
      <c r="C31">
        <v>202530235</v>
      </c>
      <c r="D31" t="s">
        <v>43</v>
      </c>
      <c r="E31">
        <v>100</v>
      </c>
      <c r="F31">
        <v>0</v>
      </c>
      <c r="G31">
        <v>100</v>
      </c>
      <c r="H31">
        <v>100</v>
      </c>
      <c r="I31">
        <v>100</v>
      </c>
      <c r="J31">
        <v>100</v>
      </c>
      <c r="K31">
        <v>100</v>
      </c>
      <c r="L31">
        <v>100</v>
      </c>
      <c r="M31">
        <v>100</v>
      </c>
      <c r="O31">
        <v>100</v>
      </c>
      <c r="P31">
        <v>80</v>
      </c>
      <c r="Q31">
        <v>100</v>
      </c>
      <c r="R31">
        <v>100</v>
      </c>
    </row>
    <row r="32" spans="2:18" x14ac:dyDescent="0.25">
      <c r="B32">
        <v>28</v>
      </c>
      <c r="C32">
        <v>202530265</v>
      </c>
      <c r="D32" t="s">
        <v>44</v>
      </c>
      <c r="E32">
        <v>100</v>
      </c>
      <c r="F32">
        <v>100</v>
      </c>
      <c r="G32">
        <v>100</v>
      </c>
      <c r="H32">
        <v>100</v>
      </c>
      <c r="I32">
        <v>100</v>
      </c>
      <c r="J32">
        <v>90</v>
      </c>
      <c r="K32">
        <v>100</v>
      </c>
      <c r="L32">
        <v>100</v>
      </c>
      <c r="M32">
        <v>70</v>
      </c>
      <c r="N32">
        <v>100</v>
      </c>
      <c r="O32">
        <v>100</v>
      </c>
      <c r="P32">
        <v>90</v>
      </c>
      <c r="Q32">
        <v>100</v>
      </c>
      <c r="R32">
        <v>100</v>
      </c>
    </row>
    <row r="33" spans="2:18" x14ac:dyDescent="0.25">
      <c r="B33">
        <v>29</v>
      </c>
      <c r="C33">
        <v>202530315</v>
      </c>
      <c r="D33" t="s">
        <v>45</v>
      </c>
      <c r="E33">
        <v>100</v>
      </c>
      <c r="F33">
        <v>0</v>
      </c>
      <c r="G33">
        <v>100</v>
      </c>
      <c r="H33">
        <v>100</v>
      </c>
      <c r="I33">
        <v>100</v>
      </c>
      <c r="J33">
        <v>100</v>
      </c>
      <c r="K33">
        <v>100</v>
      </c>
      <c r="L33">
        <v>100</v>
      </c>
      <c r="M33">
        <v>50</v>
      </c>
      <c r="N33">
        <v>100</v>
      </c>
      <c r="O33">
        <v>50</v>
      </c>
      <c r="P33">
        <v>80</v>
      </c>
      <c r="Q33">
        <v>100</v>
      </c>
      <c r="R33">
        <v>100</v>
      </c>
    </row>
    <row r="34" spans="2:18" x14ac:dyDescent="0.25">
      <c r="B34">
        <v>30</v>
      </c>
      <c r="C34">
        <v>202530329</v>
      </c>
      <c r="D34" t="s">
        <v>46</v>
      </c>
      <c r="E34">
        <v>100</v>
      </c>
      <c r="F34">
        <v>0</v>
      </c>
      <c r="G34">
        <v>100</v>
      </c>
      <c r="H34">
        <v>0</v>
      </c>
      <c r="I34">
        <v>100</v>
      </c>
      <c r="J34">
        <v>95</v>
      </c>
      <c r="K34">
        <v>100</v>
      </c>
      <c r="L34">
        <v>100</v>
      </c>
      <c r="M34">
        <v>70</v>
      </c>
      <c r="N34">
        <v>85</v>
      </c>
      <c r="O34">
        <v>65</v>
      </c>
      <c r="P34">
        <v>80</v>
      </c>
      <c r="Q34">
        <v>100</v>
      </c>
      <c r="R34">
        <v>100</v>
      </c>
    </row>
    <row r="35" spans="2:18" x14ac:dyDescent="0.25">
      <c r="B35">
        <v>31</v>
      </c>
      <c r="C35">
        <v>202530349</v>
      </c>
      <c r="D35" t="s">
        <v>47</v>
      </c>
      <c r="E35">
        <v>0</v>
      </c>
      <c r="F35">
        <v>0</v>
      </c>
      <c r="G35">
        <v>100</v>
      </c>
      <c r="H35">
        <v>100</v>
      </c>
      <c r="I35">
        <v>100</v>
      </c>
      <c r="J35">
        <v>75</v>
      </c>
      <c r="K35">
        <v>100</v>
      </c>
      <c r="L35">
        <v>100</v>
      </c>
      <c r="M35">
        <v>80</v>
      </c>
      <c r="N35">
        <v>90</v>
      </c>
      <c r="O35">
        <v>60</v>
      </c>
      <c r="P35">
        <v>100</v>
      </c>
      <c r="Q35">
        <v>100</v>
      </c>
      <c r="R35">
        <v>100</v>
      </c>
    </row>
    <row r="36" spans="2:18" x14ac:dyDescent="0.25">
      <c r="B36">
        <v>32</v>
      </c>
      <c r="C36">
        <v>202530357</v>
      </c>
      <c r="D36" t="s">
        <v>48</v>
      </c>
      <c r="E36">
        <v>100</v>
      </c>
      <c r="F36">
        <v>0</v>
      </c>
      <c r="G36">
        <v>100</v>
      </c>
      <c r="H36">
        <v>100</v>
      </c>
      <c r="I36">
        <v>100</v>
      </c>
      <c r="J36">
        <v>100</v>
      </c>
      <c r="K36">
        <v>100</v>
      </c>
      <c r="L36">
        <v>100</v>
      </c>
      <c r="M36">
        <v>80</v>
      </c>
      <c r="N36">
        <v>65</v>
      </c>
      <c r="O36">
        <v>80</v>
      </c>
      <c r="P36">
        <v>100</v>
      </c>
      <c r="Q36">
        <v>100</v>
      </c>
      <c r="R36">
        <v>100</v>
      </c>
    </row>
    <row r="37" spans="2:18" x14ac:dyDescent="0.25">
      <c r="B37">
        <v>33</v>
      </c>
      <c r="C37">
        <v>202530381</v>
      </c>
      <c r="D37" t="s">
        <v>49</v>
      </c>
      <c r="E37">
        <v>100</v>
      </c>
      <c r="F37">
        <v>100</v>
      </c>
      <c r="G37">
        <v>100</v>
      </c>
      <c r="H37">
        <v>100</v>
      </c>
      <c r="I37">
        <v>100</v>
      </c>
      <c r="J37">
        <v>100</v>
      </c>
      <c r="K37">
        <v>100</v>
      </c>
      <c r="L37">
        <v>100</v>
      </c>
      <c r="M37">
        <v>50</v>
      </c>
      <c r="N37">
        <v>90</v>
      </c>
      <c r="O37">
        <v>45</v>
      </c>
      <c r="P37">
        <v>80</v>
      </c>
      <c r="Q37">
        <v>100</v>
      </c>
      <c r="R37">
        <v>100</v>
      </c>
    </row>
    <row r="38" spans="2:18" x14ac:dyDescent="0.25">
      <c r="B38">
        <v>34</v>
      </c>
      <c r="C38">
        <v>202530434</v>
      </c>
      <c r="D38" t="s">
        <v>50</v>
      </c>
      <c r="E38">
        <v>100</v>
      </c>
      <c r="F38">
        <v>0</v>
      </c>
      <c r="G38">
        <v>100</v>
      </c>
      <c r="H38">
        <v>90</v>
      </c>
      <c r="I38">
        <v>75</v>
      </c>
      <c r="J38">
        <v>55</v>
      </c>
      <c r="K38">
        <v>100</v>
      </c>
      <c r="L38">
        <v>100</v>
      </c>
      <c r="M38">
        <v>90</v>
      </c>
      <c r="N38">
        <v>75</v>
      </c>
      <c r="O38">
        <v>100</v>
      </c>
      <c r="P38">
        <v>95</v>
      </c>
      <c r="Q38">
        <v>100</v>
      </c>
      <c r="R38">
        <v>100</v>
      </c>
    </row>
    <row r="39" spans="2:18" x14ac:dyDescent="0.25">
      <c r="B39">
        <v>35</v>
      </c>
      <c r="C39">
        <v>202530446</v>
      </c>
      <c r="D39" t="s">
        <v>51</v>
      </c>
      <c r="E39">
        <v>100</v>
      </c>
      <c r="F39">
        <v>0</v>
      </c>
      <c r="G39">
        <v>100</v>
      </c>
      <c r="H39">
        <v>0</v>
      </c>
      <c r="I39">
        <v>100</v>
      </c>
      <c r="J39">
        <v>100</v>
      </c>
      <c r="K39">
        <v>100</v>
      </c>
      <c r="L39">
        <v>100</v>
      </c>
      <c r="M39">
        <v>50</v>
      </c>
      <c r="N39">
        <v>85</v>
      </c>
      <c r="O39">
        <v>80</v>
      </c>
      <c r="P39">
        <v>100</v>
      </c>
      <c r="Q39">
        <v>100</v>
      </c>
      <c r="R39">
        <v>100</v>
      </c>
    </row>
    <row r="40" spans="2:18" x14ac:dyDescent="0.25">
      <c r="B40">
        <v>36</v>
      </c>
      <c r="C40">
        <v>202530522</v>
      </c>
      <c r="D40" t="s">
        <v>52</v>
      </c>
      <c r="E40">
        <v>100</v>
      </c>
      <c r="F40">
        <v>0</v>
      </c>
      <c r="G40">
        <v>100</v>
      </c>
      <c r="H40">
        <v>0</v>
      </c>
      <c r="I40">
        <v>100</v>
      </c>
      <c r="J40">
        <v>100</v>
      </c>
      <c r="K40">
        <v>100</v>
      </c>
      <c r="L40">
        <v>100</v>
      </c>
      <c r="M40">
        <v>50</v>
      </c>
      <c r="N40">
        <v>80</v>
      </c>
      <c r="O40">
        <v>80</v>
      </c>
      <c r="P40">
        <v>0</v>
      </c>
      <c r="Q40">
        <v>0</v>
      </c>
      <c r="R40">
        <v>0</v>
      </c>
    </row>
    <row r="41" spans="2:18" x14ac:dyDescent="0.25">
      <c r="B41">
        <v>37</v>
      </c>
      <c r="C41">
        <v>202530613</v>
      </c>
      <c r="D41" t="s">
        <v>53</v>
      </c>
      <c r="E41">
        <v>0</v>
      </c>
      <c r="F41">
        <v>100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P41">
        <v>0</v>
      </c>
      <c r="Q41">
        <v>0</v>
      </c>
      <c r="R41">
        <v>0</v>
      </c>
    </row>
    <row r="42" spans="2:18" x14ac:dyDescent="0.25">
      <c r="B42">
        <v>38</v>
      </c>
      <c r="C42">
        <v>202530621</v>
      </c>
      <c r="D42" t="s">
        <v>54</v>
      </c>
      <c r="E42">
        <v>100</v>
      </c>
      <c r="F42">
        <v>0</v>
      </c>
      <c r="G42">
        <v>100</v>
      </c>
      <c r="H42">
        <v>90</v>
      </c>
      <c r="I42">
        <v>70</v>
      </c>
      <c r="J42">
        <v>100</v>
      </c>
      <c r="K42">
        <v>100</v>
      </c>
      <c r="L42">
        <v>100</v>
      </c>
      <c r="M42">
        <v>0</v>
      </c>
      <c r="N42">
        <v>60</v>
      </c>
      <c r="O42">
        <v>65</v>
      </c>
      <c r="P42">
        <v>80</v>
      </c>
      <c r="Q42">
        <v>100</v>
      </c>
      <c r="R42">
        <v>100</v>
      </c>
    </row>
    <row r="43" spans="2:18" x14ac:dyDescent="0.25">
      <c r="B43">
        <v>39</v>
      </c>
      <c r="C43">
        <v>202530673</v>
      </c>
      <c r="D43" t="s">
        <v>55</v>
      </c>
      <c r="E43">
        <v>0</v>
      </c>
      <c r="F43">
        <v>0</v>
      </c>
      <c r="G43">
        <v>0</v>
      </c>
      <c r="H43">
        <v>100</v>
      </c>
      <c r="I43">
        <v>0</v>
      </c>
      <c r="J43">
        <v>0</v>
      </c>
      <c r="K43">
        <v>100</v>
      </c>
      <c r="L43">
        <v>100</v>
      </c>
      <c r="M43">
        <v>70</v>
      </c>
      <c r="N43">
        <v>95</v>
      </c>
      <c r="P43">
        <v>0</v>
      </c>
      <c r="Q43">
        <v>0</v>
      </c>
      <c r="R43">
        <v>100</v>
      </c>
    </row>
    <row r="44" spans="2:18" x14ac:dyDescent="0.25">
      <c r="B44">
        <v>40</v>
      </c>
      <c r="C44">
        <v>202530674</v>
      </c>
      <c r="D44" t="s">
        <v>56</v>
      </c>
      <c r="E44">
        <v>0</v>
      </c>
      <c r="F44">
        <v>0</v>
      </c>
      <c r="G44">
        <v>50</v>
      </c>
      <c r="H44">
        <v>0</v>
      </c>
      <c r="I44">
        <v>100</v>
      </c>
      <c r="J44">
        <v>100</v>
      </c>
      <c r="K44">
        <v>90</v>
      </c>
      <c r="L44">
        <v>100</v>
      </c>
      <c r="M44">
        <v>50</v>
      </c>
      <c r="N44">
        <v>85</v>
      </c>
      <c r="O44">
        <v>70</v>
      </c>
      <c r="P44">
        <v>0</v>
      </c>
      <c r="Q44">
        <v>0</v>
      </c>
      <c r="R44">
        <v>0</v>
      </c>
    </row>
    <row r="45" spans="2:18" x14ac:dyDescent="0.25">
      <c r="B45">
        <v>41</v>
      </c>
      <c r="C45">
        <v>202530677</v>
      </c>
      <c r="D45" t="s">
        <v>57</v>
      </c>
      <c r="E45">
        <v>100</v>
      </c>
      <c r="F45">
        <v>0</v>
      </c>
      <c r="G45">
        <v>100</v>
      </c>
      <c r="H45">
        <v>0</v>
      </c>
      <c r="I45">
        <v>100</v>
      </c>
      <c r="J45">
        <v>0</v>
      </c>
      <c r="K45">
        <v>100</v>
      </c>
      <c r="L45">
        <v>0</v>
      </c>
      <c r="M45">
        <v>0</v>
      </c>
      <c r="P45">
        <v>0</v>
      </c>
      <c r="Q45">
        <v>0</v>
      </c>
      <c r="R45">
        <v>0</v>
      </c>
    </row>
    <row r="46" spans="2:18" x14ac:dyDescent="0.25">
      <c r="B46">
        <v>42</v>
      </c>
      <c r="C46">
        <v>202530728</v>
      </c>
      <c r="D46" t="s">
        <v>58</v>
      </c>
      <c r="E46">
        <v>100</v>
      </c>
      <c r="F46">
        <v>0</v>
      </c>
      <c r="G46">
        <v>100</v>
      </c>
      <c r="H46">
        <v>0</v>
      </c>
      <c r="I46">
        <v>0</v>
      </c>
      <c r="J46">
        <v>0</v>
      </c>
      <c r="K46">
        <v>0</v>
      </c>
      <c r="L46">
        <v>100</v>
      </c>
      <c r="M46">
        <v>70</v>
      </c>
      <c r="N46">
        <v>85</v>
      </c>
      <c r="O46">
        <v>50</v>
      </c>
      <c r="P46">
        <v>80</v>
      </c>
      <c r="Q46">
        <v>100</v>
      </c>
      <c r="R46">
        <v>100</v>
      </c>
    </row>
    <row r="47" spans="2:18" x14ac:dyDescent="0.25">
      <c r="B47">
        <v>43</v>
      </c>
      <c r="C47">
        <v>202530843</v>
      </c>
      <c r="D47" t="s">
        <v>59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100</v>
      </c>
      <c r="M47">
        <v>70</v>
      </c>
      <c r="N47">
        <v>85</v>
      </c>
      <c r="O47">
        <v>85</v>
      </c>
      <c r="P47">
        <v>0</v>
      </c>
      <c r="Q47">
        <v>0</v>
      </c>
      <c r="R47">
        <v>0</v>
      </c>
    </row>
    <row r="48" spans="2:18" x14ac:dyDescent="0.25">
      <c r="B48">
        <v>44</v>
      </c>
      <c r="C48">
        <v>202530866</v>
      </c>
      <c r="D48" t="s">
        <v>60</v>
      </c>
      <c r="E48">
        <v>100</v>
      </c>
      <c r="F48">
        <v>0</v>
      </c>
      <c r="G48">
        <v>100</v>
      </c>
      <c r="H48">
        <v>90</v>
      </c>
      <c r="I48">
        <v>100</v>
      </c>
      <c r="J48">
        <v>100</v>
      </c>
      <c r="K48">
        <v>90</v>
      </c>
      <c r="L48">
        <v>100</v>
      </c>
      <c r="M48">
        <v>50</v>
      </c>
      <c r="N48">
        <v>85</v>
      </c>
      <c r="O48">
        <v>55</v>
      </c>
      <c r="P48">
        <v>100</v>
      </c>
      <c r="Q48">
        <v>100</v>
      </c>
      <c r="R48">
        <v>100</v>
      </c>
    </row>
    <row r="49" spans="2:18" x14ac:dyDescent="0.25">
      <c r="B49">
        <v>45</v>
      </c>
      <c r="C49">
        <v>202530917</v>
      </c>
      <c r="D49" t="s">
        <v>61</v>
      </c>
      <c r="E49">
        <v>0</v>
      </c>
      <c r="F49">
        <v>0</v>
      </c>
      <c r="G49">
        <v>50</v>
      </c>
      <c r="H49">
        <v>100</v>
      </c>
      <c r="I49">
        <v>75</v>
      </c>
      <c r="J49">
        <v>0</v>
      </c>
      <c r="K49">
        <v>100</v>
      </c>
      <c r="L49">
        <v>100</v>
      </c>
      <c r="M49">
        <v>90</v>
      </c>
      <c r="N49">
        <v>95</v>
      </c>
      <c r="O49">
        <v>65</v>
      </c>
      <c r="P49">
        <v>100</v>
      </c>
      <c r="Q49">
        <v>100</v>
      </c>
      <c r="R49">
        <v>100</v>
      </c>
    </row>
    <row r="50" spans="2:18" x14ac:dyDescent="0.25">
      <c r="B50">
        <v>46</v>
      </c>
      <c r="C50">
        <v>202531013</v>
      </c>
      <c r="D50" t="s">
        <v>62</v>
      </c>
      <c r="E50">
        <v>100</v>
      </c>
      <c r="F50">
        <v>0</v>
      </c>
      <c r="G50">
        <v>100</v>
      </c>
      <c r="H50">
        <v>90</v>
      </c>
      <c r="I50">
        <v>100</v>
      </c>
      <c r="J50">
        <v>75</v>
      </c>
      <c r="K50">
        <v>100</v>
      </c>
      <c r="L50">
        <v>100</v>
      </c>
      <c r="M50">
        <v>100</v>
      </c>
      <c r="N50">
        <v>90</v>
      </c>
      <c r="O50">
        <v>70</v>
      </c>
      <c r="P50">
        <v>100</v>
      </c>
      <c r="Q50">
        <v>100</v>
      </c>
      <c r="R50">
        <v>100</v>
      </c>
    </row>
    <row r="51" spans="2:18" x14ac:dyDescent="0.25">
      <c r="B51">
        <v>47</v>
      </c>
      <c r="C51">
        <v>202531019</v>
      </c>
      <c r="D51" t="s">
        <v>63</v>
      </c>
      <c r="E51">
        <v>0</v>
      </c>
      <c r="F51">
        <v>0</v>
      </c>
      <c r="G51">
        <v>100</v>
      </c>
      <c r="H51">
        <v>90</v>
      </c>
      <c r="I51">
        <v>100</v>
      </c>
      <c r="J51">
        <v>55</v>
      </c>
      <c r="K51">
        <v>100</v>
      </c>
      <c r="L51">
        <v>100</v>
      </c>
      <c r="M51">
        <v>95</v>
      </c>
      <c r="O51">
        <v>55</v>
      </c>
      <c r="P51">
        <v>100</v>
      </c>
      <c r="Q51">
        <v>100</v>
      </c>
      <c r="R51">
        <v>100</v>
      </c>
    </row>
    <row r="52" spans="2:18" x14ac:dyDescent="0.25">
      <c r="B52">
        <v>48</v>
      </c>
      <c r="C52">
        <v>202531089</v>
      </c>
      <c r="D52" t="s">
        <v>64</v>
      </c>
      <c r="E52">
        <v>100</v>
      </c>
      <c r="F52">
        <v>0</v>
      </c>
      <c r="G52">
        <v>100</v>
      </c>
      <c r="H52">
        <v>90</v>
      </c>
      <c r="I52">
        <v>70</v>
      </c>
      <c r="J52">
        <v>100</v>
      </c>
      <c r="K52">
        <v>90</v>
      </c>
      <c r="L52">
        <v>100</v>
      </c>
      <c r="M52">
        <v>50</v>
      </c>
      <c r="N52">
        <v>85</v>
      </c>
      <c r="O52">
        <v>55</v>
      </c>
      <c r="P52">
        <v>100</v>
      </c>
      <c r="Q52">
        <v>100</v>
      </c>
      <c r="R52">
        <v>100</v>
      </c>
    </row>
    <row r="53" spans="2:18" x14ac:dyDescent="0.25">
      <c r="B53">
        <v>49</v>
      </c>
      <c r="C53">
        <v>202531127</v>
      </c>
      <c r="D53" t="s">
        <v>65</v>
      </c>
      <c r="E53">
        <v>0</v>
      </c>
      <c r="F53">
        <v>0</v>
      </c>
      <c r="G53">
        <v>100</v>
      </c>
      <c r="H53">
        <v>0</v>
      </c>
      <c r="I53">
        <v>0</v>
      </c>
      <c r="J53">
        <v>0</v>
      </c>
      <c r="K53">
        <v>0</v>
      </c>
      <c r="L53">
        <v>100</v>
      </c>
      <c r="M53">
        <v>70</v>
      </c>
      <c r="N53">
        <v>85</v>
      </c>
      <c r="O53">
        <v>85</v>
      </c>
      <c r="P53">
        <v>80</v>
      </c>
      <c r="Q53">
        <v>100</v>
      </c>
      <c r="R53">
        <v>100</v>
      </c>
    </row>
    <row r="54" spans="2:18" x14ac:dyDescent="0.25">
      <c r="B54">
        <v>50</v>
      </c>
      <c r="C54">
        <v>202531213</v>
      </c>
      <c r="D54" t="s">
        <v>66</v>
      </c>
      <c r="E54">
        <v>100</v>
      </c>
      <c r="F54">
        <v>100</v>
      </c>
      <c r="G54">
        <v>100</v>
      </c>
      <c r="H54">
        <v>90</v>
      </c>
      <c r="I54">
        <v>100</v>
      </c>
      <c r="J54">
        <v>90</v>
      </c>
      <c r="K54">
        <v>100</v>
      </c>
      <c r="L54">
        <v>100</v>
      </c>
      <c r="M54">
        <v>80</v>
      </c>
      <c r="N54">
        <v>100</v>
      </c>
      <c r="O54">
        <v>100</v>
      </c>
      <c r="P54">
        <v>90</v>
      </c>
      <c r="Q54">
        <v>100</v>
      </c>
      <c r="R54">
        <v>100</v>
      </c>
    </row>
    <row r="55" spans="2:18" x14ac:dyDescent="0.25">
      <c r="B55">
        <v>51</v>
      </c>
      <c r="C55">
        <v>202531219</v>
      </c>
      <c r="D55" t="s">
        <v>67</v>
      </c>
      <c r="E55">
        <v>0</v>
      </c>
      <c r="F55">
        <v>0</v>
      </c>
      <c r="G55">
        <v>100</v>
      </c>
      <c r="H55">
        <v>100</v>
      </c>
      <c r="I55">
        <v>0</v>
      </c>
      <c r="J55">
        <v>0</v>
      </c>
      <c r="K55">
        <v>100</v>
      </c>
      <c r="L55">
        <v>80</v>
      </c>
      <c r="M55">
        <v>70</v>
      </c>
      <c r="N55">
        <v>45</v>
      </c>
      <c r="P55">
        <v>80</v>
      </c>
      <c r="Q55">
        <v>100</v>
      </c>
      <c r="R55">
        <v>100</v>
      </c>
    </row>
    <row r="56" spans="2:18" x14ac:dyDescent="0.25">
      <c r="B56">
        <v>52</v>
      </c>
      <c r="C56">
        <v>202531289</v>
      </c>
      <c r="D56" t="s">
        <v>68</v>
      </c>
      <c r="E56">
        <v>100</v>
      </c>
      <c r="F56">
        <v>0</v>
      </c>
      <c r="G56">
        <v>100</v>
      </c>
      <c r="H56">
        <v>100</v>
      </c>
      <c r="I56">
        <v>85</v>
      </c>
      <c r="J56">
        <v>100</v>
      </c>
      <c r="K56">
        <v>100</v>
      </c>
      <c r="L56">
        <v>100</v>
      </c>
      <c r="M56">
        <v>100</v>
      </c>
      <c r="N56">
        <v>95</v>
      </c>
      <c r="O56">
        <v>85</v>
      </c>
      <c r="P56">
        <v>95</v>
      </c>
      <c r="Q56">
        <v>0</v>
      </c>
      <c r="R56">
        <v>100</v>
      </c>
    </row>
    <row r="57" spans="2:18" x14ac:dyDescent="0.25">
      <c r="B57">
        <v>53</v>
      </c>
      <c r="C57">
        <v>202531319</v>
      </c>
      <c r="D57" t="s">
        <v>69</v>
      </c>
      <c r="E57">
        <v>100</v>
      </c>
      <c r="F57">
        <v>0</v>
      </c>
      <c r="G57">
        <v>50</v>
      </c>
      <c r="H57">
        <v>100</v>
      </c>
      <c r="I57">
        <v>75</v>
      </c>
      <c r="J57">
        <v>0</v>
      </c>
      <c r="K57">
        <v>100</v>
      </c>
      <c r="L57">
        <v>0</v>
      </c>
      <c r="M57">
        <v>0</v>
      </c>
      <c r="O57">
        <v>50</v>
      </c>
      <c r="P57">
        <v>100</v>
      </c>
      <c r="Q57">
        <v>100</v>
      </c>
      <c r="R57">
        <v>100</v>
      </c>
    </row>
    <row r="58" spans="2:18" x14ac:dyDescent="0.25">
      <c r="B58">
        <v>54</v>
      </c>
      <c r="C58">
        <v>202531351</v>
      </c>
      <c r="D58" t="s">
        <v>70</v>
      </c>
      <c r="E58">
        <v>100</v>
      </c>
      <c r="F58">
        <v>100</v>
      </c>
      <c r="G58">
        <v>100</v>
      </c>
      <c r="H58">
        <v>90</v>
      </c>
      <c r="I58">
        <v>100</v>
      </c>
      <c r="J58">
        <v>100</v>
      </c>
      <c r="K58">
        <v>100</v>
      </c>
      <c r="L58">
        <v>100</v>
      </c>
      <c r="M58">
        <v>80</v>
      </c>
      <c r="N58">
        <v>90</v>
      </c>
      <c r="O58">
        <v>100</v>
      </c>
      <c r="P58">
        <v>90</v>
      </c>
      <c r="Q58">
        <v>100</v>
      </c>
      <c r="R58">
        <v>100</v>
      </c>
    </row>
    <row r="59" spans="2:18" x14ac:dyDescent="0.25">
      <c r="B59">
        <v>55</v>
      </c>
      <c r="C59">
        <v>202531352</v>
      </c>
      <c r="D59" t="s">
        <v>71</v>
      </c>
      <c r="E59">
        <v>100</v>
      </c>
      <c r="F59">
        <v>0</v>
      </c>
      <c r="G59">
        <v>100</v>
      </c>
      <c r="H59">
        <v>100</v>
      </c>
      <c r="I59">
        <v>100</v>
      </c>
      <c r="J59">
        <v>100</v>
      </c>
      <c r="K59">
        <v>100</v>
      </c>
      <c r="L59">
        <v>100</v>
      </c>
      <c r="M59">
        <v>70</v>
      </c>
      <c r="O59">
        <v>75</v>
      </c>
      <c r="P59">
        <v>80</v>
      </c>
      <c r="Q59">
        <v>0</v>
      </c>
      <c r="R59">
        <v>100</v>
      </c>
    </row>
    <row r="60" spans="2:18" x14ac:dyDescent="0.25">
      <c r="B60">
        <v>56</v>
      </c>
      <c r="C60">
        <v>202531384</v>
      </c>
      <c r="D60" t="s">
        <v>72</v>
      </c>
      <c r="E60">
        <v>100</v>
      </c>
      <c r="F60">
        <v>100</v>
      </c>
      <c r="G60">
        <v>50</v>
      </c>
      <c r="H60">
        <v>90</v>
      </c>
      <c r="I60">
        <v>100</v>
      </c>
      <c r="J60">
        <v>100</v>
      </c>
      <c r="K60">
        <v>100</v>
      </c>
      <c r="L60">
        <v>100</v>
      </c>
      <c r="M60">
        <v>70</v>
      </c>
      <c r="N60">
        <v>100</v>
      </c>
      <c r="O60">
        <v>90</v>
      </c>
      <c r="P60">
        <v>80</v>
      </c>
      <c r="Q60">
        <v>100</v>
      </c>
      <c r="R60">
        <v>100</v>
      </c>
    </row>
    <row r="61" spans="2:18" x14ac:dyDescent="0.25">
      <c r="B61">
        <v>57</v>
      </c>
      <c r="C61">
        <v>202531399</v>
      </c>
      <c r="D61" t="s">
        <v>73</v>
      </c>
      <c r="E61">
        <v>0</v>
      </c>
      <c r="F61">
        <v>0</v>
      </c>
      <c r="G61">
        <v>50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P61">
        <v>0</v>
      </c>
      <c r="Q61">
        <v>0</v>
      </c>
      <c r="R61">
        <v>0</v>
      </c>
    </row>
    <row r="62" spans="2:18" x14ac:dyDescent="0.25">
      <c r="B62">
        <v>58</v>
      </c>
      <c r="C62">
        <v>202531441</v>
      </c>
      <c r="D62" t="s">
        <v>74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P62">
        <v>0</v>
      </c>
      <c r="Q62">
        <v>0</v>
      </c>
      <c r="R62">
        <v>0</v>
      </c>
    </row>
    <row r="63" spans="2:18" x14ac:dyDescent="0.25">
      <c r="B63">
        <v>59</v>
      </c>
      <c r="C63">
        <v>202531444</v>
      </c>
      <c r="D63" t="s">
        <v>75</v>
      </c>
      <c r="E63">
        <v>100</v>
      </c>
      <c r="F63">
        <v>0</v>
      </c>
      <c r="G63">
        <v>100</v>
      </c>
      <c r="H63">
        <v>90</v>
      </c>
      <c r="I63">
        <v>100</v>
      </c>
      <c r="J63">
        <v>95</v>
      </c>
      <c r="K63">
        <v>100</v>
      </c>
      <c r="L63">
        <v>100</v>
      </c>
      <c r="M63">
        <v>50</v>
      </c>
      <c r="O63">
        <v>65</v>
      </c>
      <c r="P63">
        <v>0</v>
      </c>
      <c r="Q63">
        <v>0</v>
      </c>
      <c r="R63">
        <v>0</v>
      </c>
    </row>
    <row r="64" spans="2:18" x14ac:dyDescent="0.25">
      <c r="B64">
        <v>60</v>
      </c>
      <c r="C64">
        <v>202531566</v>
      </c>
      <c r="D64" t="s">
        <v>76</v>
      </c>
      <c r="E64">
        <v>100</v>
      </c>
      <c r="F64">
        <v>0</v>
      </c>
      <c r="G64">
        <v>100</v>
      </c>
      <c r="H64">
        <v>90</v>
      </c>
      <c r="I64">
        <v>100</v>
      </c>
      <c r="J64">
        <v>85</v>
      </c>
      <c r="K64">
        <v>100</v>
      </c>
      <c r="L64">
        <v>100</v>
      </c>
      <c r="M64">
        <v>70</v>
      </c>
      <c r="N64">
        <v>75</v>
      </c>
      <c r="O64">
        <v>55</v>
      </c>
      <c r="P64">
        <v>95</v>
      </c>
      <c r="Q64">
        <v>100</v>
      </c>
      <c r="R64">
        <v>100</v>
      </c>
    </row>
    <row r="65" spans="2:19" x14ac:dyDescent="0.25">
      <c r="B65">
        <v>61</v>
      </c>
      <c r="C65">
        <v>202531611</v>
      </c>
      <c r="D65" t="s">
        <v>77</v>
      </c>
      <c r="E65">
        <v>100</v>
      </c>
      <c r="F65">
        <v>0</v>
      </c>
      <c r="G65">
        <v>100</v>
      </c>
      <c r="H65">
        <v>0</v>
      </c>
      <c r="I65">
        <v>0</v>
      </c>
      <c r="J65">
        <v>0</v>
      </c>
      <c r="K65">
        <v>100</v>
      </c>
      <c r="L65">
        <v>100</v>
      </c>
      <c r="M65">
        <v>70</v>
      </c>
      <c r="N65">
        <v>45</v>
      </c>
      <c r="O65">
        <v>75</v>
      </c>
      <c r="P65">
        <v>0</v>
      </c>
      <c r="Q65">
        <v>0</v>
      </c>
      <c r="R65">
        <v>100</v>
      </c>
    </row>
    <row r="66" spans="2:19" x14ac:dyDescent="0.25">
      <c r="B66">
        <v>62</v>
      </c>
      <c r="C66">
        <v>202531645</v>
      </c>
      <c r="D66" t="s">
        <v>78</v>
      </c>
      <c r="E66">
        <v>100</v>
      </c>
      <c r="F66">
        <v>100</v>
      </c>
      <c r="G66">
        <v>100</v>
      </c>
      <c r="H66">
        <v>90</v>
      </c>
      <c r="I66">
        <v>100</v>
      </c>
      <c r="J66">
        <v>100</v>
      </c>
      <c r="K66">
        <v>100</v>
      </c>
      <c r="L66">
        <v>0</v>
      </c>
      <c r="M66">
        <v>0</v>
      </c>
      <c r="N66">
        <v>90</v>
      </c>
      <c r="O66">
        <v>100</v>
      </c>
      <c r="P66">
        <v>90</v>
      </c>
      <c r="Q66">
        <v>100</v>
      </c>
      <c r="R66">
        <v>100</v>
      </c>
    </row>
    <row r="67" spans="2:19" x14ac:dyDescent="0.25">
      <c r="B67">
        <v>63</v>
      </c>
      <c r="C67">
        <v>202531663</v>
      </c>
      <c r="D67" t="s">
        <v>79</v>
      </c>
      <c r="E67">
        <v>100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P67">
        <v>0</v>
      </c>
      <c r="Q67">
        <v>0</v>
      </c>
      <c r="R67">
        <v>0</v>
      </c>
    </row>
    <row r="68" spans="2:19" x14ac:dyDescent="0.25">
      <c r="B68">
        <v>64</v>
      </c>
      <c r="C68">
        <v>202531724</v>
      </c>
      <c r="D68" t="s">
        <v>80</v>
      </c>
      <c r="E68">
        <v>100</v>
      </c>
      <c r="F68">
        <v>0</v>
      </c>
      <c r="G68">
        <v>50</v>
      </c>
      <c r="H68">
        <v>90</v>
      </c>
      <c r="I68">
        <v>40</v>
      </c>
      <c r="J68">
        <v>85</v>
      </c>
      <c r="K68">
        <v>100</v>
      </c>
      <c r="L68">
        <v>100</v>
      </c>
      <c r="M68">
        <v>70</v>
      </c>
      <c r="N68">
        <v>75</v>
      </c>
      <c r="O68">
        <v>70</v>
      </c>
      <c r="P68">
        <v>100</v>
      </c>
      <c r="Q68">
        <v>100</v>
      </c>
      <c r="R68">
        <v>100</v>
      </c>
    </row>
    <row r="69" spans="2:19" x14ac:dyDescent="0.25">
      <c r="B69">
        <v>65</v>
      </c>
      <c r="C69">
        <v>202531736</v>
      </c>
      <c r="D69" t="s">
        <v>81</v>
      </c>
      <c r="E69">
        <v>100</v>
      </c>
      <c r="F69">
        <v>0</v>
      </c>
      <c r="G69">
        <v>100</v>
      </c>
      <c r="H69">
        <v>0</v>
      </c>
      <c r="I69">
        <v>0</v>
      </c>
      <c r="J69">
        <v>100</v>
      </c>
      <c r="K69">
        <v>100</v>
      </c>
      <c r="L69">
        <v>100</v>
      </c>
      <c r="M69">
        <v>0</v>
      </c>
      <c r="N69">
        <v>60</v>
      </c>
      <c r="O69">
        <v>65</v>
      </c>
      <c r="P69">
        <v>80</v>
      </c>
      <c r="Q69">
        <v>100</v>
      </c>
      <c r="R69">
        <v>100</v>
      </c>
    </row>
    <row r="70" spans="2:19" x14ac:dyDescent="0.25">
      <c r="B70">
        <v>66</v>
      </c>
      <c r="C70">
        <v>202531778</v>
      </c>
      <c r="D70" t="s">
        <v>82</v>
      </c>
      <c r="E70">
        <v>100</v>
      </c>
      <c r="F70">
        <v>0</v>
      </c>
      <c r="G70">
        <v>100</v>
      </c>
      <c r="H70">
        <v>90</v>
      </c>
      <c r="I70">
        <v>75</v>
      </c>
      <c r="J70">
        <v>85</v>
      </c>
      <c r="K70">
        <v>100</v>
      </c>
      <c r="L70">
        <v>100</v>
      </c>
      <c r="M70">
        <v>70</v>
      </c>
      <c r="N70">
        <v>90</v>
      </c>
      <c r="O70">
        <v>100</v>
      </c>
      <c r="P70">
        <v>100</v>
      </c>
      <c r="Q70">
        <v>100</v>
      </c>
      <c r="R70">
        <v>100</v>
      </c>
    </row>
    <row r="71" spans="2:19" x14ac:dyDescent="0.25">
      <c r="B71">
        <v>67</v>
      </c>
      <c r="C71">
        <v>202531844</v>
      </c>
      <c r="D71" t="s">
        <v>83</v>
      </c>
      <c r="E71">
        <v>100</v>
      </c>
      <c r="F71">
        <v>0</v>
      </c>
      <c r="G71">
        <v>100</v>
      </c>
      <c r="H71">
        <v>100</v>
      </c>
      <c r="I71">
        <v>100</v>
      </c>
      <c r="J71">
        <v>100</v>
      </c>
      <c r="K71">
        <v>100</v>
      </c>
      <c r="L71">
        <v>100</v>
      </c>
      <c r="M71">
        <v>100</v>
      </c>
      <c r="O71">
        <v>100</v>
      </c>
      <c r="P71">
        <v>0</v>
      </c>
      <c r="Q71">
        <v>0</v>
      </c>
      <c r="R71">
        <v>0</v>
      </c>
    </row>
    <row r="72" spans="2:19" x14ac:dyDescent="0.25">
      <c r="B72">
        <v>68</v>
      </c>
      <c r="C72">
        <v>202531883</v>
      </c>
      <c r="D72" t="s">
        <v>84</v>
      </c>
      <c r="E72">
        <v>100</v>
      </c>
      <c r="F72">
        <v>0</v>
      </c>
      <c r="G72">
        <v>100</v>
      </c>
      <c r="H72">
        <v>100</v>
      </c>
      <c r="I72">
        <v>85</v>
      </c>
      <c r="J72">
        <v>100</v>
      </c>
      <c r="K72">
        <v>100</v>
      </c>
      <c r="L72">
        <v>100</v>
      </c>
      <c r="M72">
        <v>90</v>
      </c>
      <c r="N72">
        <v>95</v>
      </c>
      <c r="O72">
        <v>85</v>
      </c>
      <c r="P72">
        <v>95</v>
      </c>
      <c r="Q72">
        <v>0</v>
      </c>
      <c r="R72">
        <v>100</v>
      </c>
    </row>
    <row r="73" spans="2:19" x14ac:dyDescent="0.25">
      <c r="B73">
        <v>69</v>
      </c>
      <c r="C73">
        <v>202531947</v>
      </c>
      <c r="D73" t="s">
        <v>85</v>
      </c>
      <c r="E73">
        <v>100</v>
      </c>
      <c r="F73">
        <v>0</v>
      </c>
      <c r="G73">
        <v>100</v>
      </c>
      <c r="H73">
        <v>0</v>
      </c>
      <c r="I73">
        <v>85</v>
      </c>
      <c r="J73">
        <v>75</v>
      </c>
      <c r="K73">
        <v>100</v>
      </c>
      <c r="L73">
        <v>100</v>
      </c>
      <c r="M73">
        <v>50</v>
      </c>
      <c r="N73">
        <v>90</v>
      </c>
      <c r="O73">
        <v>70</v>
      </c>
      <c r="P73">
        <v>0</v>
      </c>
      <c r="Q73">
        <v>0</v>
      </c>
      <c r="R73">
        <v>0</v>
      </c>
    </row>
    <row r="74" spans="2:19" x14ac:dyDescent="0.25">
      <c r="B74">
        <v>70</v>
      </c>
      <c r="C74">
        <v>202532062</v>
      </c>
      <c r="D74" t="s">
        <v>86</v>
      </c>
      <c r="E74">
        <v>0</v>
      </c>
      <c r="F74">
        <v>0</v>
      </c>
      <c r="G74">
        <v>100</v>
      </c>
      <c r="H74">
        <v>0</v>
      </c>
      <c r="I74">
        <v>85</v>
      </c>
      <c r="J74">
        <v>0</v>
      </c>
      <c r="K74">
        <v>100</v>
      </c>
      <c r="L74">
        <v>100</v>
      </c>
      <c r="M74">
        <v>50</v>
      </c>
      <c r="O74">
        <v>20</v>
      </c>
      <c r="P74">
        <v>100</v>
      </c>
      <c r="Q74">
        <v>100</v>
      </c>
      <c r="R74">
        <v>100</v>
      </c>
    </row>
    <row r="75" spans="2:19" x14ac:dyDescent="0.25">
      <c r="B75">
        <v>71</v>
      </c>
      <c r="C75">
        <v>202532079</v>
      </c>
      <c r="D75" t="s">
        <v>87</v>
      </c>
      <c r="E75">
        <v>0</v>
      </c>
      <c r="F75">
        <v>0</v>
      </c>
      <c r="G75">
        <v>100</v>
      </c>
      <c r="H75">
        <v>0</v>
      </c>
      <c r="I75">
        <v>0</v>
      </c>
      <c r="J75">
        <v>50</v>
      </c>
      <c r="K75">
        <v>0</v>
      </c>
      <c r="L75">
        <v>0</v>
      </c>
      <c r="M75">
        <v>0</v>
      </c>
      <c r="P75">
        <v>0</v>
      </c>
      <c r="Q75">
        <v>0</v>
      </c>
      <c r="R75">
        <v>0</v>
      </c>
    </row>
    <row r="76" spans="2:19" x14ac:dyDescent="0.25">
      <c r="B76">
        <v>72</v>
      </c>
      <c r="C76">
        <v>202530466</v>
      </c>
      <c r="D76" t="s">
        <v>88</v>
      </c>
      <c r="E76">
        <v>100</v>
      </c>
      <c r="F76">
        <v>0</v>
      </c>
      <c r="G76">
        <v>100</v>
      </c>
      <c r="H76">
        <v>100</v>
      </c>
      <c r="I76">
        <v>100</v>
      </c>
      <c r="J76">
        <v>100</v>
      </c>
      <c r="K76">
        <v>100</v>
      </c>
      <c r="L76">
        <v>100</v>
      </c>
      <c r="M76">
        <v>100</v>
      </c>
      <c r="N76">
        <v>100</v>
      </c>
      <c r="O76">
        <v>100</v>
      </c>
      <c r="P76">
        <v>100</v>
      </c>
      <c r="Q76">
        <v>100</v>
      </c>
      <c r="R76">
        <v>100</v>
      </c>
    </row>
    <row r="77" spans="2:19" x14ac:dyDescent="0.25">
      <c r="B77">
        <v>73</v>
      </c>
      <c r="C77">
        <v>202030192</v>
      </c>
      <c r="D77" t="s">
        <v>89</v>
      </c>
      <c r="E77">
        <v>0</v>
      </c>
      <c r="F77">
        <v>0</v>
      </c>
      <c r="G77">
        <v>50</v>
      </c>
      <c r="H77">
        <v>75</v>
      </c>
      <c r="I77">
        <v>0</v>
      </c>
      <c r="J77">
        <v>100</v>
      </c>
      <c r="K77">
        <v>100</v>
      </c>
      <c r="L77">
        <v>100</v>
      </c>
      <c r="M77">
        <v>100</v>
      </c>
      <c r="N77">
        <v>85</v>
      </c>
      <c r="P77">
        <v>0</v>
      </c>
      <c r="Q77">
        <v>0</v>
      </c>
      <c r="R77">
        <v>0</v>
      </c>
    </row>
    <row r="79" spans="2:19" x14ac:dyDescent="0.25">
      <c r="B79" t="s">
        <v>90</v>
      </c>
      <c r="E79">
        <v>49</v>
      </c>
      <c r="F79">
        <v>11</v>
      </c>
      <c r="G79">
        <v>59</v>
      </c>
      <c r="H79">
        <v>46</v>
      </c>
      <c r="I79">
        <v>50</v>
      </c>
      <c r="J79">
        <v>50</v>
      </c>
      <c r="K79">
        <v>58</v>
      </c>
      <c r="L79">
        <v>60</v>
      </c>
      <c r="M79">
        <v>54</v>
      </c>
      <c r="N79">
        <v>50</v>
      </c>
      <c r="O79">
        <v>60</v>
      </c>
      <c r="P79">
        <v>47</v>
      </c>
      <c r="Q79">
        <v>39</v>
      </c>
      <c r="R79">
        <v>50</v>
      </c>
      <c r="S79">
        <f>SUM(E79:R79)</f>
        <v>683</v>
      </c>
    </row>
    <row r="80" spans="2:19" x14ac:dyDescent="0.25">
      <c r="B80" t="s">
        <v>101</v>
      </c>
      <c r="E80">
        <f>COUNTIF(E5:E77,100)</f>
        <v>49</v>
      </c>
      <c r="F80">
        <f t="shared" ref="F80:R80" si="0">COUNTIF(F5:F77,100)</f>
        <v>11</v>
      </c>
      <c r="G80">
        <f t="shared" si="0"/>
        <v>47</v>
      </c>
      <c r="H80">
        <f t="shared" si="0"/>
        <v>28</v>
      </c>
      <c r="I80">
        <f t="shared" si="0"/>
        <v>31</v>
      </c>
      <c r="J80">
        <f t="shared" si="0"/>
        <v>34</v>
      </c>
      <c r="K80">
        <f t="shared" si="0"/>
        <v>51</v>
      </c>
      <c r="L80">
        <f t="shared" si="0"/>
        <v>57</v>
      </c>
      <c r="M80">
        <f t="shared" si="0"/>
        <v>7</v>
      </c>
      <c r="N80">
        <f t="shared" si="0"/>
        <v>11</v>
      </c>
      <c r="O80">
        <f t="shared" si="0"/>
        <v>17</v>
      </c>
      <c r="P80">
        <f t="shared" si="0"/>
        <v>20</v>
      </c>
      <c r="Q80">
        <f t="shared" si="0"/>
        <v>39</v>
      </c>
      <c r="R80">
        <f t="shared" si="0"/>
        <v>50</v>
      </c>
      <c r="S80">
        <f t="shared" ref="S80:S82" si="1">SUM(E80:R80)</f>
        <v>452</v>
      </c>
    </row>
    <row r="81" spans="2:19" x14ac:dyDescent="0.25">
      <c r="B81" t="s">
        <v>103</v>
      </c>
      <c r="E81">
        <f>COUNTIFS(E5:E77,"&gt;0",E5:E77,"&lt;100")</f>
        <v>0</v>
      </c>
      <c r="F81">
        <f t="shared" ref="F81:R81" si="2">COUNTIFS(F5:F77,"&gt;0",F5:F77,"&lt;100")</f>
        <v>0</v>
      </c>
      <c r="G81">
        <f t="shared" si="2"/>
        <v>12</v>
      </c>
      <c r="H81">
        <f t="shared" si="2"/>
        <v>18</v>
      </c>
      <c r="I81">
        <f t="shared" si="2"/>
        <v>19</v>
      </c>
      <c r="J81">
        <f t="shared" si="2"/>
        <v>16</v>
      </c>
      <c r="K81">
        <f t="shared" si="2"/>
        <v>7</v>
      </c>
      <c r="L81">
        <f t="shared" si="2"/>
        <v>3</v>
      </c>
      <c r="M81">
        <f t="shared" si="2"/>
        <v>47</v>
      </c>
      <c r="N81">
        <f t="shared" si="2"/>
        <v>39</v>
      </c>
      <c r="O81">
        <f t="shared" si="2"/>
        <v>43</v>
      </c>
      <c r="P81">
        <f t="shared" si="2"/>
        <v>27</v>
      </c>
      <c r="Q81">
        <f t="shared" si="2"/>
        <v>0</v>
      </c>
      <c r="R81">
        <f t="shared" si="2"/>
        <v>0</v>
      </c>
      <c r="S81">
        <f t="shared" si="1"/>
        <v>231</v>
      </c>
    </row>
    <row r="82" spans="2:19" x14ac:dyDescent="0.25">
      <c r="B82" t="s">
        <v>102</v>
      </c>
      <c r="E82">
        <f>COUNTIF(E5:E77,"&lt;&gt;100")</f>
        <v>24</v>
      </c>
      <c r="F82">
        <f>COUNTIF(F5:F77,"&lt;&gt;100")</f>
        <v>62</v>
      </c>
      <c r="G82">
        <f>COUNTIF(G5:G77,"&lt;&gt;100")</f>
        <v>26</v>
      </c>
      <c r="H82">
        <f>COUNTIF(H5:H77,"&lt;&gt;100")</f>
        <v>45</v>
      </c>
      <c r="I82">
        <f>COUNTIF(I5:I77,"&lt;&gt;100")</f>
        <v>42</v>
      </c>
      <c r="J82">
        <f>COUNTIF(J5:J77,"&lt;&gt;100")</f>
        <v>39</v>
      </c>
      <c r="K82">
        <f>COUNTIF(K5:K77,"&lt;&gt;100")</f>
        <v>22</v>
      </c>
      <c r="L82">
        <f>COUNTIF(L5:L77,"&lt;&gt;100")</f>
        <v>16</v>
      </c>
      <c r="M82">
        <f>COUNTIF(M5:M77,"&lt;&gt;100")</f>
        <v>66</v>
      </c>
      <c r="N82">
        <f>COUNTIF(N5:N77,"&lt;&gt;100")</f>
        <v>62</v>
      </c>
      <c r="O82">
        <f>COUNTIF(O5:O77,"&lt;&gt;100")</f>
        <v>56</v>
      </c>
      <c r="P82">
        <f>COUNTIF(P5:P77,"&lt;&gt;100")</f>
        <v>53</v>
      </c>
      <c r="Q82">
        <f>COUNTIF(Q5:Q77,"&lt;&gt;100")</f>
        <v>34</v>
      </c>
      <c r="R82">
        <f>COUNTIF(R5:R77,"&lt;&gt;100")</f>
        <v>23</v>
      </c>
      <c r="S82">
        <f t="shared" si="1"/>
        <v>570</v>
      </c>
    </row>
  </sheetData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75CC2-11E2-4B97-8653-2071B7EFBC48}">
  <dimension ref="B2:X80"/>
  <sheetViews>
    <sheetView tabSelected="1" topLeftCell="N58" zoomScaleNormal="100" workbookViewId="0">
      <selection activeCell="A2" sqref="A2:XFD2"/>
    </sheetView>
  </sheetViews>
  <sheetFormatPr baseColWidth="10" defaultRowHeight="15" x14ac:dyDescent="0.25"/>
  <cols>
    <col min="3" max="3" width="24.42578125" customWidth="1"/>
    <col min="4" max="4" width="37.85546875" customWidth="1"/>
    <col min="5" max="5" width="20.85546875" customWidth="1"/>
    <col min="6" max="6" width="22.28515625" customWidth="1"/>
    <col min="8" max="9" width="22.5703125" customWidth="1"/>
    <col min="10" max="10" width="14" customWidth="1"/>
    <col min="11" max="11" width="23.85546875" customWidth="1"/>
    <col min="12" max="12" width="28.7109375" customWidth="1"/>
    <col min="13" max="13" width="20.85546875" customWidth="1"/>
    <col min="14" max="14" width="25.7109375" customWidth="1"/>
    <col min="15" max="15" width="25.140625" customWidth="1"/>
    <col min="16" max="16" width="29.5703125" customWidth="1"/>
    <col min="17" max="17" width="20.85546875" customWidth="1"/>
    <col min="18" max="18" width="17.7109375" customWidth="1"/>
    <col min="19" max="19" width="17.28515625" customWidth="1"/>
  </cols>
  <sheetData>
    <row r="2" spans="2:24" x14ac:dyDescent="0.25">
      <c r="B2" s="1"/>
      <c r="I2" t="s">
        <v>92</v>
      </c>
      <c r="J2" t="s">
        <v>98</v>
      </c>
      <c r="K2" t="s">
        <v>99</v>
      </c>
      <c r="L2" t="s">
        <v>93</v>
      </c>
      <c r="M2" t="s">
        <v>94</v>
      </c>
      <c r="N2" t="s">
        <v>97</v>
      </c>
      <c r="O2" t="s">
        <v>96</v>
      </c>
      <c r="P2" t="s">
        <v>95</v>
      </c>
      <c r="Q2" t="s">
        <v>100</v>
      </c>
      <c r="U2" s="2"/>
      <c r="V2" s="2"/>
      <c r="W2" s="3"/>
      <c r="X2" s="3"/>
    </row>
    <row r="3" spans="2:24" x14ac:dyDescent="0.25">
      <c r="E3">
        <v>0.5</v>
      </c>
      <c r="F3">
        <v>0.5</v>
      </c>
      <c r="G3">
        <v>0.5</v>
      </c>
      <c r="H3">
        <v>0.5</v>
      </c>
      <c r="I3">
        <v>2</v>
      </c>
      <c r="J3">
        <v>1</v>
      </c>
      <c r="K3">
        <v>1</v>
      </c>
      <c r="L3">
        <v>1.5</v>
      </c>
      <c r="M3">
        <v>2</v>
      </c>
      <c r="N3">
        <v>2</v>
      </c>
      <c r="O3">
        <v>2</v>
      </c>
      <c r="P3">
        <v>1</v>
      </c>
      <c r="Q3">
        <v>1.5</v>
      </c>
      <c r="R3">
        <v>5</v>
      </c>
      <c r="S3">
        <f>SUM(E3:R3)</f>
        <v>21</v>
      </c>
    </row>
    <row r="4" spans="2:24" x14ac:dyDescent="0.25"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5</v>
      </c>
      <c r="H4" t="s">
        <v>6</v>
      </c>
      <c r="I4" t="s">
        <v>7</v>
      </c>
      <c r="J4" t="s">
        <v>8</v>
      </c>
      <c r="K4" t="s">
        <v>9</v>
      </c>
      <c r="L4" t="s">
        <v>10</v>
      </c>
      <c r="M4" t="s">
        <v>11</v>
      </c>
      <c r="N4" t="s">
        <v>12</v>
      </c>
      <c r="O4" t="s">
        <v>13</v>
      </c>
      <c r="P4" t="s">
        <v>14</v>
      </c>
      <c r="Q4" t="s">
        <v>15</v>
      </c>
      <c r="R4" t="s">
        <v>16</v>
      </c>
      <c r="S4" t="s">
        <v>91</v>
      </c>
    </row>
    <row r="5" spans="2:24" x14ac:dyDescent="0.25">
      <c r="B5">
        <v>1</v>
      </c>
      <c r="C5">
        <v>202030174</v>
      </c>
      <c r="D5" t="s">
        <v>17</v>
      </c>
      <c r="E5">
        <f>IF(Hoja1!E5="","",(Hoja1!E5/100)*$E$3)</f>
        <v>0</v>
      </c>
      <c r="F5">
        <f>IF(Hoja1!F5="","",(Hoja1!F5/100)*$F$3)</f>
        <v>0</v>
      </c>
      <c r="G5">
        <f>IF(Hoja1!G5="","",(Hoja1!G5/100)*$G$3)</f>
        <v>0.25</v>
      </c>
      <c r="H5">
        <f>IF(Hoja1!H5="","",(Hoja1!H5/100)*$H$3)</f>
        <v>0</v>
      </c>
      <c r="I5">
        <f>IF(Hoja1!I5="","",(Hoja1!I5/100)*$I$3)</f>
        <v>0</v>
      </c>
      <c r="J5">
        <f>IF(Hoja1!J5="","",(Hoja1!J5/100)*$J$3)</f>
        <v>0</v>
      </c>
      <c r="K5">
        <f>IF(Hoja1!K5="","",(Hoja1!K5/100)*$K$3)</f>
        <v>0</v>
      </c>
      <c r="L5">
        <f>IF(Hoja1!L5="","",(Hoja1!L5/100)*$L$3)</f>
        <v>1.5</v>
      </c>
      <c r="M5">
        <f>IF(Hoja1!M5="","",(Hoja1!M5/100)*$M$3)</f>
        <v>0</v>
      </c>
      <c r="N5" t="str">
        <f>IF(Hoja1!N5="","",(Hoja1!N5/100)*$N$3)</f>
        <v/>
      </c>
      <c r="O5">
        <f>IF(Hoja1!O5="","",(Hoja1!O5/100)*$O$3)</f>
        <v>2</v>
      </c>
      <c r="P5">
        <f>IF(Hoja1!P5="","",(Hoja1!P5/100)*$P$3)</f>
        <v>0</v>
      </c>
      <c r="Q5">
        <f>IF(Hoja1!Q5="","",(Hoja1!Q5/100)*$Q$3)</f>
        <v>0</v>
      </c>
      <c r="R5">
        <f>IF(Hoja1!R5="","",(Hoja1!R5/100)*$R$3)</f>
        <v>0</v>
      </c>
      <c r="S5">
        <f>SUM(E5:R5)</f>
        <v>3.75</v>
      </c>
    </row>
    <row r="6" spans="2:24" x14ac:dyDescent="0.25">
      <c r="B6">
        <v>2</v>
      </c>
      <c r="C6">
        <v>202032032</v>
      </c>
      <c r="D6" t="s">
        <v>18</v>
      </c>
      <c r="E6">
        <f>IF(Hoja1!E6="","",(Hoja1!E6/100)*$E$3)</f>
        <v>0.5</v>
      </c>
      <c r="F6">
        <f>IF(Hoja1!F6="","",(Hoja1!F6/100)*$F$3)</f>
        <v>0</v>
      </c>
      <c r="G6">
        <f>IF(Hoja1!G6="","",(Hoja1!G6/100)*$G$3)</f>
        <v>0.25</v>
      </c>
      <c r="H6">
        <f>IF(Hoja1!H6="","",(Hoja1!H6/100)*$H$3)</f>
        <v>0.5</v>
      </c>
      <c r="I6">
        <f>IF(Hoja1!I6="","",(Hoja1!I6/100)*$I$3)</f>
        <v>2</v>
      </c>
      <c r="J6">
        <f>IF(Hoja1!J6="","",(Hoja1!J6/100)*$J$3)</f>
        <v>1</v>
      </c>
      <c r="K6">
        <f>IF(Hoja1!K6="","",(Hoja1!K6/100)*$K$3)</f>
        <v>1</v>
      </c>
      <c r="L6">
        <f>IF(Hoja1!L6="","",(Hoja1!L6/100)*$L$3)</f>
        <v>1.5</v>
      </c>
      <c r="M6">
        <f>IF(Hoja1!M6="","",(Hoja1!M6/100)*$M$3)</f>
        <v>1.6</v>
      </c>
      <c r="N6">
        <f>IF(Hoja1!N6="","",(Hoja1!N6/100)*$N$3)</f>
        <v>2</v>
      </c>
      <c r="O6">
        <f>IF(Hoja1!O6="","",(Hoja1!O6/100)*$O$3)</f>
        <v>2</v>
      </c>
      <c r="P6">
        <f>IF(Hoja1!P6="","",(Hoja1!P6/100)*$P$3)</f>
        <v>1</v>
      </c>
      <c r="Q6">
        <f>IF(Hoja1!Q6="","",(Hoja1!Q6/100)*$Q$3)</f>
        <v>1.5</v>
      </c>
      <c r="R6">
        <f>IF(Hoja1!R6="","",(Hoja1!R6/100)*$R$3)</f>
        <v>5</v>
      </c>
      <c r="S6">
        <f t="shared" ref="S6:S69" si="0">SUM(E6:R6)</f>
        <v>19.850000000000001</v>
      </c>
    </row>
    <row r="7" spans="2:24" x14ac:dyDescent="0.25">
      <c r="B7">
        <v>3</v>
      </c>
      <c r="C7">
        <v>202231116</v>
      </c>
      <c r="D7" t="s">
        <v>19</v>
      </c>
      <c r="E7">
        <f>IF(Hoja1!E7="","",(Hoja1!E7/100)*$E$3)</f>
        <v>0.5</v>
      </c>
      <c r="F7">
        <f>IF(Hoja1!F7="","",(Hoja1!F7/100)*$F$3)</f>
        <v>0</v>
      </c>
      <c r="G7">
        <f>IF(Hoja1!G7="","",(Hoja1!G7/100)*$G$3)</f>
        <v>0.5</v>
      </c>
      <c r="H7">
        <f>IF(Hoja1!H7="","",(Hoja1!H7/100)*$H$3)</f>
        <v>0</v>
      </c>
      <c r="I7">
        <f>IF(Hoja1!I7="","",(Hoja1!I7/100)*$I$3)</f>
        <v>1.7</v>
      </c>
      <c r="J7">
        <f>IF(Hoja1!J7="","",(Hoja1!J7/100)*$J$3)</f>
        <v>1</v>
      </c>
      <c r="K7">
        <f>IF(Hoja1!K7="","",(Hoja1!K7/100)*$K$3)</f>
        <v>1</v>
      </c>
      <c r="L7">
        <f>IF(Hoja1!L7="","",(Hoja1!L7/100)*$L$3)</f>
        <v>1.5</v>
      </c>
      <c r="M7">
        <f>IF(Hoja1!M7="","",(Hoja1!M7/100)*$M$3)</f>
        <v>1.4</v>
      </c>
      <c r="N7" t="str">
        <f>IF(Hoja1!N7="","",(Hoja1!N7/100)*$N$3)</f>
        <v/>
      </c>
      <c r="O7">
        <f>IF(Hoja1!O7="","",(Hoja1!O7/100)*$O$3)</f>
        <v>1.7</v>
      </c>
      <c r="P7">
        <f>IF(Hoja1!P7="","",(Hoja1!P7/100)*$P$3)</f>
        <v>0.8</v>
      </c>
      <c r="Q7">
        <f>IF(Hoja1!Q7="","",(Hoja1!Q7/100)*$Q$3)</f>
        <v>0</v>
      </c>
      <c r="R7">
        <f>IF(Hoja1!R7="","",(Hoja1!R7/100)*$R$3)</f>
        <v>5</v>
      </c>
      <c r="S7">
        <f t="shared" si="0"/>
        <v>15.1</v>
      </c>
    </row>
    <row r="8" spans="2:24" x14ac:dyDescent="0.25">
      <c r="B8">
        <v>4</v>
      </c>
      <c r="C8">
        <v>202330276</v>
      </c>
      <c r="D8" t="s">
        <v>20</v>
      </c>
      <c r="E8">
        <f>IF(Hoja1!E8="","",(Hoja1!E8/100)*$E$3)</f>
        <v>0</v>
      </c>
      <c r="F8">
        <f>IF(Hoja1!F8="","",(Hoja1!F8/100)*$F$3)</f>
        <v>0</v>
      </c>
      <c r="G8">
        <f>IF(Hoja1!G8="","",(Hoja1!G8/100)*$G$3)</f>
        <v>0</v>
      </c>
      <c r="H8">
        <f>IF(Hoja1!H8="","",(Hoja1!H8/100)*$H$3)</f>
        <v>0</v>
      </c>
      <c r="I8">
        <f>IF(Hoja1!I8="","",(Hoja1!I8/100)*$I$3)</f>
        <v>0</v>
      </c>
      <c r="J8">
        <f>IF(Hoja1!J8="","",(Hoja1!J8/100)*$J$3)</f>
        <v>0</v>
      </c>
      <c r="K8">
        <f>IF(Hoja1!K8="","",(Hoja1!K8/100)*$K$3)</f>
        <v>0</v>
      </c>
      <c r="L8">
        <f>IF(Hoja1!L8="","",(Hoja1!L8/100)*$L$3)</f>
        <v>0</v>
      </c>
      <c r="M8">
        <f>IF(Hoja1!M8="","",(Hoja1!M8/100)*$M$3)</f>
        <v>0</v>
      </c>
      <c r="N8" t="str">
        <f>IF(Hoja1!N8="","",(Hoja1!N8/100)*$N$3)</f>
        <v/>
      </c>
      <c r="O8" t="str">
        <f>IF(Hoja1!O8="","",(Hoja1!O8/100)*$O$3)</f>
        <v/>
      </c>
      <c r="P8">
        <f>IF(Hoja1!P8="","",(Hoja1!P8/100)*$P$3)</f>
        <v>0</v>
      </c>
      <c r="Q8">
        <f>IF(Hoja1!Q8="","",(Hoja1!Q8/100)*$Q$3)</f>
        <v>0</v>
      </c>
      <c r="R8">
        <f>IF(Hoja1!R8="","",(Hoja1!R8/100)*$R$3)</f>
        <v>0</v>
      </c>
      <c r="S8">
        <f t="shared" si="0"/>
        <v>0</v>
      </c>
    </row>
    <row r="9" spans="2:24" x14ac:dyDescent="0.25">
      <c r="B9">
        <v>5</v>
      </c>
      <c r="C9">
        <v>202331587</v>
      </c>
      <c r="D9" t="s">
        <v>21</v>
      </c>
      <c r="E9">
        <f>IF(Hoja1!E9="","",(Hoja1!E9/100)*$E$3)</f>
        <v>0</v>
      </c>
      <c r="F9">
        <f>IF(Hoja1!F9="","",(Hoja1!F9/100)*$F$3)</f>
        <v>0</v>
      </c>
      <c r="G9">
        <f>IF(Hoja1!G9="","",(Hoja1!G9/100)*$G$3)</f>
        <v>0.5</v>
      </c>
      <c r="H9">
        <f>IF(Hoja1!H9="","",(Hoja1!H9/100)*$H$3)</f>
        <v>0.45</v>
      </c>
      <c r="I9">
        <f>IF(Hoja1!I9="","",(Hoja1!I9/100)*$I$3)</f>
        <v>0</v>
      </c>
      <c r="J9">
        <f>IF(Hoja1!J9="","",(Hoja1!J9/100)*$J$3)</f>
        <v>0.5</v>
      </c>
      <c r="K9">
        <f>IF(Hoja1!K9="","",(Hoja1!K9/100)*$K$3)</f>
        <v>0.9</v>
      </c>
      <c r="L9">
        <f>IF(Hoja1!L9="","",(Hoja1!L9/100)*$L$3)</f>
        <v>1.2000000000000002</v>
      </c>
      <c r="M9">
        <f>IF(Hoja1!M9="","",(Hoja1!M9/100)*$M$3)</f>
        <v>1.5</v>
      </c>
      <c r="N9">
        <f>IF(Hoja1!N9="","",(Hoja1!N9/100)*$N$3)</f>
        <v>1.7</v>
      </c>
      <c r="O9" t="str">
        <f>IF(Hoja1!O9="","",(Hoja1!O9/100)*$O$3)</f>
        <v/>
      </c>
      <c r="P9">
        <f>IF(Hoja1!P9="","",(Hoja1!P9/100)*$P$3)</f>
        <v>1</v>
      </c>
      <c r="Q9">
        <f>IF(Hoja1!Q9="","",(Hoja1!Q9/100)*$Q$3)</f>
        <v>1.5</v>
      </c>
      <c r="R9">
        <f>IF(Hoja1!R9="","",(Hoja1!R9/100)*$R$3)</f>
        <v>5</v>
      </c>
      <c r="S9">
        <f t="shared" si="0"/>
        <v>14.25</v>
      </c>
    </row>
    <row r="10" spans="2:24" x14ac:dyDescent="0.25">
      <c r="B10">
        <v>6</v>
      </c>
      <c r="C10">
        <v>202332049</v>
      </c>
      <c r="D10" t="s">
        <v>22</v>
      </c>
      <c r="E10">
        <f>IF(Hoja1!E10="","",(Hoja1!E10/100)*$E$3)</f>
        <v>0</v>
      </c>
      <c r="F10">
        <f>IF(Hoja1!F10="","",(Hoja1!F10/100)*$F$3)</f>
        <v>0</v>
      </c>
      <c r="G10">
        <f>IF(Hoja1!G10="","",(Hoja1!G10/100)*$G$3)</f>
        <v>0</v>
      </c>
      <c r="H10">
        <f>IF(Hoja1!H10="","",(Hoja1!H10/100)*$H$3)</f>
        <v>0</v>
      </c>
      <c r="I10">
        <f>IF(Hoja1!I10="","",(Hoja1!I10/100)*$I$3)</f>
        <v>0</v>
      </c>
      <c r="J10">
        <f>IF(Hoja1!J10="","",(Hoja1!J10/100)*$J$3)</f>
        <v>0</v>
      </c>
      <c r="K10">
        <f>IF(Hoja1!K10="","",(Hoja1!K10/100)*$K$3)</f>
        <v>0</v>
      </c>
      <c r="L10">
        <f>IF(Hoja1!L10="","",(Hoja1!L10/100)*$L$3)</f>
        <v>0</v>
      </c>
      <c r="M10">
        <f>IF(Hoja1!M10="","",(Hoja1!M10/100)*$M$3)</f>
        <v>0</v>
      </c>
      <c r="N10" t="str">
        <f>IF(Hoja1!N10="","",(Hoja1!N10/100)*$N$3)</f>
        <v/>
      </c>
      <c r="O10" t="str">
        <f>IF(Hoja1!O10="","",(Hoja1!O10/100)*$O$3)</f>
        <v/>
      </c>
      <c r="P10">
        <f>IF(Hoja1!P10="","",(Hoja1!P10/100)*$P$3)</f>
        <v>0</v>
      </c>
      <c r="Q10">
        <f>IF(Hoja1!Q10="","",(Hoja1!Q10/100)*$Q$3)</f>
        <v>0</v>
      </c>
      <c r="R10">
        <f>IF(Hoja1!R10="","",(Hoja1!R10/100)*$R$3)</f>
        <v>0</v>
      </c>
      <c r="S10">
        <f t="shared" si="0"/>
        <v>0</v>
      </c>
    </row>
    <row r="11" spans="2:24" x14ac:dyDescent="0.25">
      <c r="B11">
        <v>7</v>
      </c>
      <c r="C11">
        <v>202402553</v>
      </c>
      <c r="D11" t="s">
        <v>23</v>
      </c>
      <c r="E11">
        <f>IF(Hoja1!E11="","",(Hoja1!E11/100)*$E$3)</f>
        <v>0.5</v>
      </c>
      <c r="F11">
        <f>IF(Hoja1!F11="","",(Hoja1!F11/100)*$F$3)</f>
        <v>0</v>
      </c>
      <c r="G11">
        <f>IF(Hoja1!G11="","",(Hoja1!G11/100)*$G$3)</f>
        <v>0.5</v>
      </c>
      <c r="H11">
        <f>IF(Hoja1!H11="","",(Hoja1!H11/100)*$H$3)</f>
        <v>0.45</v>
      </c>
      <c r="I11">
        <f>IF(Hoja1!I11="","",(Hoja1!I11/100)*$I$3)</f>
        <v>1.2</v>
      </c>
      <c r="J11">
        <f>IF(Hoja1!J11="","",(Hoja1!J11/100)*$J$3)</f>
        <v>0</v>
      </c>
      <c r="K11">
        <f>IF(Hoja1!K11="","",(Hoja1!K11/100)*$K$3)</f>
        <v>1</v>
      </c>
      <c r="L11">
        <f>IF(Hoja1!L11="","",(Hoja1!L11/100)*$L$3)</f>
        <v>1.5</v>
      </c>
      <c r="M11">
        <f>IF(Hoja1!M11="","",(Hoja1!M11/100)*$M$3)</f>
        <v>1</v>
      </c>
      <c r="N11" t="str">
        <f>IF(Hoja1!N11="","",(Hoja1!N11/100)*$N$3)</f>
        <v/>
      </c>
      <c r="O11">
        <f>IF(Hoja1!O11="","",(Hoja1!O11/100)*$O$3)</f>
        <v>1.3</v>
      </c>
      <c r="P11">
        <f>IF(Hoja1!P11="","",(Hoja1!P11/100)*$P$3)</f>
        <v>0.8</v>
      </c>
      <c r="Q11">
        <f>IF(Hoja1!Q11="","",(Hoja1!Q11/100)*$Q$3)</f>
        <v>1.5</v>
      </c>
      <c r="R11">
        <f>IF(Hoja1!R11="","",(Hoja1!R11/100)*$R$3)</f>
        <v>0</v>
      </c>
      <c r="S11">
        <f t="shared" si="0"/>
        <v>9.75</v>
      </c>
    </row>
    <row r="12" spans="2:24" x14ac:dyDescent="0.25">
      <c r="B12">
        <v>8</v>
      </c>
      <c r="C12">
        <v>202430271</v>
      </c>
      <c r="D12" t="s">
        <v>24</v>
      </c>
      <c r="E12">
        <f>IF(Hoja1!E12="","",(Hoja1!E12/100)*$E$3)</f>
        <v>0</v>
      </c>
      <c r="F12">
        <f>IF(Hoja1!F12="","",(Hoja1!F12/100)*$F$3)</f>
        <v>0.5</v>
      </c>
      <c r="G12">
        <f>IF(Hoja1!G12="","",(Hoja1!G12/100)*$G$3)</f>
        <v>0</v>
      </c>
      <c r="H12">
        <f>IF(Hoja1!H12="","",(Hoja1!H12/100)*$H$3)</f>
        <v>0</v>
      </c>
      <c r="I12">
        <f>IF(Hoja1!I12="","",(Hoja1!I12/100)*$I$3)</f>
        <v>2</v>
      </c>
      <c r="J12">
        <f>IF(Hoja1!J12="","",(Hoja1!J12/100)*$J$3)</f>
        <v>1</v>
      </c>
      <c r="K12">
        <f>IF(Hoja1!K12="","",(Hoja1!K12/100)*$K$3)</f>
        <v>0</v>
      </c>
      <c r="L12">
        <f>IF(Hoja1!L12="","",(Hoja1!L12/100)*$L$3)</f>
        <v>0</v>
      </c>
      <c r="M12">
        <f>IF(Hoja1!M12="","",(Hoja1!M12/100)*$M$3)</f>
        <v>0</v>
      </c>
      <c r="N12" t="str">
        <f>IF(Hoja1!N12="","",(Hoja1!N12/100)*$N$3)</f>
        <v/>
      </c>
      <c r="O12">
        <f>IF(Hoja1!O12="","",(Hoja1!O12/100)*$O$3)</f>
        <v>1.4</v>
      </c>
      <c r="P12">
        <f>IF(Hoja1!P12="","",(Hoja1!P12/100)*$P$3)</f>
        <v>0.8</v>
      </c>
      <c r="Q12">
        <f>IF(Hoja1!Q12="","",(Hoja1!Q12/100)*$Q$3)</f>
        <v>0</v>
      </c>
      <c r="R12">
        <f>IF(Hoja1!R12="","",(Hoja1!R12/100)*$R$3)</f>
        <v>5</v>
      </c>
      <c r="S12">
        <f t="shared" si="0"/>
        <v>10.7</v>
      </c>
    </row>
    <row r="13" spans="2:24" x14ac:dyDescent="0.25">
      <c r="B13">
        <v>9</v>
      </c>
      <c r="C13">
        <v>202430532</v>
      </c>
      <c r="D13" t="s">
        <v>25</v>
      </c>
      <c r="E13">
        <f>IF(Hoja1!E13="","",(Hoja1!E13/100)*$E$3)</f>
        <v>0.5</v>
      </c>
      <c r="F13">
        <f>IF(Hoja1!F13="","",(Hoja1!F13/100)*$F$3)</f>
        <v>0</v>
      </c>
      <c r="G13">
        <f>IF(Hoja1!G13="","",(Hoja1!G13/100)*$G$3)</f>
        <v>0.5</v>
      </c>
      <c r="H13">
        <f>IF(Hoja1!H13="","",(Hoja1!H13/100)*$H$3)</f>
        <v>0.5</v>
      </c>
      <c r="I13">
        <f>IF(Hoja1!I13="","",(Hoja1!I13/100)*$I$3)</f>
        <v>2</v>
      </c>
      <c r="J13">
        <f>IF(Hoja1!J13="","",(Hoja1!J13/100)*$J$3)</f>
        <v>1</v>
      </c>
      <c r="K13">
        <f>IF(Hoja1!K13="","",(Hoja1!K13/100)*$K$3)</f>
        <v>1</v>
      </c>
      <c r="L13">
        <f>IF(Hoja1!L13="","",(Hoja1!L13/100)*$L$3)</f>
        <v>1.5</v>
      </c>
      <c r="M13">
        <f>IF(Hoja1!M13="","",(Hoja1!M13/100)*$M$3)</f>
        <v>2</v>
      </c>
      <c r="N13">
        <f>IF(Hoja1!N13="","",(Hoja1!N13/100)*$N$3)</f>
        <v>1.3</v>
      </c>
      <c r="O13">
        <f>IF(Hoja1!O13="","",(Hoja1!O13/100)*$O$3)</f>
        <v>1.6</v>
      </c>
      <c r="P13">
        <f>IF(Hoja1!P13="","",(Hoja1!P13/100)*$P$3)</f>
        <v>1</v>
      </c>
      <c r="Q13">
        <f>IF(Hoja1!Q13="","",(Hoja1!Q13/100)*$Q$3)</f>
        <v>1.5</v>
      </c>
      <c r="R13">
        <f>IF(Hoja1!R13="","",(Hoja1!R13/100)*$R$3)</f>
        <v>5</v>
      </c>
      <c r="S13">
        <f t="shared" si="0"/>
        <v>19.399999999999999</v>
      </c>
    </row>
    <row r="14" spans="2:24" x14ac:dyDescent="0.25">
      <c r="B14">
        <v>10</v>
      </c>
      <c r="C14">
        <v>202430589</v>
      </c>
      <c r="D14" t="s">
        <v>26</v>
      </c>
      <c r="E14">
        <f>IF(Hoja1!E14="","",(Hoja1!E14/100)*$E$3)</f>
        <v>0</v>
      </c>
      <c r="F14">
        <f>IF(Hoja1!F14="","",(Hoja1!F14/100)*$F$3)</f>
        <v>0</v>
      </c>
      <c r="G14">
        <f>IF(Hoja1!G14="","",(Hoja1!G14/100)*$G$3)</f>
        <v>0</v>
      </c>
      <c r="H14">
        <f>IF(Hoja1!H14="","",(Hoja1!H14/100)*$H$3)</f>
        <v>0.5</v>
      </c>
      <c r="I14">
        <f>IF(Hoja1!I14="","",(Hoja1!I14/100)*$I$3)</f>
        <v>0</v>
      </c>
      <c r="J14">
        <f>IF(Hoja1!J14="","",(Hoja1!J14/100)*$J$3)</f>
        <v>0</v>
      </c>
      <c r="K14">
        <f>IF(Hoja1!K14="","",(Hoja1!K14/100)*$K$3)</f>
        <v>1</v>
      </c>
      <c r="L14">
        <f>IF(Hoja1!L14="","",(Hoja1!L14/100)*$L$3)</f>
        <v>1.2000000000000002</v>
      </c>
      <c r="M14">
        <f>IF(Hoja1!M14="","",(Hoja1!M14/100)*$M$3)</f>
        <v>1.4</v>
      </c>
      <c r="N14" t="str">
        <f>IF(Hoja1!N14="","",(Hoja1!N14/100)*$N$3)</f>
        <v/>
      </c>
      <c r="O14" t="str">
        <f>IF(Hoja1!O14="","",(Hoja1!O14/100)*$O$3)</f>
        <v/>
      </c>
      <c r="P14">
        <f>IF(Hoja1!P14="","",(Hoja1!P14/100)*$P$3)</f>
        <v>0</v>
      </c>
      <c r="Q14">
        <f>IF(Hoja1!Q14="","",(Hoja1!Q14/100)*$Q$3)</f>
        <v>0</v>
      </c>
      <c r="R14">
        <f>IF(Hoja1!R14="","",(Hoja1!R14/100)*$R$3)</f>
        <v>5</v>
      </c>
      <c r="S14">
        <f t="shared" si="0"/>
        <v>9.1</v>
      </c>
    </row>
    <row r="15" spans="2:24" x14ac:dyDescent="0.25">
      <c r="B15">
        <v>11</v>
      </c>
      <c r="C15">
        <v>202430602</v>
      </c>
      <c r="D15" t="s">
        <v>27</v>
      </c>
      <c r="E15">
        <f>IF(Hoja1!E15="","",(Hoja1!E15/100)*$E$3)</f>
        <v>0</v>
      </c>
      <c r="F15">
        <f>IF(Hoja1!F15="","",(Hoja1!F15/100)*$F$3)</f>
        <v>0</v>
      </c>
      <c r="G15">
        <f>IF(Hoja1!G15="","",(Hoja1!G15/100)*$G$3)</f>
        <v>0.5</v>
      </c>
      <c r="H15">
        <f>IF(Hoja1!H15="","",(Hoja1!H15/100)*$H$3)</f>
        <v>0</v>
      </c>
      <c r="I15">
        <f>IF(Hoja1!I15="","",(Hoja1!I15/100)*$I$3)</f>
        <v>1.2</v>
      </c>
      <c r="J15">
        <f>IF(Hoja1!J15="","",(Hoja1!J15/100)*$J$3)</f>
        <v>0</v>
      </c>
      <c r="K15">
        <f>IF(Hoja1!K15="","",(Hoja1!K15/100)*$K$3)</f>
        <v>0.9</v>
      </c>
      <c r="L15">
        <f>IF(Hoja1!L15="","",(Hoja1!L15/100)*$L$3)</f>
        <v>1.5</v>
      </c>
      <c r="M15">
        <f>IF(Hoja1!M15="","",(Hoja1!M15/100)*$M$3)</f>
        <v>0</v>
      </c>
      <c r="N15" t="str">
        <f>IF(Hoja1!N15="","",(Hoja1!N15/100)*$N$3)</f>
        <v/>
      </c>
      <c r="O15">
        <f>IF(Hoja1!O15="","",(Hoja1!O15/100)*$O$3)</f>
        <v>0.6</v>
      </c>
      <c r="P15">
        <f>IF(Hoja1!P15="","",(Hoja1!P15/100)*$P$3)</f>
        <v>0</v>
      </c>
      <c r="Q15">
        <f>IF(Hoja1!Q15="","",(Hoja1!Q15/100)*$Q$3)</f>
        <v>0</v>
      </c>
      <c r="R15">
        <f>IF(Hoja1!R15="","",(Hoja1!R15/100)*$R$3)</f>
        <v>0</v>
      </c>
      <c r="S15">
        <f t="shared" si="0"/>
        <v>4.6999999999999993</v>
      </c>
    </row>
    <row r="16" spans="2:24" x14ac:dyDescent="0.25">
      <c r="B16">
        <v>12</v>
      </c>
      <c r="C16">
        <v>202430633</v>
      </c>
      <c r="D16" t="s">
        <v>28</v>
      </c>
      <c r="E16">
        <f>IF(Hoja1!E16="","",(Hoja1!E16/100)*$E$3)</f>
        <v>0.5</v>
      </c>
      <c r="F16">
        <f>IF(Hoja1!F16="","",(Hoja1!F16/100)*$F$3)</f>
        <v>0</v>
      </c>
      <c r="G16">
        <f>IF(Hoja1!G16="","",(Hoja1!G16/100)*$G$3)</f>
        <v>0.5</v>
      </c>
      <c r="H16">
        <f>IF(Hoja1!H16="","",(Hoja1!H16/100)*$H$3)</f>
        <v>0.5</v>
      </c>
      <c r="I16">
        <f>IF(Hoja1!I16="","",(Hoja1!I16/100)*$I$3)</f>
        <v>2</v>
      </c>
      <c r="J16">
        <f>IF(Hoja1!J16="","",(Hoja1!J16/100)*$J$3)</f>
        <v>1</v>
      </c>
      <c r="K16">
        <f>IF(Hoja1!K16="","",(Hoja1!K16/100)*$K$3)</f>
        <v>1</v>
      </c>
      <c r="L16">
        <f>IF(Hoja1!L16="","",(Hoja1!L16/100)*$L$3)</f>
        <v>1.5</v>
      </c>
      <c r="M16">
        <f>IF(Hoja1!M16="","",(Hoja1!M16/100)*$M$3)</f>
        <v>1</v>
      </c>
      <c r="N16">
        <f>IF(Hoja1!N16="","",(Hoja1!N16/100)*$N$3)</f>
        <v>2</v>
      </c>
      <c r="O16">
        <f>IF(Hoja1!O16="","",(Hoja1!O16/100)*$O$3)</f>
        <v>1</v>
      </c>
      <c r="P16">
        <f>IF(Hoja1!P16="","",(Hoja1!P16/100)*$P$3)</f>
        <v>0</v>
      </c>
      <c r="Q16">
        <f>IF(Hoja1!Q16="","",(Hoja1!Q16/100)*$Q$3)</f>
        <v>0</v>
      </c>
      <c r="R16">
        <f>IF(Hoja1!R16="","",(Hoja1!R16/100)*$R$3)</f>
        <v>5</v>
      </c>
      <c r="S16">
        <f t="shared" si="0"/>
        <v>16</v>
      </c>
    </row>
    <row r="17" spans="2:19" x14ac:dyDescent="0.25">
      <c r="B17">
        <v>13</v>
      </c>
      <c r="C17">
        <v>202430645</v>
      </c>
      <c r="D17" t="s">
        <v>29</v>
      </c>
      <c r="E17">
        <f>IF(Hoja1!E17="","",(Hoja1!E17/100)*$E$3)</f>
        <v>0.5</v>
      </c>
      <c r="F17">
        <f>IF(Hoja1!F17="","",(Hoja1!F17/100)*$F$3)</f>
        <v>0</v>
      </c>
      <c r="G17">
        <f>IF(Hoja1!G17="","",(Hoja1!G17/100)*$G$3)</f>
        <v>0.25</v>
      </c>
      <c r="H17">
        <f>IF(Hoja1!H17="","",(Hoja1!H17/100)*$H$3)</f>
        <v>0</v>
      </c>
      <c r="I17">
        <f>IF(Hoja1!I17="","",(Hoja1!I17/100)*$I$3)</f>
        <v>2</v>
      </c>
      <c r="J17">
        <f>IF(Hoja1!J17="","",(Hoja1!J17/100)*$J$3)</f>
        <v>0.85</v>
      </c>
      <c r="K17">
        <f>IF(Hoja1!K17="","",(Hoja1!K17/100)*$K$3)</f>
        <v>1</v>
      </c>
      <c r="L17">
        <f>IF(Hoja1!L17="","",(Hoja1!L17/100)*$L$3)</f>
        <v>1.5</v>
      </c>
      <c r="M17">
        <f>IF(Hoja1!M17="","",(Hoja1!M17/100)*$M$3)</f>
        <v>1.4</v>
      </c>
      <c r="N17">
        <f>IF(Hoja1!N17="","",(Hoja1!N17/100)*$N$3)</f>
        <v>1.5</v>
      </c>
      <c r="O17">
        <f>IF(Hoja1!O17="","",(Hoja1!O17/100)*$O$3)</f>
        <v>1.4</v>
      </c>
      <c r="P17">
        <f>IF(Hoja1!P17="","",(Hoja1!P17/100)*$P$3)</f>
        <v>1</v>
      </c>
      <c r="Q17">
        <f>IF(Hoja1!Q17="","",(Hoja1!Q17/100)*$Q$3)</f>
        <v>1.5</v>
      </c>
      <c r="R17">
        <f>IF(Hoja1!R17="","",(Hoja1!R17/100)*$R$3)</f>
        <v>5</v>
      </c>
      <c r="S17">
        <f t="shared" si="0"/>
        <v>17.899999999999999</v>
      </c>
    </row>
    <row r="18" spans="2:19" x14ac:dyDescent="0.25">
      <c r="B18">
        <v>14</v>
      </c>
      <c r="C18">
        <v>202430733</v>
      </c>
      <c r="D18" t="s">
        <v>30</v>
      </c>
      <c r="E18">
        <f>IF(Hoja1!E18="","",(Hoja1!E18/100)*$E$3)</f>
        <v>0.5</v>
      </c>
      <c r="F18">
        <f>IF(Hoja1!F18="","",(Hoja1!F18/100)*$F$3)</f>
        <v>0</v>
      </c>
      <c r="G18">
        <f>IF(Hoja1!G18="","",(Hoja1!G18/100)*$G$3)</f>
        <v>0.25</v>
      </c>
      <c r="H18">
        <f>IF(Hoja1!H18="","",(Hoja1!H18/100)*$H$3)</f>
        <v>0.5</v>
      </c>
      <c r="I18">
        <f>IF(Hoja1!I18="","",(Hoja1!I18/100)*$I$3)</f>
        <v>1.7</v>
      </c>
      <c r="J18">
        <f>IF(Hoja1!J18="","",(Hoja1!J18/100)*$J$3)</f>
        <v>1</v>
      </c>
      <c r="K18">
        <f>IF(Hoja1!K18="","",(Hoja1!K18/100)*$K$3)</f>
        <v>1</v>
      </c>
      <c r="L18">
        <f>IF(Hoja1!L18="","",(Hoja1!L18/100)*$L$3)</f>
        <v>1.5</v>
      </c>
      <c r="M18">
        <f>IF(Hoja1!M18="","",(Hoja1!M18/100)*$M$3)</f>
        <v>1</v>
      </c>
      <c r="N18">
        <f>IF(Hoja1!N18="","",(Hoja1!N18/100)*$N$3)</f>
        <v>2</v>
      </c>
      <c r="O18">
        <f>IF(Hoja1!O18="","",(Hoja1!O18/100)*$O$3)</f>
        <v>2</v>
      </c>
      <c r="P18">
        <f>IF(Hoja1!P18="","",(Hoja1!P18/100)*$P$3)</f>
        <v>1</v>
      </c>
      <c r="Q18">
        <f>IF(Hoja1!Q18="","",(Hoja1!Q18/100)*$Q$3)</f>
        <v>1.5</v>
      </c>
      <c r="R18">
        <f>IF(Hoja1!R18="","",(Hoja1!R18/100)*$R$3)</f>
        <v>5</v>
      </c>
      <c r="S18">
        <f t="shared" si="0"/>
        <v>18.95</v>
      </c>
    </row>
    <row r="19" spans="2:19" x14ac:dyDescent="0.25">
      <c r="B19">
        <v>15</v>
      </c>
      <c r="C19">
        <v>202430804</v>
      </c>
      <c r="D19" t="s">
        <v>31</v>
      </c>
      <c r="E19">
        <f>IF(Hoja1!E19="","",(Hoja1!E19/100)*$E$3)</f>
        <v>0.5</v>
      </c>
      <c r="F19">
        <f>IF(Hoja1!F19="","",(Hoja1!F19/100)*$F$3)</f>
        <v>0</v>
      </c>
      <c r="G19">
        <f>IF(Hoja1!G19="","",(Hoja1!G19/100)*$G$3)</f>
        <v>0</v>
      </c>
      <c r="H19">
        <f>IF(Hoja1!H19="","",(Hoja1!H19/100)*$H$3)</f>
        <v>0</v>
      </c>
      <c r="I19">
        <f>IF(Hoja1!I19="","",(Hoja1!I19/100)*$I$3)</f>
        <v>2</v>
      </c>
      <c r="J19">
        <f>IF(Hoja1!J19="","",(Hoja1!J19/100)*$J$3)</f>
        <v>1</v>
      </c>
      <c r="K19">
        <f>IF(Hoja1!K19="","",(Hoja1!K19/100)*$K$3)</f>
        <v>1</v>
      </c>
      <c r="L19">
        <f>IF(Hoja1!L19="","",(Hoja1!L19/100)*$L$3)</f>
        <v>1.5</v>
      </c>
      <c r="M19">
        <f>IF(Hoja1!M19="","",(Hoja1!M19/100)*$M$3)</f>
        <v>1.6</v>
      </c>
      <c r="N19">
        <f>IF(Hoja1!N19="","",(Hoja1!N19/100)*$N$3)</f>
        <v>2</v>
      </c>
      <c r="O19">
        <f>IF(Hoja1!O19="","",(Hoja1!O19/100)*$O$3)</f>
        <v>2</v>
      </c>
      <c r="P19">
        <f>IF(Hoja1!P19="","",(Hoja1!P19/100)*$P$3)</f>
        <v>0</v>
      </c>
      <c r="Q19">
        <f>IF(Hoja1!Q19="","",(Hoja1!Q19/100)*$Q$3)</f>
        <v>0</v>
      </c>
      <c r="R19">
        <f>IF(Hoja1!R19="","",(Hoja1!R19/100)*$R$3)</f>
        <v>0</v>
      </c>
      <c r="S19">
        <f t="shared" si="0"/>
        <v>11.6</v>
      </c>
    </row>
    <row r="20" spans="2:19" x14ac:dyDescent="0.25">
      <c r="B20">
        <v>16</v>
      </c>
      <c r="C20">
        <v>202430829</v>
      </c>
      <c r="D20" t="s">
        <v>32</v>
      </c>
      <c r="E20">
        <f>IF(Hoja1!E20="","",(Hoja1!E20/100)*$E$3)</f>
        <v>0.5</v>
      </c>
      <c r="F20">
        <f>IF(Hoja1!F20="","",(Hoja1!F20/100)*$F$3)</f>
        <v>0.5</v>
      </c>
      <c r="G20">
        <f>IF(Hoja1!G20="","",(Hoja1!G20/100)*$G$3)</f>
        <v>0.5</v>
      </c>
      <c r="H20">
        <f>IF(Hoja1!H20="","",(Hoja1!H20/100)*$H$3)</f>
        <v>0.45</v>
      </c>
      <c r="I20">
        <f>IF(Hoja1!I20="","",(Hoja1!I20/100)*$I$3)</f>
        <v>1.7</v>
      </c>
      <c r="J20">
        <f>IF(Hoja1!J20="","",(Hoja1!J20/100)*$J$3)</f>
        <v>1</v>
      </c>
      <c r="K20">
        <f>IF(Hoja1!K20="","",(Hoja1!K20/100)*$K$3)</f>
        <v>1</v>
      </c>
      <c r="L20">
        <f>IF(Hoja1!L20="","",(Hoja1!L20/100)*$L$3)</f>
        <v>1.5</v>
      </c>
      <c r="M20">
        <f>IF(Hoja1!M20="","",(Hoja1!M20/100)*$M$3)</f>
        <v>1.4</v>
      </c>
      <c r="N20">
        <f>IF(Hoja1!N20="","",(Hoja1!N20/100)*$N$3)</f>
        <v>1.7</v>
      </c>
      <c r="O20">
        <f>IF(Hoja1!O20="","",(Hoja1!O20/100)*$O$3)</f>
        <v>1.7</v>
      </c>
      <c r="P20">
        <f>IF(Hoja1!P20="","",(Hoja1!P20/100)*$P$3)</f>
        <v>0.8</v>
      </c>
      <c r="Q20">
        <f>IF(Hoja1!Q20="","",(Hoja1!Q20/100)*$Q$3)</f>
        <v>1.5</v>
      </c>
      <c r="R20">
        <f>IF(Hoja1!R20="","",(Hoja1!R20/100)*$R$3)</f>
        <v>5</v>
      </c>
      <c r="S20">
        <f t="shared" si="0"/>
        <v>19.25</v>
      </c>
    </row>
    <row r="21" spans="2:19" x14ac:dyDescent="0.25">
      <c r="B21">
        <v>17</v>
      </c>
      <c r="C21">
        <v>202431169</v>
      </c>
      <c r="D21" t="s">
        <v>33</v>
      </c>
      <c r="E21">
        <f>IF(Hoja1!E21="","",(Hoja1!E21/100)*$E$3)</f>
        <v>0.5</v>
      </c>
      <c r="F21">
        <f>IF(Hoja1!F21="","",(Hoja1!F21/100)*$F$3)</f>
        <v>0</v>
      </c>
      <c r="G21">
        <f>IF(Hoja1!G21="","",(Hoja1!G21/100)*$G$3)</f>
        <v>0.25</v>
      </c>
      <c r="H21">
        <f>IF(Hoja1!H21="","",(Hoja1!H21/100)*$H$3)</f>
        <v>0.5</v>
      </c>
      <c r="I21">
        <f>IF(Hoja1!I21="","",(Hoja1!I21/100)*$I$3)</f>
        <v>1.7</v>
      </c>
      <c r="J21">
        <f>IF(Hoja1!J21="","",(Hoja1!J21/100)*$J$3)</f>
        <v>1</v>
      </c>
      <c r="K21">
        <f>IF(Hoja1!K21="","",(Hoja1!K21/100)*$K$3)</f>
        <v>1</v>
      </c>
      <c r="L21">
        <f>IF(Hoja1!L21="","",(Hoja1!L21/100)*$L$3)</f>
        <v>1.5</v>
      </c>
      <c r="M21">
        <f>IF(Hoja1!M21="","",(Hoja1!M21/100)*$M$3)</f>
        <v>1</v>
      </c>
      <c r="N21">
        <f>IF(Hoja1!N21="","",(Hoja1!N21/100)*$N$3)</f>
        <v>2</v>
      </c>
      <c r="O21">
        <f>IF(Hoja1!O21="","",(Hoja1!O21/100)*$O$3)</f>
        <v>2</v>
      </c>
      <c r="P21">
        <f>IF(Hoja1!P21="","",(Hoja1!P21/100)*$P$3)</f>
        <v>1</v>
      </c>
      <c r="Q21">
        <f>IF(Hoja1!Q21="","",(Hoja1!Q21/100)*$Q$3)</f>
        <v>1.5</v>
      </c>
      <c r="R21">
        <f>IF(Hoja1!R21="","",(Hoja1!R21/100)*$R$3)</f>
        <v>5</v>
      </c>
      <c r="S21">
        <f t="shared" si="0"/>
        <v>18.95</v>
      </c>
    </row>
    <row r="22" spans="2:19" x14ac:dyDescent="0.25">
      <c r="B22">
        <v>18</v>
      </c>
      <c r="C22">
        <v>202431502</v>
      </c>
      <c r="D22" t="s">
        <v>34</v>
      </c>
      <c r="E22">
        <f>IF(Hoja1!E22="","",(Hoja1!E22/100)*$E$3)</f>
        <v>0.5</v>
      </c>
      <c r="F22">
        <f>IF(Hoja1!F22="","",(Hoja1!F22/100)*$F$3)</f>
        <v>0.5</v>
      </c>
      <c r="G22">
        <f>IF(Hoja1!G22="","",(Hoja1!G22/100)*$G$3)</f>
        <v>0.5</v>
      </c>
      <c r="H22">
        <f>IF(Hoja1!H22="","",(Hoja1!H22/100)*$H$3)</f>
        <v>0.5</v>
      </c>
      <c r="I22">
        <f>IF(Hoja1!I22="","",(Hoja1!I22/100)*$I$3)</f>
        <v>2</v>
      </c>
      <c r="J22">
        <f>IF(Hoja1!J22="","",(Hoja1!J22/100)*$J$3)</f>
        <v>1</v>
      </c>
      <c r="K22">
        <f>IF(Hoja1!K22="","",(Hoja1!K22/100)*$K$3)</f>
        <v>1</v>
      </c>
      <c r="L22">
        <f>IF(Hoja1!L22="","",(Hoja1!L22/100)*$L$3)</f>
        <v>1.5</v>
      </c>
      <c r="M22">
        <f>IF(Hoja1!M22="","",(Hoja1!M22/100)*$M$3)</f>
        <v>1</v>
      </c>
      <c r="N22">
        <f>IF(Hoja1!N22="","",(Hoja1!N22/100)*$N$3)</f>
        <v>1.8</v>
      </c>
      <c r="O22">
        <f>IF(Hoja1!O22="","",(Hoja1!O22/100)*$O$3)</f>
        <v>0.9</v>
      </c>
      <c r="P22">
        <f>IF(Hoja1!P22="","",(Hoja1!P22/100)*$P$3)</f>
        <v>0.8</v>
      </c>
      <c r="Q22">
        <f>IF(Hoja1!Q22="","",(Hoja1!Q22/100)*$Q$3)</f>
        <v>1.5</v>
      </c>
      <c r="R22">
        <f>IF(Hoja1!R22="","",(Hoja1!R22/100)*$R$3)</f>
        <v>5</v>
      </c>
      <c r="S22">
        <f t="shared" si="0"/>
        <v>18.5</v>
      </c>
    </row>
    <row r="23" spans="2:19" x14ac:dyDescent="0.25">
      <c r="B23">
        <v>19</v>
      </c>
      <c r="C23">
        <v>202431726</v>
      </c>
      <c r="D23" t="s">
        <v>35</v>
      </c>
      <c r="E23">
        <f>IF(Hoja1!E23="","",(Hoja1!E23/100)*$E$3)</f>
        <v>0.5</v>
      </c>
      <c r="F23">
        <f>IF(Hoja1!F23="","",(Hoja1!F23/100)*$F$3)</f>
        <v>0</v>
      </c>
      <c r="G23">
        <f>IF(Hoja1!G23="","",(Hoja1!G23/100)*$G$3)</f>
        <v>0.5</v>
      </c>
      <c r="H23">
        <f>IF(Hoja1!H23="","",(Hoja1!H23/100)*$H$3)</f>
        <v>0.5</v>
      </c>
      <c r="I23">
        <f>IF(Hoja1!I23="","",(Hoja1!I23/100)*$I$3)</f>
        <v>1.5</v>
      </c>
      <c r="J23">
        <f>IF(Hoja1!J23="","",(Hoja1!J23/100)*$J$3)</f>
        <v>1</v>
      </c>
      <c r="K23">
        <f>IF(Hoja1!K23="","",(Hoja1!K23/100)*$K$3)</f>
        <v>1</v>
      </c>
      <c r="L23">
        <f>IF(Hoja1!L23="","",(Hoja1!L23/100)*$L$3)</f>
        <v>1.5</v>
      </c>
      <c r="M23">
        <f>IF(Hoja1!M23="","",(Hoja1!M23/100)*$M$3)</f>
        <v>1.8</v>
      </c>
      <c r="N23">
        <f>IF(Hoja1!N23="","",(Hoja1!N23/100)*$N$3)</f>
        <v>1.9</v>
      </c>
      <c r="O23">
        <f>IF(Hoja1!O23="","",(Hoja1!O23/100)*$O$3)</f>
        <v>1.8</v>
      </c>
      <c r="P23">
        <f>IF(Hoja1!P23="","",(Hoja1!P23/100)*$P$3)</f>
        <v>0</v>
      </c>
      <c r="Q23">
        <f>IF(Hoja1!Q23="","",(Hoja1!Q23/100)*$Q$3)</f>
        <v>0</v>
      </c>
      <c r="R23">
        <f>IF(Hoja1!R23="","",(Hoja1!R23/100)*$R$3)</f>
        <v>0</v>
      </c>
      <c r="S23">
        <f t="shared" si="0"/>
        <v>12.000000000000002</v>
      </c>
    </row>
    <row r="24" spans="2:19" x14ac:dyDescent="0.25">
      <c r="B24">
        <v>20</v>
      </c>
      <c r="C24">
        <v>202431817</v>
      </c>
      <c r="D24" t="s">
        <v>36</v>
      </c>
      <c r="E24">
        <f>IF(Hoja1!E24="","",(Hoja1!E24/100)*$E$3)</f>
        <v>0</v>
      </c>
      <c r="F24">
        <f>IF(Hoja1!F24="","",(Hoja1!F24/100)*$F$3)</f>
        <v>0</v>
      </c>
      <c r="G24">
        <f>IF(Hoja1!G24="","",(Hoja1!G24/100)*$G$3)</f>
        <v>0.5</v>
      </c>
      <c r="H24">
        <f>IF(Hoja1!H24="","",(Hoja1!H24/100)*$H$3)</f>
        <v>0.5</v>
      </c>
      <c r="I24">
        <f>IF(Hoja1!I24="","",(Hoja1!I24/100)*$I$3)</f>
        <v>0</v>
      </c>
      <c r="J24">
        <f>IF(Hoja1!J24="","",(Hoja1!J24/100)*$J$3)</f>
        <v>0</v>
      </c>
      <c r="K24">
        <f>IF(Hoja1!K24="","",(Hoja1!K24/100)*$K$3)</f>
        <v>1</v>
      </c>
      <c r="L24">
        <f>IF(Hoja1!L24="","",(Hoja1!L24/100)*$L$3)</f>
        <v>0</v>
      </c>
      <c r="M24">
        <f>IF(Hoja1!M24="","",(Hoja1!M24/100)*$M$3)</f>
        <v>0</v>
      </c>
      <c r="N24">
        <f>IF(Hoja1!N24="","",(Hoja1!N24/100)*$N$3)</f>
        <v>0.3</v>
      </c>
      <c r="O24">
        <f>IF(Hoja1!O24="","",(Hoja1!O24/100)*$O$3)</f>
        <v>1.8</v>
      </c>
      <c r="P24">
        <f>IF(Hoja1!P24="","",(Hoja1!P24/100)*$P$3)</f>
        <v>1</v>
      </c>
      <c r="Q24">
        <f>IF(Hoja1!Q24="","",(Hoja1!Q24/100)*$Q$3)</f>
        <v>0</v>
      </c>
      <c r="R24">
        <f>IF(Hoja1!R24="","",(Hoja1!R24/100)*$R$3)</f>
        <v>5</v>
      </c>
      <c r="S24">
        <f t="shared" si="0"/>
        <v>10.1</v>
      </c>
    </row>
    <row r="25" spans="2:19" x14ac:dyDescent="0.25">
      <c r="B25">
        <v>21</v>
      </c>
      <c r="C25">
        <v>202431819</v>
      </c>
      <c r="D25" t="s">
        <v>37</v>
      </c>
      <c r="E25">
        <f>IF(Hoja1!E25="","",(Hoja1!E25/100)*$E$3)</f>
        <v>0</v>
      </c>
      <c r="F25">
        <f>IF(Hoja1!F25="","",(Hoja1!F25/100)*$F$3)</f>
        <v>0.5</v>
      </c>
      <c r="G25">
        <f>IF(Hoja1!G25="","",(Hoja1!G25/100)*$G$3)</f>
        <v>0</v>
      </c>
      <c r="H25">
        <f>IF(Hoja1!H25="","",(Hoja1!H25/100)*$H$3)</f>
        <v>0</v>
      </c>
      <c r="I25">
        <f>IF(Hoja1!I25="","",(Hoja1!I25/100)*$I$3)</f>
        <v>0</v>
      </c>
      <c r="J25">
        <f>IF(Hoja1!J25="","",(Hoja1!J25/100)*$J$3)</f>
        <v>1</v>
      </c>
      <c r="K25">
        <f>IF(Hoja1!K25="","",(Hoja1!K25/100)*$K$3)</f>
        <v>0</v>
      </c>
      <c r="L25">
        <f>IF(Hoja1!L25="","",(Hoja1!L25/100)*$L$3)</f>
        <v>1.5</v>
      </c>
      <c r="M25">
        <f>IF(Hoja1!M25="","",(Hoja1!M25/100)*$M$3)</f>
        <v>0</v>
      </c>
      <c r="N25">
        <f>IF(Hoja1!N25="","",(Hoja1!N25/100)*$N$3)</f>
        <v>1.7</v>
      </c>
      <c r="O25">
        <f>IF(Hoja1!O25="","",(Hoja1!O25/100)*$O$3)</f>
        <v>1.4</v>
      </c>
      <c r="P25">
        <f>IF(Hoja1!P25="","",(Hoja1!P25/100)*$P$3)</f>
        <v>0.8</v>
      </c>
      <c r="Q25">
        <f>IF(Hoja1!Q25="","",(Hoja1!Q25/100)*$Q$3)</f>
        <v>1.5</v>
      </c>
      <c r="R25">
        <f>IF(Hoja1!R25="","",(Hoja1!R25/100)*$R$3)</f>
        <v>5</v>
      </c>
      <c r="S25">
        <f t="shared" si="0"/>
        <v>13.399999999999999</v>
      </c>
    </row>
    <row r="26" spans="2:19" x14ac:dyDescent="0.25">
      <c r="B26">
        <v>22</v>
      </c>
      <c r="C26">
        <v>202431863</v>
      </c>
      <c r="D26" t="s">
        <v>38</v>
      </c>
      <c r="E26">
        <f>IF(Hoja1!E26="","",(Hoja1!E26/100)*$E$3)</f>
        <v>0.5</v>
      </c>
      <c r="F26">
        <f>IF(Hoja1!F26="","",(Hoja1!F26/100)*$F$3)</f>
        <v>0</v>
      </c>
      <c r="G26">
        <f>IF(Hoja1!G26="","",(Hoja1!G26/100)*$G$3)</f>
        <v>0</v>
      </c>
      <c r="H26">
        <f>IF(Hoja1!H26="","",(Hoja1!H26/100)*$H$3)</f>
        <v>0.5</v>
      </c>
      <c r="I26">
        <f>IF(Hoja1!I26="","",(Hoja1!I26/100)*$I$3)</f>
        <v>0</v>
      </c>
      <c r="J26">
        <f>IF(Hoja1!J26="","",(Hoja1!J26/100)*$J$3)</f>
        <v>0</v>
      </c>
      <c r="K26">
        <f>IF(Hoja1!K26="","",(Hoja1!K26/100)*$K$3)</f>
        <v>0</v>
      </c>
      <c r="L26">
        <f>IF(Hoja1!L26="","",(Hoja1!L26/100)*$L$3)</f>
        <v>1.5</v>
      </c>
      <c r="M26">
        <f>IF(Hoja1!M26="","",(Hoja1!M26/100)*$M$3)</f>
        <v>0</v>
      </c>
      <c r="N26" t="str">
        <f>IF(Hoja1!N26="","",(Hoja1!N26/100)*$N$3)</f>
        <v/>
      </c>
      <c r="O26">
        <f>IF(Hoja1!O26="","",(Hoja1!O26/100)*$O$3)</f>
        <v>2</v>
      </c>
      <c r="P26">
        <f>IF(Hoja1!P26="","",(Hoja1!P26/100)*$P$3)</f>
        <v>0.8</v>
      </c>
      <c r="Q26">
        <f>IF(Hoja1!Q26="","",(Hoja1!Q26/100)*$Q$3)</f>
        <v>0</v>
      </c>
      <c r="R26">
        <f>IF(Hoja1!R26="","",(Hoja1!R26/100)*$R$3)</f>
        <v>5</v>
      </c>
      <c r="S26">
        <f t="shared" si="0"/>
        <v>10.3</v>
      </c>
    </row>
    <row r="27" spans="2:19" x14ac:dyDescent="0.25">
      <c r="B27">
        <v>23</v>
      </c>
      <c r="C27">
        <v>202432080</v>
      </c>
      <c r="D27" t="s">
        <v>39</v>
      </c>
      <c r="E27">
        <f>IF(Hoja1!E27="","",(Hoja1!E27/100)*$E$3)</f>
        <v>0.5</v>
      </c>
      <c r="F27">
        <f>IF(Hoja1!F27="","",(Hoja1!F27/100)*$F$3)</f>
        <v>0</v>
      </c>
      <c r="G27">
        <f>IF(Hoja1!G27="","",(Hoja1!G27/100)*$G$3)</f>
        <v>0</v>
      </c>
      <c r="H27">
        <f>IF(Hoja1!H27="","",(Hoja1!H27/100)*$H$3)</f>
        <v>0</v>
      </c>
      <c r="I27">
        <f>IF(Hoja1!I27="","",(Hoja1!I27/100)*$I$3)</f>
        <v>0</v>
      </c>
      <c r="J27">
        <f>IF(Hoja1!J27="","",(Hoja1!J27/100)*$J$3)</f>
        <v>1</v>
      </c>
      <c r="K27">
        <f>IF(Hoja1!K27="","",(Hoja1!K27/100)*$K$3)</f>
        <v>1</v>
      </c>
      <c r="L27">
        <f>IF(Hoja1!L27="","",(Hoja1!L27/100)*$L$3)</f>
        <v>1.5</v>
      </c>
      <c r="M27">
        <f>IF(Hoja1!M27="","",(Hoja1!M27/100)*$M$3)</f>
        <v>1.4</v>
      </c>
      <c r="N27">
        <f>IF(Hoja1!N27="","",(Hoja1!N27/100)*$N$3)</f>
        <v>2</v>
      </c>
      <c r="O27">
        <f>IF(Hoja1!O27="","",(Hoja1!O27/100)*$O$3)</f>
        <v>2</v>
      </c>
      <c r="P27">
        <f>IF(Hoja1!P27="","",(Hoja1!P27/100)*$P$3)</f>
        <v>0</v>
      </c>
      <c r="Q27">
        <f>IF(Hoja1!Q27="","",(Hoja1!Q27/100)*$Q$3)</f>
        <v>0</v>
      </c>
      <c r="R27">
        <f>IF(Hoja1!R27="","",(Hoja1!R27/100)*$R$3)</f>
        <v>0</v>
      </c>
      <c r="S27">
        <f t="shared" si="0"/>
        <v>9.4</v>
      </c>
    </row>
    <row r="28" spans="2:19" x14ac:dyDescent="0.25">
      <c r="B28">
        <v>24</v>
      </c>
      <c r="C28">
        <v>202432085</v>
      </c>
      <c r="D28" t="s">
        <v>40</v>
      </c>
      <c r="E28">
        <f>IF(Hoja1!E28="","",(Hoja1!E28/100)*$E$3)</f>
        <v>0.5</v>
      </c>
      <c r="F28">
        <f>IF(Hoja1!F28="","",(Hoja1!F28/100)*$F$3)</f>
        <v>0</v>
      </c>
      <c r="G28">
        <f>IF(Hoja1!G28="","",(Hoja1!G28/100)*$G$3)</f>
        <v>0.5</v>
      </c>
      <c r="H28">
        <f>IF(Hoja1!H28="","",(Hoja1!H28/100)*$H$3)</f>
        <v>0.5</v>
      </c>
      <c r="I28">
        <f>IF(Hoja1!I28="","",(Hoja1!I28/100)*$I$3)</f>
        <v>1.5</v>
      </c>
      <c r="J28">
        <f>IF(Hoja1!J28="","",(Hoja1!J28/100)*$J$3)</f>
        <v>1</v>
      </c>
      <c r="K28">
        <f>IF(Hoja1!K28="","",(Hoja1!K28/100)*$K$3)</f>
        <v>0.9</v>
      </c>
      <c r="L28">
        <f>IF(Hoja1!L28="","",(Hoja1!L28/100)*$L$3)</f>
        <v>1.5</v>
      </c>
      <c r="M28">
        <f>IF(Hoja1!M28="","",(Hoja1!M28/100)*$M$3)</f>
        <v>1.4</v>
      </c>
      <c r="N28">
        <f>IF(Hoja1!N28="","",(Hoja1!N28/100)*$N$3)</f>
        <v>1.9</v>
      </c>
      <c r="O28">
        <f>IF(Hoja1!O28="","",(Hoja1!O28/100)*$O$3)</f>
        <v>1.8</v>
      </c>
      <c r="P28">
        <f>IF(Hoja1!P28="","",(Hoja1!P28/100)*$P$3)</f>
        <v>0</v>
      </c>
      <c r="Q28">
        <f>IF(Hoja1!Q28="","",(Hoja1!Q28/100)*$Q$3)</f>
        <v>0</v>
      </c>
      <c r="R28">
        <f>IF(Hoja1!R28="","",(Hoja1!R28/100)*$R$3)</f>
        <v>0</v>
      </c>
      <c r="S28">
        <f t="shared" si="0"/>
        <v>11.500000000000002</v>
      </c>
    </row>
    <row r="29" spans="2:19" x14ac:dyDescent="0.25">
      <c r="B29">
        <v>25</v>
      </c>
      <c r="C29">
        <v>202432137</v>
      </c>
      <c r="D29" t="s">
        <v>41</v>
      </c>
      <c r="E29">
        <f>IF(Hoja1!E29="","",(Hoja1!E29/100)*$E$3)</f>
        <v>0.5</v>
      </c>
      <c r="F29">
        <f>IF(Hoja1!F29="","",(Hoja1!F29/100)*$F$3)</f>
        <v>0</v>
      </c>
      <c r="G29">
        <f>IF(Hoja1!G29="","",(Hoja1!G29/100)*$G$3)</f>
        <v>0</v>
      </c>
      <c r="H29">
        <f>IF(Hoja1!H29="","",(Hoja1!H29/100)*$H$3)</f>
        <v>0.5</v>
      </c>
      <c r="I29">
        <f>IF(Hoja1!I29="","",(Hoja1!I29/100)*$I$3)</f>
        <v>0</v>
      </c>
      <c r="J29">
        <f>IF(Hoja1!J29="","",(Hoja1!J29/100)*$J$3)</f>
        <v>0</v>
      </c>
      <c r="K29">
        <f>IF(Hoja1!K29="","",(Hoja1!K29/100)*$K$3)</f>
        <v>0</v>
      </c>
      <c r="L29">
        <f>IF(Hoja1!L29="","",(Hoja1!L29/100)*$L$3)</f>
        <v>0</v>
      </c>
      <c r="M29">
        <f>IF(Hoja1!M29="","",(Hoja1!M29/100)*$M$3)</f>
        <v>0</v>
      </c>
      <c r="N29" t="str">
        <f>IF(Hoja1!N29="","",(Hoja1!N29/100)*$N$3)</f>
        <v/>
      </c>
      <c r="O29">
        <f>IF(Hoja1!O29="","",(Hoja1!O29/100)*$O$3)</f>
        <v>2</v>
      </c>
      <c r="P29">
        <f>IF(Hoja1!P29="","",(Hoja1!P29/100)*$P$3)</f>
        <v>0.8</v>
      </c>
      <c r="Q29">
        <f>IF(Hoja1!Q29="","",(Hoja1!Q29/100)*$Q$3)</f>
        <v>0</v>
      </c>
      <c r="R29">
        <f>IF(Hoja1!R29="","",(Hoja1!R29/100)*$R$3)</f>
        <v>5</v>
      </c>
      <c r="S29">
        <f t="shared" si="0"/>
        <v>8.8000000000000007</v>
      </c>
    </row>
    <row r="30" spans="2:19" x14ac:dyDescent="0.25">
      <c r="B30">
        <v>26</v>
      </c>
      <c r="C30">
        <v>202530125</v>
      </c>
      <c r="D30" t="s">
        <v>42</v>
      </c>
      <c r="E30">
        <f>IF(Hoja1!E30="","",(Hoja1!E30/100)*$E$3)</f>
        <v>0</v>
      </c>
      <c r="F30">
        <f>IF(Hoja1!F30="","",(Hoja1!F30/100)*$F$3)</f>
        <v>0</v>
      </c>
      <c r="G30">
        <f>IF(Hoja1!G30="","",(Hoja1!G30/100)*$G$3)</f>
        <v>0.5</v>
      </c>
      <c r="H30">
        <f>IF(Hoja1!H30="","",(Hoja1!H30/100)*$H$3)</f>
        <v>0.5</v>
      </c>
      <c r="I30">
        <f>IF(Hoja1!I30="","",(Hoja1!I30/100)*$I$3)</f>
        <v>2</v>
      </c>
      <c r="J30">
        <f>IF(Hoja1!J30="","",(Hoja1!J30/100)*$J$3)</f>
        <v>0.75</v>
      </c>
      <c r="K30">
        <f>IF(Hoja1!K30="","",(Hoja1!K30/100)*$K$3)</f>
        <v>0.9</v>
      </c>
      <c r="L30">
        <f>IF(Hoja1!L30="","",(Hoja1!L30/100)*$L$3)</f>
        <v>1.5</v>
      </c>
      <c r="M30">
        <f>IF(Hoja1!M30="","",(Hoja1!M30/100)*$M$3)</f>
        <v>1.6</v>
      </c>
      <c r="N30">
        <f>IF(Hoja1!N30="","",(Hoja1!N30/100)*$N$3)</f>
        <v>1.8</v>
      </c>
      <c r="O30">
        <f>IF(Hoja1!O30="","",(Hoja1!O30/100)*$O$3)</f>
        <v>1.2</v>
      </c>
      <c r="P30">
        <f>IF(Hoja1!P30="","",(Hoja1!P30/100)*$P$3)</f>
        <v>0</v>
      </c>
      <c r="Q30">
        <f>IF(Hoja1!Q30="","",(Hoja1!Q30/100)*$Q$3)</f>
        <v>0</v>
      </c>
      <c r="R30">
        <f>IF(Hoja1!R30="","",(Hoja1!R30/100)*$R$3)</f>
        <v>0</v>
      </c>
      <c r="S30">
        <f t="shared" si="0"/>
        <v>10.75</v>
      </c>
    </row>
    <row r="31" spans="2:19" x14ac:dyDescent="0.25">
      <c r="B31">
        <v>27</v>
      </c>
      <c r="C31">
        <v>202530235</v>
      </c>
      <c r="D31" t="s">
        <v>43</v>
      </c>
      <c r="E31">
        <f>IF(Hoja1!E31="","",(Hoja1!E31/100)*$E$3)</f>
        <v>0.5</v>
      </c>
      <c r="F31">
        <f>IF(Hoja1!F31="","",(Hoja1!F31/100)*$F$3)</f>
        <v>0</v>
      </c>
      <c r="G31">
        <f>IF(Hoja1!G31="","",(Hoja1!G31/100)*$G$3)</f>
        <v>0.5</v>
      </c>
      <c r="H31">
        <f>IF(Hoja1!H31="","",(Hoja1!H31/100)*$H$3)</f>
        <v>0.5</v>
      </c>
      <c r="I31">
        <f>IF(Hoja1!I31="","",(Hoja1!I31/100)*$I$3)</f>
        <v>2</v>
      </c>
      <c r="J31">
        <f>IF(Hoja1!J31="","",(Hoja1!J31/100)*$J$3)</f>
        <v>1</v>
      </c>
      <c r="K31">
        <f>IF(Hoja1!K31="","",(Hoja1!K31/100)*$K$3)</f>
        <v>1</v>
      </c>
      <c r="L31">
        <f>IF(Hoja1!L31="","",(Hoja1!L31/100)*$L$3)</f>
        <v>1.5</v>
      </c>
      <c r="M31">
        <f>IF(Hoja1!M31="","",(Hoja1!M31/100)*$M$3)</f>
        <v>2</v>
      </c>
      <c r="N31" t="str">
        <f>IF(Hoja1!N31="","",(Hoja1!N31/100)*$N$3)</f>
        <v/>
      </c>
      <c r="O31">
        <f>IF(Hoja1!O31="","",(Hoja1!O31/100)*$O$3)</f>
        <v>2</v>
      </c>
      <c r="P31">
        <f>IF(Hoja1!P31="","",(Hoja1!P31/100)*$P$3)</f>
        <v>0.8</v>
      </c>
      <c r="Q31">
        <f>IF(Hoja1!Q31="","",(Hoja1!Q31/100)*$Q$3)</f>
        <v>1.5</v>
      </c>
      <c r="R31">
        <f>IF(Hoja1!R31="","",(Hoja1!R31/100)*$R$3)</f>
        <v>5</v>
      </c>
      <c r="S31">
        <f t="shared" si="0"/>
        <v>18.3</v>
      </c>
    </row>
    <row r="32" spans="2:19" x14ac:dyDescent="0.25">
      <c r="B32">
        <v>28</v>
      </c>
      <c r="C32">
        <v>202530265</v>
      </c>
      <c r="D32" t="s">
        <v>44</v>
      </c>
      <c r="E32">
        <f>IF(Hoja1!E32="","",(Hoja1!E32/100)*$E$3)</f>
        <v>0.5</v>
      </c>
      <c r="F32">
        <f>IF(Hoja1!F32="","",(Hoja1!F32/100)*$F$3)</f>
        <v>0.5</v>
      </c>
      <c r="G32">
        <f>IF(Hoja1!G32="","",(Hoja1!G32/100)*$G$3)</f>
        <v>0.5</v>
      </c>
      <c r="H32">
        <f>IF(Hoja1!H32="","",(Hoja1!H32/100)*$H$3)</f>
        <v>0.5</v>
      </c>
      <c r="I32">
        <f>IF(Hoja1!I32="","",(Hoja1!I32/100)*$I$3)</f>
        <v>2</v>
      </c>
      <c r="J32">
        <f>IF(Hoja1!J32="","",(Hoja1!J32/100)*$J$3)</f>
        <v>0.9</v>
      </c>
      <c r="K32">
        <f>IF(Hoja1!K32="","",(Hoja1!K32/100)*$K$3)</f>
        <v>1</v>
      </c>
      <c r="L32">
        <f>IF(Hoja1!L32="","",(Hoja1!L32/100)*$L$3)</f>
        <v>1.5</v>
      </c>
      <c r="M32">
        <f>IF(Hoja1!M32="","",(Hoja1!M32/100)*$M$3)</f>
        <v>1.4</v>
      </c>
      <c r="N32">
        <f>IF(Hoja1!N32="","",(Hoja1!N32/100)*$N$3)</f>
        <v>2</v>
      </c>
      <c r="O32">
        <f>IF(Hoja1!O32="","",(Hoja1!O32/100)*$O$3)</f>
        <v>2</v>
      </c>
      <c r="P32">
        <f>IF(Hoja1!P32="","",(Hoja1!P32/100)*$P$3)</f>
        <v>0.9</v>
      </c>
      <c r="Q32">
        <f>IF(Hoja1!Q32="","",(Hoja1!Q32/100)*$Q$3)</f>
        <v>1.5</v>
      </c>
      <c r="R32">
        <f>IF(Hoja1!R32="","",(Hoja1!R32/100)*$R$3)</f>
        <v>5</v>
      </c>
      <c r="S32">
        <f t="shared" si="0"/>
        <v>20.200000000000003</v>
      </c>
    </row>
    <row r="33" spans="2:19" x14ac:dyDescent="0.25">
      <c r="B33">
        <v>29</v>
      </c>
      <c r="C33">
        <v>202530315</v>
      </c>
      <c r="D33" t="s">
        <v>45</v>
      </c>
      <c r="E33">
        <f>IF(Hoja1!E33="","",(Hoja1!E33/100)*$E$3)</f>
        <v>0.5</v>
      </c>
      <c r="F33">
        <f>IF(Hoja1!F33="","",(Hoja1!F33/100)*$F$3)</f>
        <v>0</v>
      </c>
      <c r="G33">
        <f>IF(Hoja1!G33="","",(Hoja1!G33/100)*$G$3)</f>
        <v>0.5</v>
      </c>
      <c r="H33">
        <f>IF(Hoja1!H33="","",(Hoja1!H33/100)*$H$3)</f>
        <v>0.5</v>
      </c>
      <c r="I33">
        <f>IF(Hoja1!I33="","",(Hoja1!I33/100)*$I$3)</f>
        <v>2</v>
      </c>
      <c r="J33">
        <f>IF(Hoja1!J33="","",(Hoja1!J33/100)*$J$3)</f>
        <v>1</v>
      </c>
      <c r="K33">
        <f>IF(Hoja1!K33="","",(Hoja1!K33/100)*$K$3)</f>
        <v>1</v>
      </c>
      <c r="L33">
        <f>IF(Hoja1!L33="","",(Hoja1!L33/100)*$L$3)</f>
        <v>1.5</v>
      </c>
      <c r="M33">
        <f>IF(Hoja1!M33="","",(Hoja1!M33/100)*$M$3)</f>
        <v>1</v>
      </c>
      <c r="N33">
        <f>IF(Hoja1!N33="","",(Hoja1!N33/100)*$N$3)</f>
        <v>2</v>
      </c>
      <c r="O33">
        <f>IF(Hoja1!O33="","",(Hoja1!O33/100)*$O$3)</f>
        <v>1</v>
      </c>
      <c r="P33">
        <f>IF(Hoja1!P33="","",(Hoja1!P33/100)*$P$3)</f>
        <v>0.8</v>
      </c>
      <c r="Q33">
        <f>IF(Hoja1!Q33="","",(Hoja1!Q33/100)*$Q$3)</f>
        <v>1.5</v>
      </c>
      <c r="R33">
        <f>IF(Hoja1!R33="","",(Hoja1!R33/100)*$R$3)</f>
        <v>5</v>
      </c>
      <c r="S33">
        <f t="shared" si="0"/>
        <v>18.3</v>
      </c>
    </row>
    <row r="34" spans="2:19" x14ac:dyDescent="0.25">
      <c r="B34">
        <v>30</v>
      </c>
      <c r="C34">
        <v>202530329</v>
      </c>
      <c r="D34" t="s">
        <v>46</v>
      </c>
      <c r="E34">
        <f>IF(Hoja1!E34="","",(Hoja1!E34/100)*$E$3)</f>
        <v>0.5</v>
      </c>
      <c r="F34">
        <f>IF(Hoja1!F34="","",(Hoja1!F34/100)*$F$3)</f>
        <v>0</v>
      </c>
      <c r="G34">
        <f>IF(Hoja1!G34="","",(Hoja1!G34/100)*$G$3)</f>
        <v>0.5</v>
      </c>
      <c r="H34">
        <f>IF(Hoja1!H34="","",(Hoja1!H34/100)*$H$3)</f>
        <v>0</v>
      </c>
      <c r="I34">
        <f>IF(Hoja1!I34="","",(Hoja1!I34/100)*$I$3)</f>
        <v>2</v>
      </c>
      <c r="J34">
        <f>IF(Hoja1!J34="","",(Hoja1!J34/100)*$J$3)</f>
        <v>0.95</v>
      </c>
      <c r="K34">
        <f>IF(Hoja1!K34="","",(Hoja1!K34/100)*$K$3)</f>
        <v>1</v>
      </c>
      <c r="L34">
        <f>IF(Hoja1!L34="","",(Hoja1!L34/100)*$L$3)</f>
        <v>1.5</v>
      </c>
      <c r="M34">
        <f>IF(Hoja1!M34="","",(Hoja1!M34/100)*$M$3)</f>
        <v>1.4</v>
      </c>
      <c r="N34">
        <f>IF(Hoja1!N34="","",(Hoja1!N34/100)*$N$3)</f>
        <v>1.7</v>
      </c>
      <c r="O34">
        <f>IF(Hoja1!O34="","",(Hoja1!O34/100)*$O$3)</f>
        <v>1.3</v>
      </c>
      <c r="P34">
        <f>IF(Hoja1!P34="","",(Hoja1!P34/100)*$P$3)</f>
        <v>0.8</v>
      </c>
      <c r="Q34">
        <f>IF(Hoja1!Q34="","",(Hoja1!Q34/100)*$Q$3)</f>
        <v>1.5</v>
      </c>
      <c r="R34">
        <f>IF(Hoja1!R34="","",(Hoja1!R34/100)*$R$3)</f>
        <v>5</v>
      </c>
      <c r="S34">
        <f t="shared" si="0"/>
        <v>18.149999999999999</v>
      </c>
    </row>
    <row r="35" spans="2:19" x14ac:dyDescent="0.25">
      <c r="B35">
        <v>31</v>
      </c>
      <c r="C35">
        <v>202530349</v>
      </c>
      <c r="D35" t="s">
        <v>47</v>
      </c>
      <c r="E35">
        <f>IF(Hoja1!E35="","",(Hoja1!E35/100)*$E$3)</f>
        <v>0</v>
      </c>
      <c r="F35">
        <f>IF(Hoja1!F35="","",(Hoja1!F35/100)*$F$3)</f>
        <v>0</v>
      </c>
      <c r="G35">
        <f>IF(Hoja1!G35="","",(Hoja1!G35/100)*$G$3)</f>
        <v>0.5</v>
      </c>
      <c r="H35">
        <f>IF(Hoja1!H35="","",(Hoja1!H35/100)*$H$3)</f>
        <v>0.5</v>
      </c>
      <c r="I35">
        <f>IF(Hoja1!I35="","",(Hoja1!I35/100)*$I$3)</f>
        <v>2</v>
      </c>
      <c r="J35">
        <f>IF(Hoja1!J35="","",(Hoja1!J35/100)*$J$3)</f>
        <v>0.75</v>
      </c>
      <c r="K35">
        <f>IF(Hoja1!K35="","",(Hoja1!K35/100)*$K$3)</f>
        <v>1</v>
      </c>
      <c r="L35">
        <f>IF(Hoja1!L35="","",(Hoja1!L35/100)*$L$3)</f>
        <v>1.5</v>
      </c>
      <c r="M35">
        <f>IF(Hoja1!M35="","",(Hoja1!M35/100)*$M$3)</f>
        <v>1.6</v>
      </c>
      <c r="N35">
        <f>IF(Hoja1!N35="","",(Hoja1!N35/100)*$N$3)</f>
        <v>1.8</v>
      </c>
      <c r="O35">
        <f>IF(Hoja1!O35="","",(Hoja1!O35/100)*$O$3)</f>
        <v>1.2</v>
      </c>
      <c r="P35">
        <f>IF(Hoja1!P35="","",(Hoja1!P35/100)*$P$3)</f>
        <v>1</v>
      </c>
      <c r="Q35">
        <f>IF(Hoja1!Q35="","",(Hoja1!Q35/100)*$Q$3)</f>
        <v>1.5</v>
      </c>
      <c r="R35">
        <f>IF(Hoja1!R35="","",(Hoja1!R35/100)*$R$3)</f>
        <v>5</v>
      </c>
      <c r="S35">
        <f t="shared" si="0"/>
        <v>18.350000000000001</v>
      </c>
    </row>
    <row r="36" spans="2:19" x14ac:dyDescent="0.25">
      <c r="B36">
        <v>32</v>
      </c>
      <c r="C36">
        <v>202530357</v>
      </c>
      <c r="D36" t="s">
        <v>48</v>
      </c>
      <c r="E36">
        <f>IF(Hoja1!E36="","",(Hoja1!E36/100)*$E$3)</f>
        <v>0.5</v>
      </c>
      <c r="F36">
        <f>IF(Hoja1!F36="","",(Hoja1!F36/100)*$F$3)</f>
        <v>0</v>
      </c>
      <c r="G36">
        <f>IF(Hoja1!G36="","",(Hoja1!G36/100)*$G$3)</f>
        <v>0.5</v>
      </c>
      <c r="H36">
        <f>IF(Hoja1!H36="","",(Hoja1!H36/100)*$H$3)</f>
        <v>0.5</v>
      </c>
      <c r="I36">
        <f>IF(Hoja1!I36="","",(Hoja1!I36/100)*$I$3)</f>
        <v>2</v>
      </c>
      <c r="J36">
        <f>IF(Hoja1!J36="","",(Hoja1!J36/100)*$J$3)</f>
        <v>1</v>
      </c>
      <c r="K36">
        <f>IF(Hoja1!K36="","",(Hoja1!K36/100)*$K$3)</f>
        <v>1</v>
      </c>
      <c r="L36">
        <f>IF(Hoja1!L36="","",(Hoja1!L36/100)*$L$3)</f>
        <v>1.5</v>
      </c>
      <c r="M36">
        <f>IF(Hoja1!M36="","",(Hoja1!M36/100)*$M$3)</f>
        <v>1.6</v>
      </c>
      <c r="N36">
        <f>IF(Hoja1!N36="","",(Hoja1!N36/100)*$N$3)</f>
        <v>1.3</v>
      </c>
      <c r="O36">
        <f>IF(Hoja1!O36="","",(Hoja1!O36/100)*$O$3)</f>
        <v>1.6</v>
      </c>
      <c r="P36">
        <f>IF(Hoja1!P36="","",(Hoja1!P36/100)*$P$3)</f>
        <v>1</v>
      </c>
      <c r="Q36">
        <f>IF(Hoja1!Q36="","",(Hoja1!Q36/100)*$Q$3)</f>
        <v>1.5</v>
      </c>
      <c r="R36">
        <f>IF(Hoja1!R36="","",(Hoja1!R36/100)*$R$3)</f>
        <v>5</v>
      </c>
      <c r="S36">
        <f t="shared" si="0"/>
        <v>19</v>
      </c>
    </row>
    <row r="37" spans="2:19" x14ac:dyDescent="0.25">
      <c r="B37">
        <v>33</v>
      </c>
      <c r="C37">
        <v>202530381</v>
      </c>
      <c r="D37" t="s">
        <v>49</v>
      </c>
      <c r="E37">
        <f>IF(Hoja1!E37="","",(Hoja1!E37/100)*$E$3)</f>
        <v>0.5</v>
      </c>
      <c r="F37">
        <f>IF(Hoja1!F37="","",(Hoja1!F37/100)*$F$3)</f>
        <v>0.5</v>
      </c>
      <c r="G37">
        <f>IF(Hoja1!G37="","",(Hoja1!G37/100)*$G$3)</f>
        <v>0.5</v>
      </c>
      <c r="H37">
        <f>IF(Hoja1!H37="","",(Hoja1!H37/100)*$H$3)</f>
        <v>0.5</v>
      </c>
      <c r="I37">
        <f>IF(Hoja1!I37="","",(Hoja1!I37/100)*$I$3)</f>
        <v>2</v>
      </c>
      <c r="J37">
        <f>IF(Hoja1!J37="","",(Hoja1!J37/100)*$J$3)</f>
        <v>1</v>
      </c>
      <c r="K37">
        <f>IF(Hoja1!K37="","",(Hoja1!K37/100)*$K$3)</f>
        <v>1</v>
      </c>
      <c r="L37">
        <f>IF(Hoja1!L37="","",(Hoja1!L37/100)*$L$3)</f>
        <v>1.5</v>
      </c>
      <c r="M37">
        <f>IF(Hoja1!M37="","",(Hoja1!M37/100)*$M$3)</f>
        <v>1</v>
      </c>
      <c r="N37">
        <f>IF(Hoja1!N37="","",(Hoja1!N37/100)*$N$3)</f>
        <v>1.8</v>
      </c>
      <c r="O37">
        <f>IF(Hoja1!O37="","",(Hoja1!O37/100)*$O$3)</f>
        <v>0.9</v>
      </c>
      <c r="P37">
        <f>IF(Hoja1!P37="","",(Hoja1!P37/100)*$P$3)</f>
        <v>0.8</v>
      </c>
      <c r="Q37">
        <f>IF(Hoja1!Q37="","",(Hoja1!Q37/100)*$Q$3)</f>
        <v>1.5</v>
      </c>
      <c r="R37">
        <f>IF(Hoja1!R37="","",(Hoja1!R37/100)*$R$3)</f>
        <v>5</v>
      </c>
      <c r="S37">
        <f t="shared" si="0"/>
        <v>18.5</v>
      </c>
    </row>
    <row r="38" spans="2:19" x14ac:dyDescent="0.25">
      <c r="B38">
        <v>34</v>
      </c>
      <c r="C38">
        <v>202530434</v>
      </c>
      <c r="D38" t="s">
        <v>50</v>
      </c>
      <c r="E38">
        <f>IF(Hoja1!E38="","",(Hoja1!E38/100)*$E$3)</f>
        <v>0.5</v>
      </c>
      <c r="F38">
        <f>IF(Hoja1!F38="","",(Hoja1!F38/100)*$F$3)</f>
        <v>0</v>
      </c>
      <c r="G38">
        <f>IF(Hoja1!G38="","",(Hoja1!G38/100)*$G$3)</f>
        <v>0.5</v>
      </c>
      <c r="H38">
        <f>IF(Hoja1!H38="","",(Hoja1!H38/100)*$H$3)</f>
        <v>0.45</v>
      </c>
      <c r="I38">
        <f>IF(Hoja1!I38="","",(Hoja1!I38/100)*$I$3)</f>
        <v>1.5</v>
      </c>
      <c r="J38">
        <f>IF(Hoja1!J38="","",(Hoja1!J38/100)*$J$3)</f>
        <v>0.55000000000000004</v>
      </c>
      <c r="K38">
        <f>IF(Hoja1!K38="","",(Hoja1!K38/100)*$K$3)</f>
        <v>1</v>
      </c>
      <c r="L38">
        <f>IF(Hoja1!L38="","",(Hoja1!L38/100)*$L$3)</f>
        <v>1.5</v>
      </c>
      <c r="M38">
        <f>IF(Hoja1!M38="","",(Hoja1!M38/100)*$M$3)</f>
        <v>1.8</v>
      </c>
      <c r="N38">
        <f>IF(Hoja1!N38="","",(Hoja1!N38/100)*$N$3)</f>
        <v>1.5</v>
      </c>
      <c r="O38">
        <f>IF(Hoja1!O38="","",(Hoja1!O38/100)*$O$3)</f>
        <v>2</v>
      </c>
      <c r="P38">
        <f>IF(Hoja1!P38="","",(Hoja1!P38/100)*$P$3)</f>
        <v>0.95</v>
      </c>
      <c r="Q38">
        <f>IF(Hoja1!Q38="","",(Hoja1!Q38/100)*$Q$3)</f>
        <v>1.5</v>
      </c>
      <c r="R38">
        <f>IF(Hoja1!R38="","",(Hoja1!R38/100)*$R$3)</f>
        <v>5</v>
      </c>
      <c r="S38">
        <f t="shared" si="0"/>
        <v>18.75</v>
      </c>
    </row>
    <row r="39" spans="2:19" x14ac:dyDescent="0.25">
      <c r="B39">
        <v>35</v>
      </c>
      <c r="C39">
        <v>202530446</v>
      </c>
      <c r="D39" t="s">
        <v>51</v>
      </c>
      <c r="E39">
        <f>IF(Hoja1!E39="","",(Hoja1!E39/100)*$E$3)</f>
        <v>0.5</v>
      </c>
      <c r="F39">
        <f>IF(Hoja1!F39="","",(Hoja1!F39/100)*$F$3)</f>
        <v>0</v>
      </c>
      <c r="G39">
        <f>IF(Hoja1!G39="","",(Hoja1!G39/100)*$G$3)</f>
        <v>0.5</v>
      </c>
      <c r="H39">
        <f>IF(Hoja1!H39="","",(Hoja1!H39/100)*$H$3)</f>
        <v>0</v>
      </c>
      <c r="I39">
        <f>IF(Hoja1!I39="","",(Hoja1!I39/100)*$I$3)</f>
        <v>2</v>
      </c>
      <c r="J39">
        <f>IF(Hoja1!J39="","",(Hoja1!J39/100)*$J$3)</f>
        <v>1</v>
      </c>
      <c r="K39">
        <f>IF(Hoja1!K39="","",(Hoja1!K39/100)*$K$3)</f>
        <v>1</v>
      </c>
      <c r="L39">
        <f>IF(Hoja1!L39="","",(Hoja1!L39/100)*$L$3)</f>
        <v>1.5</v>
      </c>
      <c r="M39">
        <f>IF(Hoja1!M39="","",(Hoja1!M39/100)*$M$3)</f>
        <v>1</v>
      </c>
      <c r="N39">
        <f>IF(Hoja1!N39="","",(Hoja1!N39/100)*$N$3)</f>
        <v>1.7</v>
      </c>
      <c r="O39">
        <f>IF(Hoja1!O39="","",(Hoja1!O39/100)*$O$3)</f>
        <v>1.6</v>
      </c>
      <c r="P39">
        <f>IF(Hoja1!P39="","",(Hoja1!P39/100)*$P$3)</f>
        <v>1</v>
      </c>
      <c r="Q39">
        <f>IF(Hoja1!Q39="","",(Hoja1!Q39/100)*$Q$3)</f>
        <v>1.5</v>
      </c>
      <c r="R39">
        <f>IF(Hoja1!R39="","",(Hoja1!R39/100)*$R$3)</f>
        <v>5</v>
      </c>
      <c r="S39">
        <f t="shared" si="0"/>
        <v>18.299999999999997</v>
      </c>
    </row>
    <row r="40" spans="2:19" x14ac:dyDescent="0.25">
      <c r="B40">
        <v>36</v>
      </c>
      <c r="C40">
        <v>202530522</v>
      </c>
      <c r="D40" t="s">
        <v>52</v>
      </c>
      <c r="E40">
        <f>IF(Hoja1!E40="","",(Hoja1!E40/100)*$E$3)</f>
        <v>0.5</v>
      </c>
      <c r="F40">
        <f>IF(Hoja1!F40="","",(Hoja1!F40/100)*$F$3)</f>
        <v>0</v>
      </c>
      <c r="G40">
        <f>IF(Hoja1!G40="","",(Hoja1!G40/100)*$G$3)</f>
        <v>0.5</v>
      </c>
      <c r="H40">
        <f>IF(Hoja1!H40="","",(Hoja1!H40/100)*$H$3)</f>
        <v>0</v>
      </c>
      <c r="I40">
        <f>IF(Hoja1!I40="","",(Hoja1!I40/100)*$I$3)</f>
        <v>2</v>
      </c>
      <c r="J40">
        <f>IF(Hoja1!J40="","",(Hoja1!J40/100)*$J$3)</f>
        <v>1</v>
      </c>
      <c r="K40">
        <f>IF(Hoja1!K40="","",(Hoja1!K40/100)*$K$3)</f>
        <v>1</v>
      </c>
      <c r="L40">
        <f>IF(Hoja1!L40="","",(Hoja1!L40/100)*$L$3)</f>
        <v>1.5</v>
      </c>
      <c r="M40">
        <f>IF(Hoja1!M40="","",(Hoja1!M40/100)*$M$3)</f>
        <v>1</v>
      </c>
      <c r="N40">
        <f>IF(Hoja1!N40="","",(Hoja1!N40/100)*$N$3)</f>
        <v>1.6</v>
      </c>
      <c r="O40">
        <f>IF(Hoja1!O40="","",(Hoja1!O40/100)*$O$3)</f>
        <v>1.6</v>
      </c>
      <c r="P40">
        <f>IF(Hoja1!P40="","",(Hoja1!P40/100)*$P$3)</f>
        <v>0</v>
      </c>
      <c r="Q40">
        <f>IF(Hoja1!Q40="","",(Hoja1!Q40/100)*$Q$3)</f>
        <v>0</v>
      </c>
      <c r="R40">
        <f>IF(Hoja1!R40="","",(Hoja1!R40/100)*$R$3)</f>
        <v>0</v>
      </c>
      <c r="S40">
        <f t="shared" si="0"/>
        <v>10.7</v>
      </c>
    </row>
    <row r="41" spans="2:19" x14ac:dyDescent="0.25">
      <c r="B41">
        <v>37</v>
      </c>
      <c r="C41">
        <v>202530613</v>
      </c>
      <c r="D41" t="s">
        <v>53</v>
      </c>
      <c r="E41">
        <f>IF(Hoja1!E41="","",(Hoja1!E41/100)*$E$3)</f>
        <v>0</v>
      </c>
      <c r="F41">
        <f>IF(Hoja1!F41="","",(Hoja1!F41/100)*$F$3)</f>
        <v>0.5</v>
      </c>
      <c r="G41">
        <f>IF(Hoja1!G41="","",(Hoja1!G41/100)*$G$3)</f>
        <v>0</v>
      </c>
      <c r="H41">
        <f>IF(Hoja1!H41="","",(Hoja1!H41/100)*$H$3)</f>
        <v>0</v>
      </c>
      <c r="I41">
        <f>IF(Hoja1!I41="","",(Hoja1!I41/100)*$I$3)</f>
        <v>0</v>
      </c>
      <c r="J41">
        <f>IF(Hoja1!J41="","",(Hoja1!J41/100)*$J$3)</f>
        <v>0</v>
      </c>
      <c r="K41">
        <f>IF(Hoja1!K41="","",(Hoja1!K41/100)*$K$3)</f>
        <v>0</v>
      </c>
      <c r="L41">
        <f>IF(Hoja1!L41="","",(Hoja1!L41/100)*$L$3)</f>
        <v>0</v>
      </c>
      <c r="M41">
        <f>IF(Hoja1!M41="","",(Hoja1!M41/100)*$M$3)</f>
        <v>0</v>
      </c>
      <c r="N41" t="str">
        <f>IF(Hoja1!N41="","",(Hoja1!N41/100)*$N$3)</f>
        <v/>
      </c>
      <c r="O41" t="str">
        <f>IF(Hoja1!O41="","",(Hoja1!O41/100)*$O$3)</f>
        <v/>
      </c>
      <c r="P41">
        <f>IF(Hoja1!P41="","",(Hoja1!P41/100)*$P$3)</f>
        <v>0</v>
      </c>
      <c r="Q41">
        <f>IF(Hoja1!Q41="","",(Hoja1!Q41/100)*$Q$3)</f>
        <v>0</v>
      </c>
      <c r="R41">
        <f>IF(Hoja1!R41="","",(Hoja1!R41/100)*$R$3)</f>
        <v>0</v>
      </c>
      <c r="S41">
        <f t="shared" si="0"/>
        <v>0.5</v>
      </c>
    </row>
    <row r="42" spans="2:19" x14ac:dyDescent="0.25">
      <c r="B42">
        <v>38</v>
      </c>
      <c r="C42">
        <v>202530621</v>
      </c>
      <c r="D42" t="s">
        <v>54</v>
      </c>
      <c r="E42">
        <f>IF(Hoja1!E42="","",(Hoja1!E42/100)*$E$3)</f>
        <v>0.5</v>
      </c>
      <c r="F42">
        <f>IF(Hoja1!F42="","",(Hoja1!F42/100)*$F$3)</f>
        <v>0</v>
      </c>
      <c r="G42">
        <f>IF(Hoja1!G42="","",(Hoja1!G42/100)*$G$3)</f>
        <v>0.5</v>
      </c>
      <c r="H42">
        <f>IF(Hoja1!H42="","",(Hoja1!H42/100)*$H$3)</f>
        <v>0.45</v>
      </c>
      <c r="I42">
        <f>IF(Hoja1!I42="","",(Hoja1!I42/100)*$I$3)</f>
        <v>1.4</v>
      </c>
      <c r="J42">
        <f>IF(Hoja1!J42="","",(Hoja1!J42/100)*$J$3)</f>
        <v>1</v>
      </c>
      <c r="K42">
        <f>IF(Hoja1!K42="","",(Hoja1!K42/100)*$K$3)</f>
        <v>1</v>
      </c>
      <c r="L42">
        <f>IF(Hoja1!L42="","",(Hoja1!L42/100)*$L$3)</f>
        <v>1.5</v>
      </c>
      <c r="M42">
        <f>IF(Hoja1!M42="","",(Hoja1!M42/100)*$M$3)</f>
        <v>0</v>
      </c>
      <c r="N42">
        <f>IF(Hoja1!N42="","",(Hoja1!N42/100)*$N$3)</f>
        <v>1.2</v>
      </c>
      <c r="O42">
        <f>IF(Hoja1!O42="","",(Hoja1!O42/100)*$O$3)</f>
        <v>1.3</v>
      </c>
      <c r="P42">
        <f>IF(Hoja1!P42="","",(Hoja1!P42/100)*$P$3)</f>
        <v>0.8</v>
      </c>
      <c r="Q42">
        <f>IF(Hoja1!Q42="","",(Hoja1!Q42/100)*$Q$3)</f>
        <v>1.5</v>
      </c>
      <c r="R42">
        <f>IF(Hoja1!R42="","",(Hoja1!R42/100)*$R$3)</f>
        <v>5</v>
      </c>
      <c r="S42">
        <f t="shared" si="0"/>
        <v>16.149999999999999</v>
      </c>
    </row>
    <row r="43" spans="2:19" x14ac:dyDescent="0.25">
      <c r="B43">
        <v>39</v>
      </c>
      <c r="C43">
        <v>202530673</v>
      </c>
      <c r="D43" t="s">
        <v>55</v>
      </c>
      <c r="E43">
        <f>IF(Hoja1!E43="","",(Hoja1!E43/100)*$E$3)</f>
        <v>0</v>
      </c>
      <c r="F43">
        <f>IF(Hoja1!F43="","",(Hoja1!F43/100)*$F$3)</f>
        <v>0</v>
      </c>
      <c r="G43">
        <f>IF(Hoja1!G43="","",(Hoja1!G43/100)*$G$3)</f>
        <v>0</v>
      </c>
      <c r="H43">
        <f>IF(Hoja1!H43="","",(Hoja1!H43/100)*$H$3)</f>
        <v>0.5</v>
      </c>
      <c r="I43">
        <f>IF(Hoja1!I43="","",(Hoja1!I43/100)*$I$3)</f>
        <v>0</v>
      </c>
      <c r="J43">
        <f>IF(Hoja1!J43="","",(Hoja1!J43/100)*$J$3)</f>
        <v>0</v>
      </c>
      <c r="K43">
        <f>IF(Hoja1!K43="","",(Hoja1!K43/100)*$K$3)</f>
        <v>1</v>
      </c>
      <c r="L43">
        <f>IF(Hoja1!L43="","",(Hoja1!L43/100)*$L$3)</f>
        <v>1.5</v>
      </c>
      <c r="M43">
        <f>IF(Hoja1!M43="","",(Hoja1!M43/100)*$M$3)</f>
        <v>1.4</v>
      </c>
      <c r="N43">
        <f>IF(Hoja1!N43="","",(Hoja1!N43/100)*$N$3)</f>
        <v>1.9</v>
      </c>
      <c r="O43" t="str">
        <f>IF(Hoja1!O43="","",(Hoja1!O43/100)*$O$3)</f>
        <v/>
      </c>
      <c r="P43">
        <f>IF(Hoja1!P43="","",(Hoja1!P43/100)*$P$3)</f>
        <v>0</v>
      </c>
      <c r="Q43">
        <f>IF(Hoja1!Q43="","",(Hoja1!Q43/100)*$Q$3)</f>
        <v>0</v>
      </c>
      <c r="R43">
        <f>IF(Hoja1!R43="","",(Hoja1!R43/100)*$R$3)</f>
        <v>5</v>
      </c>
      <c r="S43">
        <f t="shared" si="0"/>
        <v>11.3</v>
      </c>
    </row>
    <row r="44" spans="2:19" x14ac:dyDescent="0.25">
      <c r="B44">
        <v>40</v>
      </c>
      <c r="C44">
        <v>202530674</v>
      </c>
      <c r="D44" t="s">
        <v>56</v>
      </c>
      <c r="E44">
        <f>IF(Hoja1!E44="","",(Hoja1!E44/100)*$E$3)</f>
        <v>0</v>
      </c>
      <c r="F44">
        <f>IF(Hoja1!F44="","",(Hoja1!F44/100)*$F$3)</f>
        <v>0</v>
      </c>
      <c r="G44">
        <f>IF(Hoja1!G44="","",(Hoja1!G44/100)*$G$3)</f>
        <v>0.25</v>
      </c>
      <c r="H44">
        <f>IF(Hoja1!H44="","",(Hoja1!H44/100)*$H$3)</f>
        <v>0</v>
      </c>
      <c r="I44">
        <f>IF(Hoja1!I44="","",(Hoja1!I44/100)*$I$3)</f>
        <v>2</v>
      </c>
      <c r="J44">
        <f>IF(Hoja1!J44="","",(Hoja1!J44/100)*$J$3)</f>
        <v>1</v>
      </c>
      <c r="K44">
        <f>IF(Hoja1!K44="","",(Hoja1!K44/100)*$K$3)</f>
        <v>0.9</v>
      </c>
      <c r="L44">
        <f>IF(Hoja1!L44="","",(Hoja1!L44/100)*$L$3)</f>
        <v>1.5</v>
      </c>
      <c r="M44">
        <f>IF(Hoja1!M44="","",(Hoja1!M44/100)*$M$3)</f>
        <v>1</v>
      </c>
      <c r="N44">
        <f>IF(Hoja1!N44="","",(Hoja1!N44/100)*$N$3)</f>
        <v>1.7</v>
      </c>
      <c r="O44">
        <f>IF(Hoja1!O44="","",(Hoja1!O44/100)*$O$3)</f>
        <v>1.4</v>
      </c>
      <c r="P44">
        <f>IF(Hoja1!P44="","",(Hoja1!P44/100)*$P$3)</f>
        <v>0</v>
      </c>
      <c r="Q44">
        <f>IF(Hoja1!Q44="","",(Hoja1!Q44/100)*$Q$3)</f>
        <v>0</v>
      </c>
      <c r="R44">
        <f>IF(Hoja1!R44="","",(Hoja1!R44/100)*$R$3)</f>
        <v>0</v>
      </c>
      <c r="S44">
        <f t="shared" si="0"/>
        <v>9.75</v>
      </c>
    </row>
    <row r="45" spans="2:19" x14ac:dyDescent="0.25">
      <c r="B45">
        <v>41</v>
      </c>
      <c r="C45">
        <v>202530677</v>
      </c>
      <c r="D45" t="s">
        <v>57</v>
      </c>
      <c r="E45">
        <f>IF(Hoja1!E45="","",(Hoja1!E45/100)*$E$3)</f>
        <v>0.5</v>
      </c>
      <c r="F45">
        <f>IF(Hoja1!F45="","",(Hoja1!F45/100)*$F$3)</f>
        <v>0</v>
      </c>
      <c r="G45">
        <f>IF(Hoja1!G45="","",(Hoja1!G45/100)*$G$3)</f>
        <v>0.5</v>
      </c>
      <c r="H45">
        <f>IF(Hoja1!H45="","",(Hoja1!H45/100)*$H$3)</f>
        <v>0</v>
      </c>
      <c r="I45">
        <f>IF(Hoja1!I45="","",(Hoja1!I45/100)*$I$3)</f>
        <v>2</v>
      </c>
      <c r="J45">
        <f>IF(Hoja1!J45="","",(Hoja1!J45/100)*$J$3)</f>
        <v>0</v>
      </c>
      <c r="K45">
        <f>IF(Hoja1!K45="","",(Hoja1!K45/100)*$K$3)</f>
        <v>1</v>
      </c>
      <c r="L45">
        <f>IF(Hoja1!L45="","",(Hoja1!L45/100)*$L$3)</f>
        <v>0</v>
      </c>
      <c r="M45">
        <f>IF(Hoja1!M45="","",(Hoja1!M45/100)*$M$3)</f>
        <v>0</v>
      </c>
      <c r="N45" t="str">
        <f>IF(Hoja1!N45="","",(Hoja1!N45/100)*$N$3)</f>
        <v/>
      </c>
      <c r="O45" t="str">
        <f>IF(Hoja1!O45="","",(Hoja1!O45/100)*$O$3)</f>
        <v/>
      </c>
      <c r="P45">
        <f>IF(Hoja1!P45="","",(Hoja1!P45/100)*$P$3)</f>
        <v>0</v>
      </c>
      <c r="Q45">
        <f>IF(Hoja1!Q45="","",(Hoja1!Q45/100)*$Q$3)</f>
        <v>0</v>
      </c>
      <c r="R45">
        <f>IF(Hoja1!R45="","",(Hoja1!R45/100)*$R$3)</f>
        <v>0</v>
      </c>
      <c r="S45">
        <f t="shared" si="0"/>
        <v>4</v>
      </c>
    </row>
    <row r="46" spans="2:19" x14ac:dyDescent="0.25">
      <c r="B46">
        <v>42</v>
      </c>
      <c r="C46">
        <v>202530728</v>
      </c>
      <c r="D46" t="s">
        <v>58</v>
      </c>
      <c r="E46">
        <f>IF(Hoja1!E46="","",(Hoja1!E46/100)*$E$3)</f>
        <v>0.5</v>
      </c>
      <c r="F46">
        <f>IF(Hoja1!F46="","",(Hoja1!F46/100)*$F$3)</f>
        <v>0</v>
      </c>
      <c r="G46">
        <f>IF(Hoja1!G46="","",(Hoja1!G46/100)*$G$3)</f>
        <v>0.5</v>
      </c>
      <c r="H46">
        <f>IF(Hoja1!H46="","",(Hoja1!H46/100)*$H$3)</f>
        <v>0</v>
      </c>
      <c r="I46">
        <f>IF(Hoja1!I46="","",(Hoja1!I46/100)*$I$3)</f>
        <v>0</v>
      </c>
      <c r="J46">
        <f>IF(Hoja1!J46="","",(Hoja1!J46/100)*$J$3)</f>
        <v>0</v>
      </c>
      <c r="K46">
        <f>IF(Hoja1!K46="","",(Hoja1!K46/100)*$K$3)</f>
        <v>0</v>
      </c>
      <c r="L46">
        <f>IF(Hoja1!L46="","",(Hoja1!L46/100)*$L$3)</f>
        <v>1.5</v>
      </c>
      <c r="M46">
        <f>IF(Hoja1!M46="","",(Hoja1!M46/100)*$M$3)</f>
        <v>1.4</v>
      </c>
      <c r="N46">
        <f>IF(Hoja1!N46="","",(Hoja1!N46/100)*$N$3)</f>
        <v>1.7</v>
      </c>
      <c r="O46">
        <f>IF(Hoja1!O46="","",(Hoja1!O46/100)*$O$3)</f>
        <v>1</v>
      </c>
      <c r="P46">
        <f>IF(Hoja1!P46="","",(Hoja1!P46/100)*$P$3)</f>
        <v>0.8</v>
      </c>
      <c r="Q46">
        <f>IF(Hoja1!Q46="","",(Hoja1!Q46/100)*$Q$3)</f>
        <v>1.5</v>
      </c>
      <c r="R46">
        <f>IF(Hoja1!R46="","",(Hoja1!R46/100)*$R$3)</f>
        <v>5</v>
      </c>
      <c r="S46">
        <f t="shared" si="0"/>
        <v>13.899999999999999</v>
      </c>
    </row>
    <row r="47" spans="2:19" x14ac:dyDescent="0.25">
      <c r="B47">
        <v>43</v>
      </c>
      <c r="C47">
        <v>202530843</v>
      </c>
      <c r="D47" t="s">
        <v>59</v>
      </c>
      <c r="E47">
        <f>IF(Hoja1!E47="","",(Hoja1!E47/100)*$E$3)</f>
        <v>0</v>
      </c>
      <c r="F47">
        <f>IF(Hoja1!F47="","",(Hoja1!F47/100)*$F$3)</f>
        <v>0</v>
      </c>
      <c r="G47">
        <f>IF(Hoja1!G47="","",(Hoja1!G47/100)*$G$3)</f>
        <v>0</v>
      </c>
      <c r="H47">
        <f>IF(Hoja1!H47="","",(Hoja1!H47/100)*$H$3)</f>
        <v>0</v>
      </c>
      <c r="I47">
        <f>IF(Hoja1!I47="","",(Hoja1!I47/100)*$I$3)</f>
        <v>0</v>
      </c>
      <c r="J47">
        <f>IF(Hoja1!J47="","",(Hoja1!J47/100)*$J$3)</f>
        <v>0</v>
      </c>
      <c r="K47">
        <f>IF(Hoja1!K47="","",(Hoja1!K47/100)*$K$3)</f>
        <v>0</v>
      </c>
      <c r="L47">
        <f>IF(Hoja1!L47="","",(Hoja1!L47/100)*$L$3)</f>
        <v>1.5</v>
      </c>
      <c r="M47">
        <f>IF(Hoja1!M47="","",(Hoja1!M47/100)*$M$3)</f>
        <v>1.4</v>
      </c>
      <c r="N47">
        <f>IF(Hoja1!N47="","",(Hoja1!N47/100)*$N$3)</f>
        <v>1.7</v>
      </c>
      <c r="O47">
        <f>IF(Hoja1!O47="","",(Hoja1!O47/100)*$O$3)</f>
        <v>1.7</v>
      </c>
      <c r="P47">
        <f>IF(Hoja1!P47="","",(Hoja1!P47/100)*$P$3)</f>
        <v>0</v>
      </c>
      <c r="Q47">
        <f>IF(Hoja1!Q47="","",(Hoja1!Q47/100)*$Q$3)</f>
        <v>0</v>
      </c>
      <c r="R47">
        <f>IF(Hoja1!R47="","",(Hoja1!R47/100)*$R$3)</f>
        <v>0</v>
      </c>
      <c r="S47">
        <f t="shared" si="0"/>
        <v>6.3</v>
      </c>
    </row>
    <row r="48" spans="2:19" x14ac:dyDescent="0.25">
      <c r="B48">
        <v>44</v>
      </c>
      <c r="C48">
        <v>202530866</v>
      </c>
      <c r="D48" t="s">
        <v>60</v>
      </c>
      <c r="E48">
        <f>IF(Hoja1!E48="","",(Hoja1!E48/100)*$E$3)</f>
        <v>0.5</v>
      </c>
      <c r="F48">
        <f>IF(Hoja1!F48="","",(Hoja1!F48/100)*$F$3)</f>
        <v>0</v>
      </c>
      <c r="G48">
        <f>IF(Hoja1!G48="","",(Hoja1!G48/100)*$G$3)</f>
        <v>0.5</v>
      </c>
      <c r="H48">
        <f>IF(Hoja1!H48="","",(Hoja1!H48/100)*$H$3)</f>
        <v>0.45</v>
      </c>
      <c r="I48">
        <f>IF(Hoja1!I48="","",(Hoja1!I48/100)*$I$3)</f>
        <v>2</v>
      </c>
      <c r="J48">
        <f>IF(Hoja1!J48="","",(Hoja1!J48/100)*$J$3)</f>
        <v>1</v>
      </c>
      <c r="K48">
        <f>IF(Hoja1!K48="","",(Hoja1!K48/100)*$K$3)</f>
        <v>0.9</v>
      </c>
      <c r="L48">
        <f>IF(Hoja1!L48="","",(Hoja1!L48/100)*$L$3)</f>
        <v>1.5</v>
      </c>
      <c r="M48">
        <f>IF(Hoja1!M48="","",(Hoja1!M48/100)*$M$3)</f>
        <v>1</v>
      </c>
      <c r="N48">
        <f>IF(Hoja1!N48="","",(Hoja1!N48/100)*$N$3)</f>
        <v>1.7</v>
      </c>
      <c r="O48">
        <f>IF(Hoja1!O48="","",(Hoja1!O48/100)*$O$3)</f>
        <v>1.1000000000000001</v>
      </c>
      <c r="P48">
        <f>IF(Hoja1!P48="","",(Hoja1!P48/100)*$P$3)</f>
        <v>1</v>
      </c>
      <c r="Q48">
        <f>IF(Hoja1!Q48="","",(Hoja1!Q48/100)*$Q$3)</f>
        <v>1.5</v>
      </c>
      <c r="R48">
        <f>IF(Hoja1!R48="","",(Hoja1!R48/100)*$R$3)</f>
        <v>5</v>
      </c>
      <c r="S48">
        <f t="shared" si="0"/>
        <v>18.149999999999999</v>
      </c>
    </row>
    <row r="49" spans="2:19" x14ac:dyDescent="0.25">
      <c r="B49">
        <v>45</v>
      </c>
      <c r="C49">
        <v>202530917</v>
      </c>
      <c r="D49" t="s">
        <v>61</v>
      </c>
      <c r="E49">
        <f>IF(Hoja1!E49="","",(Hoja1!E49/100)*$E$3)</f>
        <v>0</v>
      </c>
      <c r="F49">
        <f>IF(Hoja1!F49="","",(Hoja1!F49/100)*$F$3)</f>
        <v>0</v>
      </c>
      <c r="G49">
        <f>IF(Hoja1!G49="","",(Hoja1!G49/100)*$G$3)</f>
        <v>0.25</v>
      </c>
      <c r="H49">
        <f>IF(Hoja1!H49="","",(Hoja1!H49/100)*$H$3)</f>
        <v>0.5</v>
      </c>
      <c r="I49">
        <f>IF(Hoja1!I49="","",(Hoja1!I49/100)*$I$3)</f>
        <v>1.5</v>
      </c>
      <c r="J49">
        <f>IF(Hoja1!J49="","",(Hoja1!J49/100)*$J$3)</f>
        <v>0</v>
      </c>
      <c r="K49">
        <f>IF(Hoja1!K49="","",(Hoja1!K49/100)*$K$3)</f>
        <v>1</v>
      </c>
      <c r="L49">
        <f>IF(Hoja1!L49="","",(Hoja1!L49/100)*$L$3)</f>
        <v>1.5</v>
      </c>
      <c r="M49">
        <f>IF(Hoja1!M49="","",(Hoja1!M49/100)*$M$3)</f>
        <v>1.8</v>
      </c>
      <c r="N49">
        <f>IF(Hoja1!N49="","",(Hoja1!N49/100)*$N$3)</f>
        <v>1.9</v>
      </c>
      <c r="O49">
        <f>IF(Hoja1!O49="","",(Hoja1!O49/100)*$O$3)</f>
        <v>1.3</v>
      </c>
      <c r="P49">
        <f>IF(Hoja1!P49="","",(Hoja1!P49/100)*$P$3)</f>
        <v>1</v>
      </c>
      <c r="Q49">
        <f>IF(Hoja1!Q49="","",(Hoja1!Q49/100)*$Q$3)</f>
        <v>1.5</v>
      </c>
      <c r="R49">
        <f>IF(Hoja1!R49="","",(Hoja1!R49/100)*$R$3)</f>
        <v>5</v>
      </c>
      <c r="S49">
        <f t="shared" si="0"/>
        <v>17.25</v>
      </c>
    </row>
    <row r="50" spans="2:19" x14ac:dyDescent="0.25">
      <c r="B50">
        <v>46</v>
      </c>
      <c r="C50">
        <v>202531013</v>
      </c>
      <c r="D50" t="s">
        <v>62</v>
      </c>
      <c r="E50">
        <f>IF(Hoja1!E50="","",(Hoja1!E50/100)*$E$3)</f>
        <v>0.5</v>
      </c>
      <c r="F50">
        <f>IF(Hoja1!F50="","",(Hoja1!F50/100)*$F$3)</f>
        <v>0</v>
      </c>
      <c r="G50">
        <f>IF(Hoja1!G50="","",(Hoja1!G50/100)*$G$3)</f>
        <v>0.5</v>
      </c>
      <c r="H50">
        <f>IF(Hoja1!H50="","",(Hoja1!H50/100)*$H$3)</f>
        <v>0.45</v>
      </c>
      <c r="I50">
        <f>IF(Hoja1!I50="","",(Hoja1!I50/100)*$I$3)</f>
        <v>2</v>
      </c>
      <c r="J50">
        <f>IF(Hoja1!J50="","",(Hoja1!J50/100)*$J$3)</f>
        <v>0.75</v>
      </c>
      <c r="K50">
        <f>IF(Hoja1!K50="","",(Hoja1!K50/100)*$K$3)</f>
        <v>1</v>
      </c>
      <c r="L50">
        <f>IF(Hoja1!L50="","",(Hoja1!L50/100)*$L$3)</f>
        <v>1.5</v>
      </c>
      <c r="M50">
        <f>IF(Hoja1!M50="","",(Hoja1!M50/100)*$M$3)</f>
        <v>2</v>
      </c>
      <c r="N50">
        <f>IF(Hoja1!N50="","",(Hoja1!N50/100)*$N$3)</f>
        <v>1.8</v>
      </c>
      <c r="O50">
        <f>IF(Hoja1!O50="","",(Hoja1!O50/100)*$O$3)</f>
        <v>1.4</v>
      </c>
      <c r="P50">
        <f>IF(Hoja1!P50="","",(Hoja1!P50/100)*$P$3)</f>
        <v>1</v>
      </c>
      <c r="Q50">
        <f>IF(Hoja1!Q50="","",(Hoja1!Q50/100)*$Q$3)</f>
        <v>1.5</v>
      </c>
      <c r="R50">
        <f>IF(Hoja1!R50="","",(Hoja1!R50/100)*$R$3)</f>
        <v>5</v>
      </c>
      <c r="S50">
        <f t="shared" si="0"/>
        <v>19.399999999999999</v>
      </c>
    </row>
    <row r="51" spans="2:19" x14ac:dyDescent="0.25">
      <c r="B51">
        <v>47</v>
      </c>
      <c r="C51">
        <v>202531019</v>
      </c>
      <c r="D51" t="s">
        <v>63</v>
      </c>
      <c r="E51">
        <f>IF(Hoja1!E51="","",(Hoja1!E51/100)*$E$3)</f>
        <v>0</v>
      </c>
      <c r="F51">
        <f>IF(Hoja1!F51="","",(Hoja1!F51/100)*$F$3)</f>
        <v>0</v>
      </c>
      <c r="G51">
        <f>IF(Hoja1!G51="","",(Hoja1!G51/100)*$G$3)</f>
        <v>0.5</v>
      </c>
      <c r="H51">
        <f>IF(Hoja1!H51="","",(Hoja1!H51/100)*$H$3)</f>
        <v>0.45</v>
      </c>
      <c r="I51">
        <f>IF(Hoja1!I51="","",(Hoja1!I51/100)*$I$3)</f>
        <v>2</v>
      </c>
      <c r="J51">
        <f>IF(Hoja1!J51="","",(Hoja1!J51/100)*$J$3)</f>
        <v>0.55000000000000004</v>
      </c>
      <c r="K51">
        <f>IF(Hoja1!K51="","",(Hoja1!K51/100)*$K$3)</f>
        <v>1</v>
      </c>
      <c r="L51">
        <f>IF(Hoja1!L51="","",(Hoja1!L51/100)*$L$3)</f>
        <v>1.5</v>
      </c>
      <c r="M51">
        <f>IF(Hoja1!M51="","",(Hoja1!M51/100)*$M$3)</f>
        <v>1.9</v>
      </c>
      <c r="N51" t="str">
        <f>IF(Hoja1!N51="","",(Hoja1!N51/100)*$N$3)</f>
        <v/>
      </c>
      <c r="O51">
        <f>IF(Hoja1!O51="","",(Hoja1!O51/100)*$O$3)</f>
        <v>1.1000000000000001</v>
      </c>
      <c r="P51">
        <f>IF(Hoja1!P51="","",(Hoja1!P51/100)*$P$3)</f>
        <v>1</v>
      </c>
      <c r="Q51">
        <f>IF(Hoja1!Q51="","",(Hoja1!Q51/100)*$Q$3)</f>
        <v>1.5</v>
      </c>
      <c r="R51">
        <f>IF(Hoja1!R51="","",(Hoja1!R51/100)*$R$3)</f>
        <v>5</v>
      </c>
      <c r="S51">
        <f t="shared" si="0"/>
        <v>16.5</v>
      </c>
    </row>
    <row r="52" spans="2:19" x14ac:dyDescent="0.25">
      <c r="B52">
        <v>48</v>
      </c>
      <c r="C52">
        <v>202531089</v>
      </c>
      <c r="D52" t="s">
        <v>64</v>
      </c>
      <c r="E52">
        <f>IF(Hoja1!E52="","",(Hoja1!E52/100)*$E$3)</f>
        <v>0.5</v>
      </c>
      <c r="F52">
        <f>IF(Hoja1!F52="","",(Hoja1!F52/100)*$F$3)</f>
        <v>0</v>
      </c>
      <c r="G52">
        <f>IF(Hoja1!G52="","",(Hoja1!G52/100)*$G$3)</f>
        <v>0.5</v>
      </c>
      <c r="H52">
        <f>IF(Hoja1!H52="","",(Hoja1!H52/100)*$H$3)</f>
        <v>0.45</v>
      </c>
      <c r="I52">
        <f>IF(Hoja1!I52="","",(Hoja1!I52/100)*$I$3)</f>
        <v>1.4</v>
      </c>
      <c r="J52">
        <f>IF(Hoja1!J52="","",(Hoja1!J52/100)*$J$3)</f>
        <v>1</v>
      </c>
      <c r="K52">
        <f>IF(Hoja1!K52="","",(Hoja1!K52/100)*$K$3)</f>
        <v>0.9</v>
      </c>
      <c r="L52">
        <f>IF(Hoja1!L52="","",(Hoja1!L52/100)*$L$3)</f>
        <v>1.5</v>
      </c>
      <c r="M52">
        <f>IF(Hoja1!M52="","",(Hoja1!M52/100)*$M$3)</f>
        <v>1</v>
      </c>
      <c r="N52">
        <f>IF(Hoja1!N52="","",(Hoja1!N52/100)*$N$3)</f>
        <v>1.7</v>
      </c>
      <c r="O52">
        <f>IF(Hoja1!O52="","",(Hoja1!O52/100)*$O$3)</f>
        <v>1.1000000000000001</v>
      </c>
      <c r="P52">
        <f>IF(Hoja1!P52="","",(Hoja1!P52/100)*$P$3)</f>
        <v>1</v>
      </c>
      <c r="Q52">
        <f>IF(Hoja1!Q52="","",(Hoja1!Q52/100)*$Q$3)</f>
        <v>1.5</v>
      </c>
      <c r="R52">
        <f>IF(Hoja1!R52="","",(Hoja1!R52/100)*$R$3)</f>
        <v>5</v>
      </c>
      <c r="S52">
        <f t="shared" si="0"/>
        <v>17.549999999999997</v>
      </c>
    </row>
    <row r="53" spans="2:19" x14ac:dyDescent="0.25">
      <c r="B53">
        <v>49</v>
      </c>
      <c r="C53">
        <v>202531127</v>
      </c>
      <c r="D53" t="s">
        <v>65</v>
      </c>
      <c r="E53">
        <f>IF(Hoja1!E53="","",(Hoja1!E53/100)*$E$3)</f>
        <v>0</v>
      </c>
      <c r="F53">
        <f>IF(Hoja1!F53="","",(Hoja1!F53/100)*$F$3)</f>
        <v>0</v>
      </c>
      <c r="G53">
        <f>IF(Hoja1!G53="","",(Hoja1!G53/100)*$G$3)</f>
        <v>0.5</v>
      </c>
      <c r="H53">
        <f>IF(Hoja1!H53="","",(Hoja1!H53/100)*$H$3)</f>
        <v>0</v>
      </c>
      <c r="I53">
        <f>IF(Hoja1!I53="","",(Hoja1!I53/100)*$I$3)</f>
        <v>0</v>
      </c>
      <c r="J53">
        <f>IF(Hoja1!J53="","",(Hoja1!J53/100)*$J$3)</f>
        <v>0</v>
      </c>
      <c r="K53">
        <f>IF(Hoja1!K53="","",(Hoja1!K53/100)*$K$3)</f>
        <v>0</v>
      </c>
      <c r="L53">
        <f>IF(Hoja1!L53="","",(Hoja1!L53/100)*$L$3)</f>
        <v>1.5</v>
      </c>
      <c r="M53">
        <f>IF(Hoja1!M53="","",(Hoja1!M53/100)*$M$3)</f>
        <v>1.4</v>
      </c>
      <c r="N53">
        <f>IF(Hoja1!N53="","",(Hoja1!N53/100)*$N$3)</f>
        <v>1.7</v>
      </c>
      <c r="O53">
        <f>IF(Hoja1!O53="","",(Hoja1!O53/100)*$O$3)</f>
        <v>1.7</v>
      </c>
      <c r="P53">
        <f>IF(Hoja1!P53="","",(Hoja1!P53/100)*$P$3)</f>
        <v>0.8</v>
      </c>
      <c r="Q53">
        <f>IF(Hoja1!Q53="","",(Hoja1!Q53/100)*$Q$3)</f>
        <v>1.5</v>
      </c>
      <c r="R53">
        <f>IF(Hoja1!R53="","",(Hoja1!R53/100)*$R$3)</f>
        <v>5</v>
      </c>
      <c r="S53">
        <f t="shared" si="0"/>
        <v>14.1</v>
      </c>
    </row>
    <row r="54" spans="2:19" x14ac:dyDescent="0.25">
      <c r="B54">
        <v>50</v>
      </c>
      <c r="C54">
        <v>202531213</v>
      </c>
      <c r="D54" t="s">
        <v>66</v>
      </c>
      <c r="E54">
        <f>IF(Hoja1!E54="","",(Hoja1!E54/100)*$E$3)</f>
        <v>0.5</v>
      </c>
      <c r="F54">
        <f>IF(Hoja1!F54="","",(Hoja1!F54/100)*$F$3)</f>
        <v>0.5</v>
      </c>
      <c r="G54">
        <f>IF(Hoja1!G54="","",(Hoja1!G54/100)*$G$3)</f>
        <v>0.5</v>
      </c>
      <c r="H54">
        <f>IF(Hoja1!H54="","",(Hoja1!H54/100)*$H$3)</f>
        <v>0.45</v>
      </c>
      <c r="I54">
        <f>IF(Hoja1!I54="","",(Hoja1!I54/100)*$I$3)</f>
        <v>2</v>
      </c>
      <c r="J54">
        <f>IF(Hoja1!J54="","",(Hoja1!J54/100)*$J$3)</f>
        <v>0.9</v>
      </c>
      <c r="K54">
        <f>IF(Hoja1!K54="","",(Hoja1!K54/100)*$K$3)</f>
        <v>1</v>
      </c>
      <c r="L54">
        <f>IF(Hoja1!L54="","",(Hoja1!L54/100)*$L$3)</f>
        <v>1.5</v>
      </c>
      <c r="M54">
        <f>IF(Hoja1!M54="","",(Hoja1!M54/100)*$M$3)</f>
        <v>1.6</v>
      </c>
      <c r="N54">
        <f>IF(Hoja1!N54="","",(Hoja1!N54/100)*$N$3)</f>
        <v>2</v>
      </c>
      <c r="O54">
        <f>IF(Hoja1!O54="","",(Hoja1!O54/100)*$O$3)</f>
        <v>2</v>
      </c>
      <c r="P54">
        <f>IF(Hoja1!P54="","",(Hoja1!P54/100)*$P$3)</f>
        <v>0.9</v>
      </c>
      <c r="Q54">
        <f>IF(Hoja1!Q54="","",(Hoja1!Q54/100)*$Q$3)</f>
        <v>1.5</v>
      </c>
      <c r="R54">
        <f>IF(Hoja1!R54="","",(Hoja1!R54/100)*$R$3)</f>
        <v>5</v>
      </c>
      <c r="S54">
        <f t="shared" si="0"/>
        <v>20.350000000000001</v>
      </c>
    </row>
    <row r="55" spans="2:19" x14ac:dyDescent="0.25">
      <c r="B55">
        <v>51</v>
      </c>
      <c r="C55">
        <v>202531219</v>
      </c>
      <c r="D55" t="s">
        <v>67</v>
      </c>
      <c r="E55">
        <f>IF(Hoja1!E55="","",(Hoja1!E55/100)*$E$3)</f>
        <v>0</v>
      </c>
      <c r="F55">
        <f>IF(Hoja1!F55="","",(Hoja1!F55/100)*$F$3)</f>
        <v>0</v>
      </c>
      <c r="G55">
        <f>IF(Hoja1!G55="","",(Hoja1!G55/100)*$G$3)</f>
        <v>0.5</v>
      </c>
      <c r="H55">
        <f>IF(Hoja1!H55="","",(Hoja1!H55/100)*$H$3)</f>
        <v>0.5</v>
      </c>
      <c r="I55">
        <f>IF(Hoja1!I55="","",(Hoja1!I55/100)*$I$3)</f>
        <v>0</v>
      </c>
      <c r="J55">
        <f>IF(Hoja1!J55="","",(Hoja1!J55/100)*$J$3)</f>
        <v>0</v>
      </c>
      <c r="K55">
        <f>IF(Hoja1!K55="","",(Hoja1!K55/100)*$K$3)</f>
        <v>1</v>
      </c>
      <c r="L55">
        <f>IF(Hoja1!L55="","",(Hoja1!L55/100)*$L$3)</f>
        <v>1.2000000000000002</v>
      </c>
      <c r="M55">
        <f>IF(Hoja1!M55="","",(Hoja1!M55/100)*$M$3)</f>
        <v>1.4</v>
      </c>
      <c r="N55">
        <f>IF(Hoja1!N55="","",(Hoja1!N55/100)*$N$3)</f>
        <v>0.9</v>
      </c>
      <c r="O55" t="str">
        <f>IF(Hoja1!O55="","",(Hoja1!O55/100)*$O$3)</f>
        <v/>
      </c>
      <c r="P55">
        <f>IF(Hoja1!P55="","",(Hoja1!P55/100)*$P$3)</f>
        <v>0.8</v>
      </c>
      <c r="Q55">
        <f>IF(Hoja1!Q55="","",(Hoja1!Q55/100)*$Q$3)</f>
        <v>1.5</v>
      </c>
      <c r="R55">
        <f>IF(Hoja1!R55="","",(Hoja1!R55/100)*$R$3)</f>
        <v>5</v>
      </c>
      <c r="S55">
        <f t="shared" si="0"/>
        <v>12.8</v>
      </c>
    </row>
    <row r="56" spans="2:19" x14ac:dyDescent="0.25">
      <c r="B56">
        <v>52</v>
      </c>
      <c r="C56">
        <v>202531289</v>
      </c>
      <c r="D56" t="s">
        <v>68</v>
      </c>
      <c r="E56">
        <f>IF(Hoja1!E56="","",(Hoja1!E56/100)*$E$3)</f>
        <v>0.5</v>
      </c>
      <c r="F56">
        <f>IF(Hoja1!F56="","",(Hoja1!F56/100)*$F$3)</f>
        <v>0</v>
      </c>
      <c r="G56">
        <f>IF(Hoja1!G56="","",(Hoja1!G56/100)*$G$3)</f>
        <v>0.5</v>
      </c>
      <c r="H56">
        <f>IF(Hoja1!H56="","",(Hoja1!H56/100)*$H$3)</f>
        <v>0.5</v>
      </c>
      <c r="I56">
        <f>IF(Hoja1!I56="","",(Hoja1!I56/100)*$I$3)</f>
        <v>1.7</v>
      </c>
      <c r="J56">
        <f>IF(Hoja1!J56="","",(Hoja1!J56/100)*$J$3)</f>
        <v>1</v>
      </c>
      <c r="K56">
        <f>IF(Hoja1!K56="","",(Hoja1!K56/100)*$K$3)</f>
        <v>1</v>
      </c>
      <c r="L56">
        <f>IF(Hoja1!L56="","",(Hoja1!L56/100)*$L$3)</f>
        <v>1.5</v>
      </c>
      <c r="M56">
        <f>IF(Hoja1!M56="","",(Hoja1!M56/100)*$M$3)</f>
        <v>2</v>
      </c>
      <c r="N56">
        <f>IF(Hoja1!N56="","",(Hoja1!N56/100)*$N$3)</f>
        <v>1.9</v>
      </c>
      <c r="O56">
        <f>IF(Hoja1!O56="","",(Hoja1!O56/100)*$O$3)</f>
        <v>1.7</v>
      </c>
      <c r="P56">
        <f>IF(Hoja1!P56="","",(Hoja1!P56/100)*$P$3)</f>
        <v>0.95</v>
      </c>
      <c r="Q56">
        <f>IF(Hoja1!Q56="","",(Hoja1!Q56/100)*$Q$3)</f>
        <v>0</v>
      </c>
      <c r="R56">
        <f>IF(Hoja1!R56="","",(Hoja1!R56/100)*$R$3)</f>
        <v>5</v>
      </c>
      <c r="S56">
        <f t="shared" si="0"/>
        <v>18.25</v>
      </c>
    </row>
    <row r="57" spans="2:19" x14ac:dyDescent="0.25">
      <c r="B57">
        <v>53</v>
      </c>
      <c r="C57">
        <v>202531319</v>
      </c>
      <c r="D57" t="s">
        <v>69</v>
      </c>
      <c r="E57">
        <f>IF(Hoja1!E57="","",(Hoja1!E57/100)*$E$3)</f>
        <v>0.5</v>
      </c>
      <c r="F57">
        <f>IF(Hoja1!F57="","",(Hoja1!F57/100)*$F$3)</f>
        <v>0</v>
      </c>
      <c r="G57">
        <f>IF(Hoja1!G57="","",(Hoja1!G57/100)*$G$3)</f>
        <v>0.25</v>
      </c>
      <c r="H57">
        <f>IF(Hoja1!H57="","",(Hoja1!H57/100)*$H$3)</f>
        <v>0.5</v>
      </c>
      <c r="I57">
        <f>IF(Hoja1!I57="","",(Hoja1!I57/100)*$I$3)</f>
        <v>1.5</v>
      </c>
      <c r="J57">
        <f>IF(Hoja1!J57="","",(Hoja1!J57/100)*$J$3)</f>
        <v>0</v>
      </c>
      <c r="K57">
        <f>IF(Hoja1!K57="","",(Hoja1!K57/100)*$K$3)</f>
        <v>1</v>
      </c>
      <c r="L57">
        <f>IF(Hoja1!L57="","",(Hoja1!L57/100)*$L$3)</f>
        <v>0</v>
      </c>
      <c r="M57">
        <f>IF(Hoja1!M57="","",(Hoja1!M57/100)*$M$3)</f>
        <v>0</v>
      </c>
      <c r="N57" t="str">
        <f>IF(Hoja1!N57="","",(Hoja1!N57/100)*$N$3)</f>
        <v/>
      </c>
      <c r="O57">
        <f>IF(Hoja1!O57="","",(Hoja1!O57/100)*$O$3)</f>
        <v>1</v>
      </c>
      <c r="P57">
        <f>IF(Hoja1!P57="","",(Hoja1!P57/100)*$P$3)</f>
        <v>1</v>
      </c>
      <c r="Q57">
        <f>IF(Hoja1!Q57="","",(Hoja1!Q57/100)*$Q$3)</f>
        <v>1.5</v>
      </c>
      <c r="R57">
        <f>IF(Hoja1!R57="","",(Hoja1!R57/100)*$R$3)</f>
        <v>5</v>
      </c>
      <c r="S57">
        <f t="shared" si="0"/>
        <v>12.25</v>
      </c>
    </row>
    <row r="58" spans="2:19" x14ac:dyDescent="0.25">
      <c r="B58">
        <v>54</v>
      </c>
      <c r="C58">
        <v>202531351</v>
      </c>
      <c r="D58" t="s">
        <v>70</v>
      </c>
      <c r="E58">
        <f>IF(Hoja1!E58="","",(Hoja1!E58/100)*$E$3)</f>
        <v>0.5</v>
      </c>
      <c r="F58">
        <f>IF(Hoja1!F58="","",(Hoja1!F58/100)*$F$3)</f>
        <v>0.5</v>
      </c>
      <c r="G58">
        <f>IF(Hoja1!G58="","",(Hoja1!G58/100)*$G$3)</f>
        <v>0.5</v>
      </c>
      <c r="H58">
        <f>IF(Hoja1!H58="","",(Hoja1!H58/100)*$H$3)</f>
        <v>0.45</v>
      </c>
      <c r="I58">
        <f>IF(Hoja1!I58="","",(Hoja1!I58/100)*$I$3)</f>
        <v>2</v>
      </c>
      <c r="J58">
        <f>IF(Hoja1!J58="","",(Hoja1!J58/100)*$J$3)</f>
        <v>1</v>
      </c>
      <c r="K58">
        <f>IF(Hoja1!K58="","",(Hoja1!K58/100)*$K$3)</f>
        <v>1</v>
      </c>
      <c r="L58">
        <f>IF(Hoja1!L58="","",(Hoja1!L58/100)*$L$3)</f>
        <v>1.5</v>
      </c>
      <c r="M58">
        <f>IF(Hoja1!M58="","",(Hoja1!M58/100)*$M$3)</f>
        <v>1.6</v>
      </c>
      <c r="N58">
        <f>IF(Hoja1!N58="","",(Hoja1!N58/100)*$N$3)</f>
        <v>1.8</v>
      </c>
      <c r="O58">
        <f>IF(Hoja1!O58="","",(Hoja1!O58/100)*$O$3)</f>
        <v>2</v>
      </c>
      <c r="P58">
        <f>IF(Hoja1!P58="","",(Hoja1!P58/100)*$P$3)</f>
        <v>0.9</v>
      </c>
      <c r="Q58">
        <f>IF(Hoja1!Q58="","",(Hoja1!Q58/100)*$Q$3)</f>
        <v>1.5</v>
      </c>
      <c r="R58">
        <f>IF(Hoja1!R58="","",(Hoja1!R58/100)*$R$3)</f>
        <v>5</v>
      </c>
      <c r="S58">
        <f t="shared" si="0"/>
        <v>20.25</v>
      </c>
    </row>
    <row r="59" spans="2:19" x14ac:dyDescent="0.25">
      <c r="B59">
        <v>55</v>
      </c>
      <c r="C59">
        <v>202531352</v>
      </c>
      <c r="D59" t="s">
        <v>71</v>
      </c>
      <c r="E59">
        <f>IF(Hoja1!E59="","",(Hoja1!E59/100)*$E$3)</f>
        <v>0.5</v>
      </c>
      <c r="F59">
        <f>IF(Hoja1!F59="","",(Hoja1!F59/100)*$F$3)</f>
        <v>0</v>
      </c>
      <c r="G59">
        <f>IF(Hoja1!G59="","",(Hoja1!G59/100)*$G$3)</f>
        <v>0.5</v>
      </c>
      <c r="H59">
        <f>IF(Hoja1!H59="","",(Hoja1!H59/100)*$H$3)</f>
        <v>0.5</v>
      </c>
      <c r="I59">
        <f>IF(Hoja1!I59="","",(Hoja1!I59/100)*$I$3)</f>
        <v>2</v>
      </c>
      <c r="J59">
        <f>IF(Hoja1!J59="","",(Hoja1!J59/100)*$J$3)</f>
        <v>1</v>
      </c>
      <c r="K59">
        <f>IF(Hoja1!K59="","",(Hoja1!K59/100)*$K$3)</f>
        <v>1</v>
      </c>
      <c r="L59">
        <f>IF(Hoja1!L59="","",(Hoja1!L59/100)*$L$3)</f>
        <v>1.5</v>
      </c>
      <c r="M59">
        <f>IF(Hoja1!M59="","",(Hoja1!M59/100)*$M$3)</f>
        <v>1.4</v>
      </c>
      <c r="N59" t="str">
        <f>IF(Hoja1!N59="","",(Hoja1!N59/100)*$N$3)</f>
        <v/>
      </c>
      <c r="O59">
        <f>IF(Hoja1!O59="","",(Hoja1!O59/100)*$O$3)</f>
        <v>1.5</v>
      </c>
      <c r="P59">
        <f>IF(Hoja1!P59="","",(Hoja1!P59/100)*$P$3)</f>
        <v>0.8</v>
      </c>
      <c r="Q59">
        <f>IF(Hoja1!Q59="","",(Hoja1!Q59/100)*$Q$3)</f>
        <v>0</v>
      </c>
      <c r="R59">
        <f>IF(Hoja1!R59="","",(Hoja1!R59/100)*$R$3)</f>
        <v>5</v>
      </c>
      <c r="S59">
        <f t="shared" si="0"/>
        <v>15.700000000000001</v>
      </c>
    </row>
    <row r="60" spans="2:19" x14ac:dyDescent="0.25">
      <c r="B60">
        <v>56</v>
      </c>
      <c r="C60">
        <v>202531384</v>
      </c>
      <c r="D60" t="s">
        <v>72</v>
      </c>
      <c r="E60">
        <f>IF(Hoja1!E60="","",(Hoja1!E60/100)*$E$3)</f>
        <v>0.5</v>
      </c>
      <c r="F60">
        <f>IF(Hoja1!F60="","",(Hoja1!F60/100)*$F$3)</f>
        <v>0.5</v>
      </c>
      <c r="G60">
        <f>IF(Hoja1!G60="","",(Hoja1!G60/100)*$G$3)</f>
        <v>0.25</v>
      </c>
      <c r="H60">
        <f>IF(Hoja1!H60="","",(Hoja1!H60/100)*$H$3)</f>
        <v>0.45</v>
      </c>
      <c r="I60">
        <f>IF(Hoja1!I60="","",(Hoja1!I60/100)*$I$3)</f>
        <v>2</v>
      </c>
      <c r="J60">
        <f>IF(Hoja1!J60="","",(Hoja1!J60/100)*$J$3)</f>
        <v>1</v>
      </c>
      <c r="K60">
        <f>IF(Hoja1!K60="","",(Hoja1!K60/100)*$K$3)</f>
        <v>1</v>
      </c>
      <c r="L60">
        <f>IF(Hoja1!L60="","",(Hoja1!L60/100)*$L$3)</f>
        <v>1.5</v>
      </c>
      <c r="M60">
        <f>IF(Hoja1!M60="","",(Hoja1!M60/100)*$M$3)</f>
        <v>1.4</v>
      </c>
      <c r="N60">
        <f>IF(Hoja1!N60="","",(Hoja1!N60/100)*$N$3)</f>
        <v>2</v>
      </c>
      <c r="O60">
        <f>IF(Hoja1!O60="","",(Hoja1!O60/100)*$O$3)</f>
        <v>1.8</v>
      </c>
      <c r="P60">
        <f>IF(Hoja1!P60="","",(Hoja1!P60/100)*$P$3)</f>
        <v>0.8</v>
      </c>
      <c r="Q60">
        <f>IF(Hoja1!Q60="","",(Hoja1!Q60/100)*$Q$3)</f>
        <v>1.5</v>
      </c>
      <c r="R60">
        <f>IF(Hoja1!R60="","",(Hoja1!R60/100)*$R$3)</f>
        <v>5</v>
      </c>
      <c r="S60">
        <f t="shared" si="0"/>
        <v>19.700000000000003</v>
      </c>
    </row>
    <row r="61" spans="2:19" x14ac:dyDescent="0.25">
      <c r="B61">
        <v>57</v>
      </c>
      <c r="C61">
        <v>202531399</v>
      </c>
      <c r="D61" t="s">
        <v>73</v>
      </c>
      <c r="E61">
        <f>IF(Hoja1!E61="","",(Hoja1!E61/100)*$E$3)</f>
        <v>0</v>
      </c>
      <c r="F61">
        <f>IF(Hoja1!F61="","",(Hoja1!F61/100)*$F$3)</f>
        <v>0</v>
      </c>
      <c r="G61">
        <f>IF(Hoja1!G61="","",(Hoja1!G61/100)*$G$3)</f>
        <v>0.25</v>
      </c>
      <c r="H61">
        <f>IF(Hoja1!H61="","",(Hoja1!H61/100)*$H$3)</f>
        <v>0</v>
      </c>
      <c r="I61">
        <f>IF(Hoja1!I61="","",(Hoja1!I61/100)*$I$3)</f>
        <v>0</v>
      </c>
      <c r="J61">
        <f>IF(Hoja1!J61="","",(Hoja1!J61/100)*$J$3)</f>
        <v>0</v>
      </c>
      <c r="K61">
        <f>IF(Hoja1!K61="","",(Hoja1!K61/100)*$K$3)</f>
        <v>0</v>
      </c>
      <c r="L61">
        <f>IF(Hoja1!L61="","",(Hoja1!L61/100)*$L$3)</f>
        <v>0</v>
      </c>
      <c r="M61">
        <f>IF(Hoja1!M61="","",(Hoja1!M61/100)*$M$3)</f>
        <v>0</v>
      </c>
      <c r="N61" t="str">
        <f>IF(Hoja1!N61="","",(Hoja1!N61/100)*$N$3)</f>
        <v/>
      </c>
      <c r="O61" t="str">
        <f>IF(Hoja1!O61="","",(Hoja1!O61/100)*$O$3)</f>
        <v/>
      </c>
      <c r="P61">
        <f>IF(Hoja1!P61="","",(Hoja1!P61/100)*$P$3)</f>
        <v>0</v>
      </c>
      <c r="Q61">
        <f>IF(Hoja1!Q61="","",(Hoja1!Q61/100)*$Q$3)</f>
        <v>0</v>
      </c>
      <c r="R61">
        <f>IF(Hoja1!R61="","",(Hoja1!R61/100)*$R$3)</f>
        <v>0</v>
      </c>
      <c r="S61">
        <f t="shared" si="0"/>
        <v>0.25</v>
      </c>
    </row>
    <row r="62" spans="2:19" x14ac:dyDescent="0.25">
      <c r="B62">
        <v>58</v>
      </c>
      <c r="C62">
        <v>202531441</v>
      </c>
      <c r="D62" t="s">
        <v>74</v>
      </c>
      <c r="E62">
        <f>IF(Hoja1!E62="","",(Hoja1!E62/100)*$E$3)</f>
        <v>0</v>
      </c>
      <c r="F62">
        <f>IF(Hoja1!F62="","",(Hoja1!F62/100)*$F$3)</f>
        <v>0</v>
      </c>
      <c r="G62">
        <f>IF(Hoja1!G62="","",(Hoja1!G62/100)*$G$3)</f>
        <v>0</v>
      </c>
      <c r="H62">
        <f>IF(Hoja1!H62="","",(Hoja1!H62/100)*$H$3)</f>
        <v>0</v>
      </c>
      <c r="I62">
        <f>IF(Hoja1!I62="","",(Hoja1!I62/100)*$I$3)</f>
        <v>0</v>
      </c>
      <c r="J62">
        <f>IF(Hoja1!J62="","",(Hoja1!J62/100)*$J$3)</f>
        <v>0</v>
      </c>
      <c r="K62">
        <f>IF(Hoja1!K62="","",(Hoja1!K62/100)*$K$3)</f>
        <v>0</v>
      </c>
      <c r="L62">
        <f>IF(Hoja1!L62="","",(Hoja1!L62/100)*$L$3)</f>
        <v>0</v>
      </c>
      <c r="M62">
        <f>IF(Hoja1!M62="","",(Hoja1!M62/100)*$M$3)</f>
        <v>0</v>
      </c>
      <c r="N62" t="str">
        <f>IF(Hoja1!N62="","",(Hoja1!N62/100)*$N$3)</f>
        <v/>
      </c>
      <c r="O62" t="str">
        <f>IF(Hoja1!O62="","",(Hoja1!O62/100)*$O$3)</f>
        <v/>
      </c>
      <c r="P62">
        <f>IF(Hoja1!P62="","",(Hoja1!P62/100)*$P$3)</f>
        <v>0</v>
      </c>
      <c r="Q62">
        <f>IF(Hoja1!Q62="","",(Hoja1!Q62/100)*$Q$3)</f>
        <v>0</v>
      </c>
      <c r="R62">
        <f>IF(Hoja1!R62="","",(Hoja1!R62/100)*$R$3)</f>
        <v>0</v>
      </c>
      <c r="S62">
        <f t="shared" si="0"/>
        <v>0</v>
      </c>
    </row>
    <row r="63" spans="2:19" x14ac:dyDescent="0.25">
      <c r="B63">
        <v>59</v>
      </c>
      <c r="C63">
        <v>202531444</v>
      </c>
      <c r="D63" t="s">
        <v>75</v>
      </c>
      <c r="E63">
        <f>IF(Hoja1!E63="","",(Hoja1!E63/100)*$E$3)</f>
        <v>0.5</v>
      </c>
      <c r="F63">
        <f>IF(Hoja1!F63="","",(Hoja1!F63/100)*$F$3)</f>
        <v>0</v>
      </c>
      <c r="G63">
        <f>IF(Hoja1!G63="","",(Hoja1!G63/100)*$G$3)</f>
        <v>0.5</v>
      </c>
      <c r="H63">
        <f>IF(Hoja1!H63="","",(Hoja1!H63/100)*$H$3)</f>
        <v>0.45</v>
      </c>
      <c r="I63">
        <f>IF(Hoja1!I63="","",(Hoja1!I63/100)*$I$3)</f>
        <v>2</v>
      </c>
      <c r="J63">
        <f>IF(Hoja1!J63="","",(Hoja1!J63/100)*$J$3)</f>
        <v>0.95</v>
      </c>
      <c r="K63">
        <f>IF(Hoja1!K63="","",(Hoja1!K63/100)*$K$3)</f>
        <v>1</v>
      </c>
      <c r="L63">
        <f>IF(Hoja1!L63="","",(Hoja1!L63/100)*$L$3)</f>
        <v>1.5</v>
      </c>
      <c r="M63">
        <f>IF(Hoja1!M63="","",(Hoja1!M63/100)*$M$3)</f>
        <v>1</v>
      </c>
      <c r="N63" t="str">
        <f>IF(Hoja1!N63="","",(Hoja1!N63/100)*$N$3)</f>
        <v/>
      </c>
      <c r="O63">
        <f>IF(Hoja1!O63="","",(Hoja1!O63/100)*$O$3)</f>
        <v>1.3</v>
      </c>
      <c r="P63">
        <f>IF(Hoja1!P63="","",(Hoja1!P63/100)*$P$3)</f>
        <v>0</v>
      </c>
      <c r="Q63">
        <f>IF(Hoja1!Q63="","",(Hoja1!Q63/100)*$Q$3)</f>
        <v>0</v>
      </c>
      <c r="R63">
        <f>IF(Hoja1!R63="","",(Hoja1!R63/100)*$R$3)</f>
        <v>0</v>
      </c>
      <c r="S63">
        <f t="shared" si="0"/>
        <v>9.2000000000000011</v>
      </c>
    </row>
    <row r="64" spans="2:19" x14ac:dyDescent="0.25">
      <c r="B64">
        <v>60</v>
      </c>
      <c r="C64">
        <v>202531566</v>
      </c>
      <c r="D64" t="s">
        <v>76</v>
      </c>
      <c r="E64">
        <f>IF(Hoja1!E64="","",(Hoja1!E64/100)*$E$3)</f>
        <v>0.5</v>
      </c>
      <c r="F64">
        <f>IF(Hoja1!F64="","",(Hoja1!F64/100)*$F$3)</f>
        <v>0</v>
      </c>
      <c r="G64">
        <f>IF(Hoja1!G64="","",(Hoja1!G64/100)*$G$3)</f>
        <v>0.5</v>
      </c>
      <c r="H64">
        <f>IF(Hoja1!H64="","",(Hoja1!H64/100)*$H$3)</f>
        <v>0.45</v>
      </c>
      <c r="I64">
        <f>IF(Hoja1!I64="","",(Hoja1!I64/100)*$I$3)</f>
        <v>2</v>
      </c>
      <c r="J64">
        <f>IF(Hoja1!J64="","",(Hoja1!J64/100)*$J$3)</f>
        <v>0.85</v>
      </c>
      <c r="K64">
        <f>IF(Hoja1!K64="","",(Hoja1!K64/100)*$K$3)</f>
        <v>1</v>
      </c>
      <c r="L64">
        <f>IF(Hoja1!L64="","",(Hoja1!L64/100)*$L$3)</f>
        <v>1.5</v>
      </c>
      <c r="M64">
        <f>IF(Hoja1!M64="","",(Hoja1!M64/100)*$M$3)</f>
        <v>1.4</v>
      </c>
      <c r="N64">
        <f>IF(Hoja1!N64="","",(Hoja1!N64/100)*$N$3)</f>
        <v>1.5</v>
      </c>
      <c r="O64">
        <f>IF(Hoja1!O64="","",(Hoja1!O64/100)*$O$3)</f>
        <v>1.1000000000000001</v>
      </c>
      <c r="P64">
        <f>IF(Hoja1!P64="","",(Hoja1!P64/100)*$P$3)</f>
        <v>0.95</v>
      </c>
      <c r="Q64">
        <f>IF(Hoja1!Q64="","",(Hoja1!Q64/100)*$Q$3)</f>
        <v>1.5</v>
      </c>
      <c r="R64">
        <f>IF(Hoja1!R64="","",(Hoja1!R64/100)*$R$3)</f>
        <v>5</v>
      </c>
      <c r="S64">
        <f t="shared" si="0"/>
        <v>18.25</v>
      </c>
    </row>
    <row r="65" spans="2:19" x14ac:dyDescent="0.25">
      <c r="B65">
        <v>61</v>
      </c>
      <c r="C65">
        <v>202531611</v>
      </c>
      <c r="D65" t="s">
        <v>77</v>
      </c>
      <c r="E65">
        <f>IF(Hoja1!E65="","",(Hoja1!E65/100)*$E$3)</f>
        <v>0.5</v>
      </c>
      <c r="F65">
        <f>IF(Hoja1!F65="","",(Hoja1!F65/100)*$F$3)</f>
        <v>0</v>
      </c>
      <c r="G65">
        <f>IF(Hoja1!G65="","",(Hoja1!G65/100)*$G$3)</f>
        <v>0.5</v>
      </c>
      <c r="H65">
        <f>IF(Hoja1!H65="","",(Hoja1!H65/100)*$H$3)</f>
        <v>0</v>
      </c>
      <c r="I65">
        <f>IF(Hoja1!I65="","",(Hoja1!I65/100)*$I$3)</f>
        <v>0</v>
      </c>
      <c r="J65">
        <f>IF(Hoja1!J65="","",(Hoja1!J65/100)*$J$3)</f>
        <v>0</v>
      </c>
      <c r="K65">
        <f>IF(Hoja1!K65="","",(Hoja1!K65/100)*$K$3)</f>
        <v>1</v>
      </c>
      <c r="L65">
        <f>IF(Hoja1!L65="","",(Hoja1!L65/100)*$L$3)</f>
        <v>1.5</v>
      </c>
      <c r="M65">
        <f>IF(Hoja1!M65="","",(Hoja1!M65/100)*$M$3)</f>
        <v>1.4</v>
      </c>
      <c r="N65">
        <f>IF(Hoja1!N65="","",(Hoja1!N65/100)*$N$3)</f>
        <v>0.9</v>
      </c>
      <c r="O65">
        <f>IF(Hoja1!O65="","",(Hoja1!O65/100)*$O$3)</f>
        <v>1.5</v>
      </c>
      <c r="P65">
        <f>IF(Hoja1!P65="","",(Hoja1!P65/100)*$P$3)</f>
        <v>0</v>
      </c>
      <c r="Q65">
        <f>IF(Hoja1!Q65="","",(Hoja1!Q65/100)*$Q$3)</f>
        <v>0</v>
      </c>
      <c r="R65">
        <f>IF(Hoja1!R65="","",(Hoja1!R65/100)*$R$3)</f>
        <v>5</v>
      </c>
      <c r="S65">
        <f t="shared" si="0"/>
        <v>12.3</v>
      </c>
    </row>
    <row r="66" spans="2:19" x14ac:dyDescent="0.25">
      <c r="B66">
        <v>62</v>
      </c>
      <c r="C66">
        <v>202531645</v>
      </c>
      <c r="D66" t="s">
        <v>78</v>
      </c>
      <c r="E66">
        <f>IF(Hoja1!E66="","",(Hoja1!E66/100)*$E$3)</f>
        <v>0.5</v>
      </c>
      <c r="F66">
        <f>IF(Hoja1!F66="","",(Hoja1!F66/100)*$F$3)</f>
        <v>0.5</v>
      </c>
      <c r="G66">
        <f>IF(Hoja1!G66="","",(Hoja1!G66/100)*$G$3)</f>
        <v>0.5</v>
      </c>
      <c r="H66">
        <f>IF(Hoja1!H66="","",(Hoja1!H66/100)*$H$3)</f>
        <v>0.45</v>
      </c>
      <c r="I66">
        <f>IF(Hoja1!I66="","",(Hoja1!I66/100)*$I$3)</f>
        <v>2</v>
      </c>
      <c r="J66">
        <f>IF(Hoja1!J66="","",(Hoja1!J66/100)*$J$3)</f>
        <v>1</v>
      </c>
      <c r="K66">
        <f>IF(Hoja1!K66="","",(Hoja1!K66/100)*$K$3)</f>
        <v>1</v>
      </c>
      <c r="L66">
        <f>IF(Hoja1!L66="","",(Hoja1!L66/100)*$L$3)</f>
        <v>0</v>
      </c>
      <c r="M66">
        <f>IF(Hoja1!M66="","",(Hoja1!M66/100)*$M$3)</f>
        <v>0</v>
      </c>
      <c r="N66">
        <f>IF(Hoja1!N66="","",(Hoja1!N66/100)*$N$3)</f>
        <v>1.8</v>
      </c>
      <c r="O66">
        <f>IF(Hoja1!O66="","",(Hoja1!O66/100)*$O$3)</f>
        <v>2</v>
      </c>
      <c r="P66">
        <f>IF(Hoja1!P66="","",(Hoja1!P66/100)*$P$3)</f>
        <v>0.9</v>
      </c>
      <c r="Q66">
        <f>IF(Hoja1!Q66="","",(Hoja1!Q66/100)*$Q$3)</f>
        <v>1.5</v>
      </c>
      <c r="R66">
        <f>IF(Hoja1!R66="","",(Hoja1!R66/100)*$R$3)</f>
        <v>5</v>
      </c>
      <c r="S66">
        <f t="shared" si="0"/>
        <v>17.149999999999999</v>
      </c>
    </row>
    <row r="67" spans="2:19" x14ac:dyDescent="0.25">
      <c r="B67">
        <v>63</v>
      </c>
      <c r="C67">
        <v>202531663</v>
      </c>
      <c r="D67" t="s">
        <v>79</v>
      </c>
      <c r="E67">
        <f>IF(Hoja1!E67="","",(Hoja1!E67/100)*$E$3)</f>
        <v>0.5</v>
      </c>
      <c r="F67">
        <f>IF(Hoja1!F67="","",(Hoja1!F67/100)*$F$3)</f>
        <v>0</v>
      </c>
      <c r="G67">
        <f>IF(Hoja1!G67="","",(Hoja1!G67/100)*$G$3)</f>
        <v>0</v>
      </c>
      <c r="H67">
        <f>IF(Hoja1!H67="","",(Hoja1!H67/100)*$H$3)</f>
        <v>0</v>
      </c>
      <c r="I67">
        <f>IF(Hoja1!I67="","",(Hoja1!I67/100)*$I$3)</f>
        <v>0</v>
      </c>
      <c r="J67">
        <f>IF(Hoja1!J67="","",(Hoja1!J67/100)*$J$3)</f>
        <v>0</v>
      </c>
      <c r="K67">
        <f>IF(Hoja1!K67="","",(Hoja1!K67/100)*$K$3)</f>
        <v>0</v>
      </c>
      <c r="L67">
        <f>IF(Hoja1!L67="","",(Hoja1!L67/100)*$L$3)</f>
        <v>0</v>
      </c>
      <c r="M67">
        <f>IF(Hoja1!M67="","",(Hoja1!M67/100)*$M$3)</f>
        <v>0</v>
      </c>
      <c r="N67" t="str">
        <f>IF(Hoja1!N67="","",(Hoja1!N67/100)*$N$3)</f>
        <v/>
      </c>
      <c r="O67" t="str">
        <f>IF(Hoja1!O67="","",(Hoja1!O67/100)*$O$3)</f>
        <v/>
      </c>
      <c r="P67">
        <f>IF(Hoja1!P67="","",(Hoja1!P67/100)*$P$3)</f>
        <v>0</v>
      </c>
      <c r="Q67">
        <f>IF(Hoja1!Q67="","",(Hoja1!Q67/100)*$Q$3)</f>
        <v>0</v>
      </c>
      <c r="R67">
        <f>IF(Hoja1!R67="","",(Hoja1!R67/100)*$R$3)</f>
        <v>0</v>
      </c>
      <c r="S67">
        <f t="shared" si="0"/>
        <v>0.5</v>
      </c>
    </row>
    <row r="68" spans="2:19" x14ac:dyDescent="0.25">
      <c r="B68">
        <v>64</v>
      </c>
      <c r="C68">
        <v>202531724</v>
      </c>
      <c r="D68" t="s">
        <v>80</v>
      </c>
      <c r="E68">
        <f>IF(Hoja1!E68="","",(Hoja1!E68/100)*$E$3)</f>
        <v>0.5</v>
      </c>
      <c r="F68">
        <f>IF(Hoja1!F68="","",(Hoja1!F68/100)*$F$3)</f>
        <v>0</v>
      </c>
      <c r="G68">
        <f>IF(Hoja1!G68="","",(Hoja1!G68/100)*$G$3)</f>
        <v>0.25</v>
      </c>
      <c r="H68">
        <f>IF(Hoja1!H68="","",(Hoja1!H68/100)*$H$3)</f>
        <v>0.45</v>
      </c>
      <c r="I68">
        <f>IF(Hoja1!I68="","",(Hoja1!I68/100)*$I$3)</f>
        <v>0.8</v>
      </c>
      <c r="J68">
        <f>IF(Hoja1!J68="","",(Hoja1!J68/100)*$J$3)</f>
        <v>0.85</v>
      </c>
      <c r="K68">
        <f>IF(Hoja1!K68="","",(Hoja1!K68/100)*$K$3)</f>
        <v>1</v>
      </c>
      <c r="L68">
        <f>IF(Hoja1!L68="","",(Hoja1!L68/100)*$L$3)</f>
        <v>1.5</v>
      </c>
      <c r="M68">
        <f>IF(Hoja1!M68="","",(Hoja1!M68/100)*$M$3)</f>
        <v>1.4</v>
      </c>
      <c r="N68">
        <f>IF(Hoja1!N68="","",(Hoja1!N68/100)*$N$3)</f>
        <v>1.5</v>
      </c>
      <c r="O68">
        <f>IF(Hoja1!O68="","",(Hoja1!O68/100)*$O$3)</f>
        <v>1.4</v>
      </c>
      <c r="P68">
        <f>IF(Hoja1!P68="","",(Hoja1!P68/100)*$P$3)</f>
        <v>1</v>
      </c>
      <c r="Q68">
        <f>IF(Hoja1!Q68="","",(Hoja1!Q68/100)*$Q$3)</f>
        <v>1.5</v>
      </c>
      <c r="R68">
        <f>IF(Hoja1!R68="","",(Hoja1!R68/100)*$R$3)</f>
        <v>5</v>
      </c>
      <c r="S68">
        <f t="shared" si="0"/>
        <v>17.149999999999999</v>
      </c>
    </row>
    <row r="69" spans="2:19" x14ac:dyDescent="0.25">
      <c r="B69">
        <v>65</v>
      </c>
      <c r="C69">
        <v>202531736</v>
      </c>
      <c r="D69" t="s">
        <v>81</v>
      </c>
      <c r="E69">
        <f>IF(Hoja1!E69="","",(Hoja1!E69/100)*$E$3)</f>
        <v>0.5</v>
      </c>
      <c r="F69">
        <f>IF(Hoja1!F69="","",(Hoja1!F69/100)*$F$3)</f>
        <v>0</v>
      </c>
      <c r="G69">
        <f>IF(Hoja1!G69="","",(Hoja1!G69/100)*$G$3)</f>
        <v>0.5</v>
      </c>
      <c r="H69">
        <f>IF(Hoja1!H69="","",(Hoja1!H69/100)*$H$3)</f>
        <v>0</v>
      </c>
      <c r="I69">
        <f>IF(Hoja1!I69="","",(Hoja1!I69/100)*$I$3)</f>
        <v>0</v>
      </c>
      <c r="J69">
        <f>IF(Hoja1!J69="","",(Hoja1!J69/100)*$J$3)</f>
        <v>1</v>
      </c>
      <c r="K69">
        <f>IF(Hoja1!K69="","",(Hoja1!K69/100)*$K$3)</f>
        <v>1</v>
      </c>
      <c r="L69">
        <f>IF(Hoja1!L69="","",(Hoja1!L69/100)*$L$3)</f>
        <v>1.5</v>
      </c>
      <c r="M69">
        <f>IF(Hoja1!M69="","",(Hoja1!M69/100)*$M$3)</f>
        <v>0</v>
      </c>
      <c r="N69">
        <f>IF(Hoja1!N69="","",(Hoja1!N69/100)*$N$3)</f>
        <v>1.2</v>
      </c>
      <c r="O69">
        <f>IF(Hoja1!O69="","",(Hoja1!O69/100)*$O$3)</f>
        <v>1.3</v>
      </c>
      <c r="P69">
        <f>IF(Hoja1!P69="","",(Hoja1!P69/100)*$P$3)</f>
        <v>0.8</v>
      </c>
      <c r="Q69">
        <f>IF(Hoja1!Q69="","",(Hoja1!Q69/100)*$Q$3)</f>
        <v>1.5</v>
      </c>
      <c r="R69">
        <f>IF(Hoja1!R69="","",(Hoja1!R69/100)*$R$3)</f>
        <v>5</v>
      </c>
      <c r="S69">
        <f t="shared" si="0"/>
        <v>14.3</v>
      </c>
    </row>
    <row r="70" spans="2:19" x14ac:dyDescent="0.25">
      <c r="B70">
        <v>66</v>
      </c>
      <c r="C70">
        <v>202531778</v>
      </c>
      <c r="D70" t="s">
        <v>82</v>
      </c>
      <c r="E70">
        <f>IF(Hoja1!E70="","",(Hoja1!E70/100)*$E$3)</f>
        <v>0.5</v>
      </c>
      <c r="F70">
        <f>IF(Hoja1!F70="","",(Hoja1!F70/100)*$F$3)</f>
        <v>0</v>
      </c>
      <c r="G70">
        <f>IF(Hoja1!G70="","",(Hoja1!G70/100)*$G$3)</f>
        <v>0.5</v>
      </c>
      <c r="H70">
        <f>IF(Hoja1!H70="","",(Hoja1!H70/100)*$H$3)</f>
        <v>0.45</v>
      </c>
      <c r="I70">
        <f>IF(Hoja1!I70="","",(Hoja1!I70/100)*$I$3)</f>
        <v>1.5</v>
      </c>
      <c r="J70">
        <f>IF(Hoja1!J70="","",(Hoja1!J70/100)*$J$3)</f>
        <v>0.85</v>
      </c>
      <c r="K70">
        <f>IF(Hoja1!K70="","",(Hoja1!K70/100)*$K$3)</f>
        <v>1</v>
      </c>
      <c r="L70">
        <f>IF(Hoja1!L70="","",(Hoja1!L70/100)*$L$3)</f>
        <v>1.5</v>
      </c>
      <c r="M70">
        <f>IF(Hoja1!M70="","",(Hoja1!M70/100)*$M$3)</f>
        <v>1.4</v>
      </c>
      <c r="N70">
        <f>IF(Hoja1!N70="","",(Hoja1!N70/100)*$N$3)</f>
        <v>1.8</v>
      </c>
      <c r="O70">
        <f>IF(Hoja1!O70="","",(Hoja1!O70/100)*$O$3)</f>
        <v>2</v>
      </c>
      <c r="P70">
        <f>IF(Hoja1!P70="","",(Hoja1!P70/100)*$P$3)</f>
        <v>1</v>
      </c>
      <c r="Q70">
        <f>IF(Hoja1!Q70="","",(Hoja1!Q70/100)*$Q$3)</f>
        <v>1.5</v>
      </c>
      <c r="R70">
        <f>IF(Hoja1!R70="","",(Hoja1!R70/100)*$R$3)</f>
        <v>5</v>
      </c>
      <c r="S70">
        <f t="shared" ref="S70:S77" si="1">SUM(E70:R70)</f>
        <v>19</v>
      </c>
    </row>
    <row r="71" spans="2:19" x14ac:dyDescent="0.25">
      <c r="B71">
        <v>67</v>
      </c>
      <c r="C71">
        <v>202531844</v>
      </c>
      <c r="D71" t="s">
        <v>83</v>
      </c>
      <c r="E71">
        <f>IF(Hoja1!E71="","",(Hoja1!E71/100)*$E$3)</f>
        <v>0.5</v>
      </c>
      <c r="F71">
        <f>IF(Hoja1!F71="","",(Hoja1!F71/100)*$F$3)</f>
        <v>0</v>
      </c>
      <c r="G71">
        <f>IF(Hoja1!G71="","",(Hoja1!G71/100)*$G$3)</f>
        <v>0.5</v>
      </c>
      <c r="H71">
        <f>IF(Hoja1!H71="","",(Hoja1!H71/100)*$H$3)</f>
        <v>0.5</v>
      </c>
      <c r="I71">
        <f>IF(Hoja1!I71="","",(Hoja1!I71/100)*$I$3)</f>
        <v>2</v>
      </c>
      <c r="J71">
        <f>IF(Hoja1!J71="","",(Hoja1!J71/100)*$J$3)</f>
        <v>1</v>
      </c>
      <c r="K71">
        <f>IF(Hoja1!K71="","",(Hoja1!K71/100)*$K$3)</f>
        <v>1</v>
      </c>
      <c r="L71">
        <f>IF(Hoja1!L71="","",(Hoja1!L71/100)*$L$3)</f>
        <v>1.5</v>
      </c>
      <c r="M71">
        <f>IF(Hoja1!M71="","",(Hoja1!M71/100)*$M$3)</f>
        <v>2</v>
      </c>
      <c r="N71" t="str">
        <f>IF(Hoja1!N71="","",(Hoja1!N71/100)*$N$3)</f>
        <v/>
      </c>
      <c r="O71">
        <f>IF(Hoja1!O71="","",(Hoja1!O71/100)*$O$3)</f>
        <v>2</v>
      </c>
      <c r="P71">
        <f>IF(Hoja1!P71="","",(Hoja1!P71/100)*$P$3)</f>
        <v>0</v>
      </c>
      <c r="Q71">
        <f>IF(Hoja1!Q71="","",(Hoja1!Q71/100)*$Q$3)</f>
        <v>0</v>
      </c>
      <c r="R71">
        <f>IF(Hoja1!R71="","",(Hoja1!R71/100)*$R$3)</f>
        <v>0</v>
      </c>
      <c r="S71">
        <f t="shared" si="1"/>
        <v>11</v>
      </c>
    </row>
    <row r="72" spans="2:19" x14ac:dyDescent="0.25">
      <c r="B72">
        <v>68</v>
      </c>
      <c r="C72">
        <v>202531883</v>
      </c>
      <c r="D72" t="s">
        <v>84</v>
      </c>
      <c r="E72">
        <f>IF(Hoja1!E72="","",(Hoja1!E72/100)*$E$3)</f>
        <v>0.5</v>
      </c>
      <c r="F72">
        <f>IF(Hoja1!F72="","",(Hoja1!F72/100)*$F$3)</f>
        <v>0</v>
      </c>
      <c r="G72">
        <f>IF(Hoja1!G72="","",(Hoja1!G72/100)*$G$3)</f>
        <v>0.5</v>
      </c>
      <c r="H72">
        <f>IF(Hoja1!H72="","",(Hoja1!H72/100)*$H$3)</f>
        <v>0.5</v>
      </c>
      <c r="I72">
        <f>IF(Hoja1!I72="","",(Hoja1!I72/100)*$I$3)</f>
        <v>1.7</v>
      </c>
      <c r="J72">
        <f>IF(Hoja1!J72="","",(Hoja1!J72/100)*$J$3)</f>
        <v>1</v>
      </c>
      <c r="K72">
        <f>IF(Hoja1!K72="","",(Hoja1!K72/100)*$K$3)</f>
        <v>1</v>
      </c>
      <c r="L72">
        <f>IF(Hoja1!L72="","",(Hoja1!L72/100)*$L$3)</f>
        <v>1.5</v>
      </c>
      <c r="M72">
        <f>IF(Hoja1!M72="","",(Hoja1!M72/100)*$M$3)</f>
        <v>1.8</v>
      </c>
      <c r="N72">
        <f>IF(Hoja1!N72="","",(Hoja1!N72/100)*$N$3)</f>
        <v>1.9</v>
      </c>
      <c r="O72">
        <f>IF(Hoja1!O72="","",(Hoja1!O72/100)*$O$3)</f>
        <v>1.7</v>
      </c>
      <c r="P72">
        <f>IF(Hoja1!P72="","",(Hoja1!P72/100)*$P$3)</f>
        <v>0.95</v>
      </c>
      <c r="Q72">
        <f>IF(Hoja1!Q72="","",(Hoja1!Q72/100)*$Q$3)</f>
        <v>0</v>
      </c>
      <c r="R72">
        <f>IF(Hoja1!R72="","",(Hoja1!R72/100)*$R$3)</f>
        <v>5</v>
      </c>
      <c r="S72">
        <f t="shared" si="1"/>
        <v>18.049999999999997</v>
      </c>
    </row>
    <row r="73" spans="2:19" x14ac:dyDescent="0.25">
      <c r="B73">
        <v>69</v>
      </c>
      <c r="C73">
        <v>202531947</v>
      </c>
      <c r="D73" t="s">
        <v>85</v>
      </c>
      <c r="E73">
        <f>IF(Hoja1!E73="","",(Hoja1!E73/100)*$E$3)</f>
        <v>0.5</v>
      </c>
      <c r="F73">
        <f>IF(Hoja1!F73="","",(Hoja1!F73/100)*$F$3)</f>
        <v>0</v>
      </c>
      <c r="G73">
        <f>IF(Hoja1!G73="","",(Hoja1!G73/100)*$G$3)</f>
        <v>0.5</v>
      </c>
      <c r="H73">
        <f>IF(Hoja1!H73="","",(Hoja1!H73/100)*$H$3)</f>
        <v>0</v>
      </c>
      <c r="I73">
        <f>IF(Hoja1!I73="","",(Hoja1!I73/100)*$I$3)</f>
        <v>1.7</v>
      </c>
      <c r="J73">
        <f>IF(Hoja1!J73="","",(Hoja1!J73/100)*$J$3)</f>
        <v>0.75</v>
      </c>
      <c r="K73">
        <f>IF(Hoja1!K73="","",(Hoja1!K73/100)*$K$3)</f>
        <v>1</v>
      </c>
      <c r="L73">
        <f>IF(Hoja1!L73="","",(Hoja1!L73/100)*$L$3)</f>
        <v>1.5</v>
      </c>
      <c r="M73">
        <f>IF(Hoja1!M73="","",(Hoja1!M73/100)*$M$3)</f>
        <v>1</v>
      </c>
      <c r="N73">
        <f>IF(Hoja1!N73="","",(Hoja1!N73/100)*$N$3)</f>
        <v>1.8</v>
      </c>
      <c r="O73">
        <f>IF(Hoja1!O73="","",(Hoja1!O73/100)*$O$3)</f>
        <v>1.4</v>
      </c>
      <c r="P73">
        <f>IF(Hoja1!P73="","",(Hoja1!P73/100)*$P$3)</f>
        <v>0</v>
      </c>
      <c r="Q73">
        <f>IF(Hoja1!Q73="","",(Hoja1!Q73/100)*$Q$3)</f>
        <v>0</v>
      </c>
      <c r="R73">
        <f>IF(Hoja1!R73="","",(Hoja1!R73/100)*$R$3)</f>
        <v>0</v>
      </c>
      <c r="S73">
        <f t="shared" si="1"/>
        <v>10.15</v>
      </c>
    </row>
    <row r="74" spans="2:19" x14ac:dyDescent="0.25">
      <c r="B74">
        <v>70</v>
      </c>
      <c r="C74">
        <v>202532062</v>
      </c>
      <c r="D74" t="s">
        <v>86</v>
      </c>
      <c r="E74">
        <f>IF(Hoja1!E74="","",(Hoja1!E74/100)*$E$3)</f>
        <v>0</v>
      </c>
      <c r="F74">
        <f>IF(Hoja1!F74="","",(Hoja1!F74/100)*$F$3)</f>
        <v>0</v>
      </c>
      <c r="G74">
        <f>IF(Hoja1!G74="","",(Hoja1!G74/100)*$G$3)</f>
        <v>0.5</v>
      </c>
      <c r="H74">
        <f>IF(Hoja1!H74="","",(Hoja1!H74/100)*$H$3)</f>
        <v>0</v>
      </c>
      <c r="I74">
        <f>IF(Hoja1!I74="","",(Hoja1!I74/100)*$I$3)</f>
        <v>1.7</v>
      </c>
      <c r="J74">
        <f>IF(Hoja1!J74="","",(Hoja1!J74/100)*$J$3)</f>
        <v>0</v>
      </c>
      <c r="K74">
        <f>IF(Hoja1!K74="","",(Hoja1!K74/100)*$K$3)</f>
        <v>1</v>
      </c>
      <c r="L74">
        <f>IF(Hoja1!L74="","",(Hoja1!L74/100)*$L$3)</f>
        <v>1.5</v>
      </c>
      <c r="M74">
        <f>IF(Hoja1!M74="","",(Hoja1!M74/100)*$M$3)</f>
        <v>1</v>
      </c>
      <c r="N74" t="str">
        <f>IF(Hoja1!N74="","",(Hoja1!N74/100)*$N$3)</f>
        <v/>
      </c>
      <c r="O74">
        <f>IF(Hoja1!O74="","",(Hoja1!O74/100)*$O$3)</f>
        <v>0.4</v>
      </c>
      <c r="P74">
        <f>IF(Hoja1!P74="","",(Hoja1!P74/100)*$P$3)</f>
        <v>1</v>
      </c>
      <c r="Q74">
        <f>IF(Hoja1!Q74="","",(Hoja1!Q74/100)*$Q$3)</f>
        <v>1.5</v>
      </c>
      <c r="R74">
        <f>IF(Hoja1!R74="","",(Hoja1!R74/100)*$R$3)</f>
        <v>5</v>
      </c>
      <c r="S74">
        <f t="shared" si="1"/>
        <v>13.600000000000001</v>
      </c>
    </row>
    <row r="75" spans="2:19" x14ac:dyDescent="0.25">
      <c r="B75">
        <v>71</v>
      </c>
      <c r="C75">
        <v>202532079</v>
      </c>
      <c r="D75" t="s">
        <v>87</v>
      </c>
      <c r="E75">
        <f>IF(Hoja1!E75="","",(Hoja1!E75/100)*$E$3)</f>
        <v>0</v>
      </c>
      <c r="F75">
        <f>IF(Hoja1!F75="","",(Hoja1!F75/100)*$F$3)</f>
        <v>0</v>
      </c>
      <c r="G75">
        <f>IF(Hoja1!G75="","",(Hoja1!G75/100)*$G$3)</f>
        <v>0.5</v>
      </c>
      <c r="H75">
        <f>IF(Hoja1!H75="","",(Hoja1!H75/100)*$H$3)</f>
        <v>0</v>
      </c>
      <c r="I75">
        <f>IF(Hoja1!I75="","",(Hoja1!I75/100)*$I$3)</f>
        <v>0</v>
      </c>
      <c r="J75">
        <f>IF(Hoja1!J75="","",(Hoja1!J75/100)*$J$3)</f>
        <v>0.5</v>
      </c>
      <c r="K75">
        <f>IF(Hoja1!K75="","",(Hoja1!K75/100)*$K$3)</f>
        <v>0</v>
      </c>
      <c r="L75">
        <f>IF(Hoja1!L75="","",(Hoja1!L75/100)*$L$3)</f>
        <v>0</v>
      </c>
      <c r="M75">
        <f>IF(Hoja1!M75="","",(Hoja1!M75/100)*$M$3)</f>
        <v>0</v>
      </c>
      <c r="N75" t="str">
        <f>IF(Hoja1!N75="","",(Hoja1!N75/100)*$N$3)</f>
        <v/>
      </c>
      <c r="O75" t="str">
        <f>IF(Hoja1!O75="","",(Hoja1!O75/100)*$O$3)</f>
        <v/>
      </c>
      <c r="P75">
        <f>IF(Hoja1!P75="","",(Hoja1!P75/100)*$P$3)</f>
        <v>0</v>
      </c>
      <c r="Q75">
        <f>IF(Hoja1!Q75="","",(Hoja1!Q75/100)*$Q$3)</f>
        <v>0</v>
      </c>
      <c r="R75">
        <f>IF(Hoja1!R75="","",(Hoja1!R75/100)*$R$3)</f>
        <v>0</v>
      </c>
      <c r="S75">
        <f t="shared" si="1"/>
        <v>1</v>
      </c>
    </row>
    <row r="76" spans="2:19" x14ac:dyDescent="0.25">
      <c r="B76">
        <v>72</v>
      </c>
      <c r="C76">
        <v>202530466</v>
      </c>
      <c r="D76" t="s">
        <v>88</v>
      </c>
      <c r="E76">
        <f>IF(Hoja1!E76="","",(Hoja1!E76/100)*$E$3)</f>
        <v>0.5</v>
      </c>
      <c r="F76">
        <f>IF(Hoja1!F76="","",(Hoja1!F76/100)*$F$3)</f>
        <v>0</v>
      </c>
      <c r="G76">
        <f>IF(Hoja1!G76="","",(Hoja1!G76/100)*$G$3)</f>
        <v>0.5</v>
      </c>
      <c r="H76">
        <f>IF(Hoja1!H76="","",(Hoja1!H76/100)*$H$3)</f>
        <v>0.5</v>
      </c>
      <c r="I76">
        <f>IF(Hoja1!I76="","",(Hoja1!I76/100)*$I$3)</f>
        <v>2</v>
      </c>
      <c r="J76">
        <f>IF(Hoja1!J76="","",(Hoja1!J76/100)*$J$3)</f>
        <v>1</v>
      </c>
      <c r="K76">
        <f>IF(Hoja1!K76="","",(Hoja1!K76/100)*$K$3)</f>
        <v>1</v>
      </c>
      <c r="L76">
        <f>IF(Hoja1!L76="","",(Hoja1!L76/100)*$L$3)</f>
        <v>1.5</v>
      </c>
      <c r="M76">
        <f>IF(Hoja1!M76="","",(Hoja1!M76/100)*$M$3)</f>
        <v>2</v>
      </c>
      <c r="N76">
        <f>IF(Hoja1!N76="","",(Hoja1!N76/100)*$N$3)</f>
        <v>2</v>
      </c>
      <c r="O76">
        <f>IF(Hoja1!O76="","",(Hoja1!O76/100)*$O$3)</f>
        <v>2</v>
      </c>
      <c r="P76">
        <f>IF(Hoja1!P76="","",(Hoja1!P76/100)*$P$3)</f>
        <v>1</v>
      </c>
      <c r="Q76">
        <f>IF(Hoja1!Q76="","",(Hoja1!Q76/100)*$Q$3)</f>
        <v>1.5</v>
      </c>
      <c r="R76">
        <f>IF(Hoja1!R76="","",(Hoja1!R76/100)*$R$3)</f>
        <v>5</v>
      </c>
      <c r="S76">
        <f t="shared" si="1"/>
        <v>20.5</v>
      </c>
    </row>
    <row r="77" spans="2:19" x14ac:dyDescent="0.25">
      <c r="B77">
        <v>73</v>
      </c>
      <c r="C77">
        <v>202030192</v>
      </c>
      <c r="D77" t="s">
        <v>89</v>
      </c>
      <c r="E77">
        <f>IF(Hoja1!E77="","",(Hoja1!E77/100)*$E$3)</f>
        <v>0</v>
      </c>
      <c r="F77">
        <f>IF(Hoja1!F77="","",(Hoja1!F77/100)*$F$3)</f>
        <v>0</v>
      </c>
      <c r="G77">
        <f>IF(Hoja1!G77="","",(Hoja1!G77/100)*$G$3)</f>
        <v>0.25</v>
      </c>
      <c r="H77">
        <f>IF(Hoja1!H77="","",(Hoja1!H77/100)*$H$3)</f>
        <v>0.375</v>
      </c>
      <c r="I77">
        <f>IF(Hoja1!I77="","",(Hoja1!I77/100)*$I$3)</f>
        <v>0</v>
      </c>
      <c r="J77">
        <f>IF(Hoja1!J77="","",(Hoja1!J77/100)*$J$3)</f>
        <v>1</v>
      </c>
      <c r="K77">
        <f>IF(Hoja1!K77="","",(Hoja1!K77/100)*$K$3)</f>
        <v>1</v>
      </c>
      <c r="L77">
        <f>IF(Hoja1!L77="","",(Hoja1!L77/100)*$L$3)</f>
        <v>1.5</v>
      </c>
      <c r="M77">
        <f>IF(Hoja1!M77="","",(Hoja1!M77/100)*$M$3)</f>
        <v>2</v>
      </c>
      <c r="N77">
        <f>IF(Hoja1!N77="","",(Hoja1!N77/100)*$N$3)</f>
        <v>1.7</v>
      </c>
      <c r="O77" t="str">
        <f>IF(Hoja1!O77="","",(Hoja1!O77/100)*$O$3)</f>
        <v/>
      </c>
      <c r="P77">
        <f>IF(Hoja1!P77="","",(Hoja1!P77/100)*$P$3)</f>
        <v>0</v>
      </c>
      <c r="Q77">
        <f>IF(Hoja1!Q77="","",(Hoja1!Q77/100)*$Q$3)</f>
        <v>0</v>
      </c>
      <c r="R77">
        <f>IF(Hoja1!R77="","",(Hoja1!R77/100)*$R$3)</f>
        <v>0</v>
      </c>
      <c r="S77">
        <f t="shared" si="1"/>
        <v>7.8250000000000002</v>
      </c>
    </row>
    <row r="78" spans="2:19" x14ac:dyDescent="0.25">
      <c r="B78" t="s">
        <v>90</v>
      </c>
    </row>
    <row r="79" spans="2:19" x14ac:dyDescent="0.25">
      <c r="S79">
        <f>COUNTIF(S5:S77,"&gt;12")</f>
        <v>44</v>
      </c>
    </row>
    <row r="80" spans="2:19" x14ac:dyDescent="0.25">
      <c r="S80">
        <f>COUNTIFS(E5:E77,"&gt;=12",E5:E77,"&lt;=13")</f>
        <v>0</v>
      </c>
    </row>
  </sheetData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Marlon Ivan Carreto Rivera</dc:creator>
  <cp:lastModifiedBy>Marlon Ivan Carreto Rivera</cp:lastModifiedBy>
  <dcterms:created xsi:type="dcterms:W3CDTF">2025-10-26T19:08:22Z</dcterms:created>
  <dcterms:modified xsi:type="dcterms:W3CDTF">2025-10-26T21:08:55Z</dcterms:modified>
</cp:coreProperties>
</file>