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bicacion C a D\Documentos\gitPrimer-Semetre-25\PRACTICAS DOCENCIA\LABORATORIO MB1\LISTADO COMPLETO MACROS\"/>
    </mc:Choice>
  </mc:AlternateContent>
  <xr:revisionPtr revIDLastSave="0" documentId="13_ncr:1_{ABB05B9B-3485-492A-ABDD-903F8EE19A8B}" xr6:coauthVersionLast="47" xr6:coauthVersionMax="47" xr10:uidLastSave="{00000000-0000-0000-0000-000000000000}"/>
  <bookViews>
    <workbookView xWindow="-110" yWindow="-110" windowWidth="19420" windowHeight="10420" activeTab="1" xr2:uid="{B120FE9F-51A9-4E3A-8CF4-53BECC398D17}"/>
  </bookViews>
  <sheets>
    <sheet name="Hoja1" sheetId="1" r:id="rId1"/>
    <sheet name="Hoja2" sheetId="3" r:id="rId2"/>
    <sheet name="Hoja5" sheetId="6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" i="1" l="1"/>
  <c r="H5" i="1"/>
  <c r="I5" i="1"/>
  <c r="J5" i="1"/>
  <c r="K5" i="1"/>
  <c r="L5" i="1"/>
  <c r="M5" i="1"/>
  <c r="N5" i="1"/>
  <c r="O5" i="1"/>
  <c r="P5" i="1"/>
  <c r="T5" i="1"/>
  <c r="G6" i="1"/>
  <c r="H6" i="1"/>
  <c r="I6" i="1"/>
  <c r="J6" i="1"/>
  <c r="K6" i="1"/>
  <c r="L6" i="1"/>
  <c r="M6" i="1"/>
  <c r="N6" i="1"/>
  <c r="O6" i="1"/>
  <c r="P6" i="1"/>
  <c r="T6" i="1"/>
  <c r="G7" i="1"/>
  <c r="H7" i="1"/>
  <c r="I7" i="1"/>
  <c r="J7" i="1"/>
  <c r="K7" i="1"/>
  <c r="L7" i="1"/>
  <c r="M7" i="1"/>
  <c r="N7" i="1"/>
  <c r="O7" i="1"/>
  <c r="P7" i="1"/>
  <c r="T7" i="1"/>
  <c r="G8" i="1"/>
  <c r="H8" i="1"/>
  <c r="I8" i="1"/>
  <c r="J8" i="1"/>
  <c r="K8" i="1"/>
  <c r="L8" i="1"/>
  <c r="M8" i="1"/>
  <c r="N8" i="1"/>
  <c r="O8" i="1"/>
  <c r="P8" i="1"/>
  <c r="T8" i="1"/>
  <c r="G9" i="1"/>
  <c r="H9" i="1"/>
  <c r="I9" i="1"/>
  <c r="J9" i="1"/>
  <c r="K9" i="1"/>
  <c r="L9" i="1"/>
  <c r="M9" i="1"/>
  <c r="N9" i="1"/>
  <c r="O9" i="1"/>
  <c r="P9" i="1"/>
  <c r="T9" i="1"/>
  <c r="G10" i="1"/>
  <c r="H10" i="1"/>
  <c r="I10" i="1"/>
  <c r="J10" i="1"/>
  <c r="K10" i="1"/>
  <c r="L10" i="1"/>
  <c r="M10" i="1"/>
  <c r="N10" i="1"/>
  <c r="O10" i="1"/>
  <c r="P10" i="1"/>
  <c r="T10" i="1"/>
  <c r="G11" i="1"/>
  <c r="H11" i="1"/>
  <c r="I11" i="1"/>
  <c r="J11" i="1"/>
  <c r="K11" i="1"/>
  <c r="L11" i="1"/>
  <c r="M11" i="1"/>
  <c r="N11" i="1"/>
  <c r="O11" i="1"/>
  <c r="P11" i="1"/>
  <c r="T11" i="1"/>
  <c r="G12" i="1"/>
  <c r="H12" i="1"/>
  <c r="I12" i="1"/>
  <c r="J12" i="1"/>
  <c r="K12" i="1"/>
  <c r="L12" i="1"/>
  <c r="M12" i="1"/>
  <c r="N12" i="1"/>
  <c r="O12" i="1"/>
  <c r="P12" i="1"/>
  <c r="T12" i="1"/>
  <c r="G13" i="1"/>
  <c r="H13" i="1"/>
  <c r="I13" i="1"/>
  <c r="J13" i="1"/>
  <c r="K13" i="1"/>
  <c r="L13" i="1"/>
  <c r="M13" i="1"/>
  <c r="N13" i="1"/>
  <c r="O13" i="1"/>
  <c r="P13" i="1"/>
  <c r="T13" i="1"/>
  <c r="G14" i="1"/>
  <c r="H14" i="1"/>
  <c r="I14" i="1"/>
  <c r="J14" i="1"/>
  <c r="K14" i="1"/>
  <c r="L14" i="1"/>
  <c r="M14" i="1"/>
  <c r="N14" i="1"/>
  <c r="O14" i="1"/>
  <c r="P14" i="1"/>
  <c r="T14" i="1"/>
  <c r="G15" i="1"/>
  <c r="H15" i="1"/>
  <c r="I15" i="1"/>
  <c r="J15" i="1"/>
  <c r="K15" i="1"/>
  <c r="L15" i="1"/>
  <c r="M15" i="1"/>
  <c r="N15" i="1"/>
  <c r="O15" i="1"/>
  <c r="P15" i="1"/>
  <c r="T15" i="1"/>
  <c r="G16" i="1"/>
  <c r="H16" i="1"/>
  <c r="I16" i="1"/>
  <c r="J16" i="1"/>
  <c r="K16" i="1"/>
  <c r="L16" i="1"/>
  <c r="M16" i="1"/>
  <c r="N16" i="1"/>
  <c r="O16" i="1"/>
  <c r="P16" i="1"/>
  <c r="T16" i="1"/>
  <c r="G17" i="1"/>
  <c r="H17" i="1"/>
  <c r="I17" i="1"/>
  <c r="J17" i="1"/>
  <c r="K17" i="1"/>
  <c r="L17" i="1"/>
  <c r="M17" i="1"/>
  <c r="N17" i="1"/>
  <c r="O17" i="1"/>
  <c r="P17" i="1"/>
  <c r="T17" i="1"/>
  <c r="G18" i="1"/>
  <c r="H18" i="1"/>
  <c r="I18" i="1"/>
  <c r="J18" i="1"/>
  <c r="K18" i="1"/>
  <c r="L18" i="1"/>
  <c r="M18" i="1"/>
  <c r="N18" i="1"/>
  <c r="O18" i="1"/>
  <c r="P18" i="1"/>
  <c r="T18" i="1"/>
  <c r="G19" i="1"/>
  <c r="H19" i="1"/>
  <c r="I19" i="1"/>
  <c r="J19" i="1"/>
  <c r="K19" i="1"/>
  <c r="L19" i="1"/>
  <c r="M19" i="1"/>
  <c r="N19" i="1"/>
  <c r="O19" i="1"/>
  <c r="P19" i="1"/>
  <c r="T19" i="1"/>
  <c r="G20" i="1"/>
  <c r="H20" i="1"/>
  <c r="I20" i="1"/>
  <c r="J20" i="1"/>
  <c r="K20" i="1"/>
  <c r="L20" i="1"/>
  <c r="M20" i="1"/>
  <c r="N20" i="1"/>
  <c r="O20" i="1"/>
  <c r="P20" i="1"/>
  <c r="T20" i="1"/>
  <c r="G21" i="1"/>
  <c r="H21" i="1"/>
  <c r="I21" i="1"/>
  <c r="J21" i="1"/>
  <c r="K21" i="1"/>
  <c r="L21" i="1"/>
  <c r="M21" i="1"/>
  <c r="N21" i="1"/>
  <c r="O21" i="1"/>
  <c r="P21" i="1"/>
  <c r="T21" i="1"/>
  <c r="G22" i="1"/>
  <c r="H22" i="1"/>
  <c r="I22" i="1"/>
  <c r="J22" i="1"/>
  <c r="K22" i="1"/>
  <c r="L22" i="1"/>
  <c r="M22" i="1"/>
  <c r="N22" i="1"/>
  <c r="O22" i="1"/>
  <c r="P22" i="1"/>
  <c r="T22" i="1"/>
  <c r="G23" i="1"/>
  <c r="H23" i="1"/>
  <c r="I23" i="1"/>
  <c r="J23" i="1"/>
  <c r="K23" i="1"/>
  <c r="L23" i="1"/>
  <c r="M23" i="1"/>
  <c r="N23" i="1"/>
  <c r="O23" i="1"/>
  <c r="P23" i="1"/>
  <c r="T23" i="1"/>
  <c r="G24" i="1"/>
  <c r="H24" i="1"/>
  <c r="I24" i="1"/>
  <c r="J24" i="1"/>
  <c r="K24" i="1"/>
  <c r="L24" i="1"/>
  <c r="M24" i="1"/>
  <c r="N24" i="1"/>
  <c r="O24" i="1"/>
  <c r="P24" i="1"/>
  <c r="T24" i="1"/>
  <c r="G25" i="1"/>
  <c r="H25" i="1"/>
  <c r="I25" i="1"/>
  <c r="J25" i="1"/>
  <c r="K25" i="1"/>
  <c r="L25" i="1"/>
  <c r="M25" i="1"/>
  <c r="N25" i="1"/>
  <c r="O25" i="1"/>
  <c r="P25" i="1"/>
  <c r="T25" i="1"/>
  <c r="G26" i="1"/>
  <c r="H26" i="1"/>
  <c r="I26" i="1"/>
  <c r="J26" i="1"/>
  <c r="K26" i="1"/>
  <c r="L26" i="1"/>
  <c r="M26" i="1"/>
  <c r="N26" i="1"/>
  <c r="O26" i="1"/>
  <c r="P26" i="1"/>
  <c r="T26" i="1"/>
  <c r="G27" i="1"/>
  <c r="H27" i="1"/>
  <c r="I27" i="1"/>
  <c r="J27" i="1"/>
  <c r="K27" i="1"/>
  <c r="L27" i="1"/>
  <c r="M27" i="1"/>
  <c r="N27" i="1"/>
  <c r="O27" i="1"/>
  <c r="P27" i="1"/>
  <c r="T27" i="1"/>
  <c r="G28" i="1"/>
  <c r="H28" i="1"/>
  <c r="I28" i="1"/>
  <c r="J28" i="1"/>
  <c r="K28" i="1"/>
  <c r="L28" i="1"/>
  <c r="M28" i="1"/>
  <c r="N28" i="1"/>
  <c r="O28" i="1"/>
  <c r="P28" i="1"/>
  <c r="T28" i="1"/>
  <c r="G29" i="1"/>
  <c r="H29" i="1"/>
  <c r="I29" i="1"/>
  <c r="J29" i="1"/>
  <c r="K29" i="1"/>
  <c r="L29" i="1"/>
  <c r="M29" i="1"/>
  <c r="N29" i="1"/>
  <c r="O29" i="1"/>
  <c r="P29" i="1"/>
  <c r="T29" i="1"/>
  <c r="G30" i="1"/>
  <c r="H30" i="1"/>
  <c r="I30" i="1"/>
  <c r="J30" i="1"/>
  <c r="K30" i="1"/>
  <c r="L30" i="1"/>
  <c r="M30" i="1"/>
  <c r="N30" i="1"/>
  <c r="O30" i="1"/>
  <c r="P30" i="1"/>
  <c r="T30" i="1"/>
  <c r="G31" i="1"/>
  <c r="H31" i="1"/>
  <c r="I31" i="1"/>
  <c r="J31" i="1"/>
  <c r="K31" i="1"/>
  <c r="L31" i="1"/>
  <c r="M31" i="1"/>
  <c r="N31" i="1"/>
  <c r="O31" i="1"/>
  <c r="P31" i="1"/>
  <c r="T31" i="1"/>
  <c r="G32" i="1"/>
  <c r="H32" i="1"/>
  <c r="I32" i="1"/>
  <c r="J32" i="1"/>
  <c r="K32" i="1"/>
  <c r="L32" i="1"/>
  <c r="M32" i="1"/>
  <c r="N32" i="1"/>
  <c r="O32" i="1"/>
  <c r="P32" i="1"/>
  <c r="T32" i="1"/>
  <c r="G33" i="1"/>
  <c r="H33" i="1"/>
  <c r="I33" i="1"/>
  <c r="J33" i="1"/>
  <c r="K33" i="1"/>
  <c r="L33" i="1"/>
  <c r="M33" i="1"/>
  <c r="N33" i="1"/>
  <c r="O33" i="1"/>
  <c r="P33" i="1"/>
  <c r="T33" i="1"/>
  <c r="G34" i="1"/>
  <c r="H34" i="1"/>
  <c r="I34" i="1"/>
  <c r="J34" i="1"/>
  <c r="K34" i="1"/>
  <c r="L34" i="1"/>
  <c r="M34" i="1"/>
  <c r="N34" i="1"/>
  <c r="O34" i="1"/>
  <c r="P34" i="1"/>
  <c r="T34" i="1"/>
  <c r="G35" i="1"/>
  <c r="H35" i="1"/>
  <c r="I35" i="1"/>
  <c r="J35" i="1"/>
  <c r="K35" i="1"/>
  <c r="L35" i="1"/>
  <c r="M35" i="1"/>
  <c r="N35" i="1"/>
  <c r="O35" i="1"/>
  <c r="P35" i="1"/>
  <c r="T35" i="1"/>
  <c r="G36" i="1"/>
  <c r="H36" i="1"/>
  <c r="I36" i="1"/>
  <c r="J36" i="1"/>
  <c r="K36" i="1"/>
  <c r="L36" i="1"/>
  <c r="M36" i="1"/>
  <c r="N36" i="1"/>
  <c r="O36" i="1"/>
  <c r="P36" i="1"/>
  <c r="T36" i="1"/>
  <c r="G37" i="1"/>
  <c r="H37" i="1"/>
  <c r="I37" i="1"/>
  <c r="J37" i="1"/>
  <c r="K37" i="1"/>
  <c r="L37" i="1"/>
  <c r="M37" i="1"/>
  <c r="N37" i="1"/>
  <c r="O37" i="1"/>
  <c r="P37" i="1"/>
  <c r="T37" i="1"/>
  <c r="G38" i="1"/>
  <c r="H38" i="1"/>
  <c r="I38" i="1"/>
  <c r="J38" i="1"/>
  <c r="K38" i="1"/>
  <c r="L38" i="1"/>
  <c r="M38" i="1"/>
  <c r="N38" i="1"/>
  <c r="O38" i="1"/>
  <c r="P38" i="1"/>
  <c r="T38" i="1"/>
  <c r="G39" i="1"/>
  <c r="H39" i="1"/>
  <c r="I39" i="1"/>
  <c r="J39" i="1"/>
  <c r="K39" i="1"/>
  <c r="L39" i="1"/>
  <c r="M39" i="1"/>
  <c r="N39" i="1"/>
  <c r="O39" i="1"/>
  <c r="P39" i="1"/>
  <c r="T39" i="1"/>
  <c r="G40" i="1"/>
  <c r="H40" i="1"/>
  <c r="I40" i="1"/>
  <c r="J40" i="1"/>
  <c r="K40" i="1"/>
  <c r="L40" i="1"/>
  <c r="M40" i="1"/>
  <c r="N40" i="1"/>
  <c r="O40" i="1"/>
  <c r="P40" i="1"/>
  <c r="T40" i="1"/>
  <c r="G41" i="1"/>
  <c r="H41" i="1"/>
  <c r="I41" i="1"/>
  <c r="J41" i="1"/>
  <c r="K41" i="1"/>
  <c r="L41" i="1"/>
  <c r="M41" i="1"/>
  <c r="N41" i="1"/>
  <c r="O41" i="1"/>
  <c r="P41" i="1"/>
  <c r="T41" i="1"/>
  <c r="G42" i="1"/>
  <c r="H42" i="1"/>
  <c r="I42" i="1"/>
  <c r="J42" i="1"/>
  <c r="K42" i="1"/>
  <c r="L42" i="1"/>
  <c r="M42" i="1"/>
  <c r="N42" i="1"/>
  <c r="O42" i="1"/>
  <c r="P42" i="1"/>
  <c r="T42" i="1"/>
  <c r="G43" i="1"/>
  <c r="H43" i="1"/>
  <c r="I43" i="1"/>
  <c r="J43" i="1"/>
  <c r="K43" i="1"/>
  <c r="L43" i="1"/>
  <c r="M43" i="1"/>
  <c r="N43" i="1"/>
  <c r="O43" i="1"/>
  <c r="P43" i="1"/>
  <c r="T43" i="1"/>
  <c r="G44" i="1"/>
  <c r="H44" i="1"/>
  <c r="I44" i="1"/>
  <c r="J44" i="1"/>
  <c r="K44" i="1"/>
  <c r="L44" i="1"/>
  <c r="M44" i="1"/>
  <c r="N44" i="1"/>
  <c r="O44" i="1"/>
  <c r="P44" i="1"/>
  <c r="T44" i="1"/>
  <c r="G45" i="1"/>
  <c r="H45" i="1"/>
  <c r="I45" i="1"/>
  <c r="J45" i="1"/>
  <c r="K45" i="1"/>
  <c r="L45" i="1"/>
  <c r="M45" i="1"/>
  <c r="N45" i="1"/>
  <c r="O45" i="1"/>
  <c r="P45" i="1"/>
  <c r="T45" i="1"/>
  <c r="G46" i="1"/>
  <c r="H46" i="1"/>
  <c r="I46" i="1"/>
  <c r="J46" i="1"/>
  <c r="K46" i="1"/>
  <c r="L46" i="1"/>
  <c r="M46" i="1"/>
  <c r="N46" i="1"/>
  <c r="O46" i="1"/>
  <c r="P46" i="1"/>
  <c r="T46" i="1"/>
  <c r="G47" i="1"/>
  <c r="H47" i="1"/>
  <c r="I47" i="1"/>
  <c r="J47" i="1"/>
  <c r="K47" i="1"/>
  <c r="L47" i="1"/>
  <c r="M47" i="1"/>
  <c r="N47" i="1"/>
  <c r="O47" i="1"/>
  <c r="P47" i="1"/>
  <c r="T47" i="1"/>
  <c r="G48" i="1"/>
  <c r="H48" i="1"/>
  <c r="I48" i="1"/>
  <c r="J48" i="1"/>
  <c r="K48" i="1"/>
  <c r="L48" i="1"/>
  <c r="M48" i="1"/>
  <c r="N48" i="1"/>
  <c r="O48" i="1"/>
  <c r="P48" i="1"/>
  <c r="T48" i="1"/>
  <c r="G49" i="1"/>
  <c r="H49" i="1"/>
  <c r="I49" i="1"/>
  <c r="J49" i="1"/>
  <c r="K49" i="1"/>
  <c r="L49" i="1"/>
  <c r="M49" i="1"/>
  <c r="N49" i="1"/>
  <c r="O49" i="1"/>
  <c r="P49" i="1"/>
  <c r="T49" i="1"/>
  <c r="G50" i="1"/>
  <c r="H50" i="1"/>
  <c r="I50" i="1"/>
  <c r="J50" i="1"/>
  <c r="K50" i="1"/>
  <c r="L50" i="1"/>
  <c r="M50" i="1"/>
  <c r="N50" i="1"/>
  <c r="O50" i="1"/>
  <c r="P50" i="1"/>
  <c r="T50" i="1"/>
  <c r="G51" i="1"/>
  <c r="H51" i="1"/>
  <c r="I51" i="1"/>
  <c r="J51" i="1"/>
  <c r="K51" i="1"/>
  <c r="L51" i="1"/>
  <c r="M51" i="1"/>
  <c r="N51" i="1"/>
  <c r="O51" i="1"/>
  <c r="P51" i="1"/>
  <c r="T51" i="1"/>
  <c r="G52" i="1"/>
  <c r="H52" i="1"/>
  <c r="I52" i="1"/>
  <c r="J52" i="1"/>
  <c r="K52" i="1"/>
  <c r="L52" i="1"/>
  <c r="M52" i="1"/>
  <c r="N52" i="1"/>
  <c r="O52" i="1"/>
  <c r="P52" i="1"/>
  <c r="T52" i="1"/>
  <c r="G53" i="1"/>
  <c r="H53" i="1"/>
  <c r="I53" i="1"/>
  <c r="J53" i="1"/>
  <c r="K53" i="1"/>
  <c r="L53" i="1"/>
  <c r="M53" i="1"/>
  <c r="N53" i="1"/>
  <c r="O53" i="1"/>
  <c r="P53" i="1"/>
  <c r="T53" i="1"/>
  <c r="G54" i="1"/>
  <c r="H54" i="1"/>
  <c r="I54" i="1"/>
  <c r="J54" i="1"/>
  <c r="K54" i="1"/>
  <c r="L54" i="1"/>
  <c r="M54" i="1"/>
  <c r="N54" i="1"/>
  <c r="O54" i="1"/>
  <c r="P54" i="1"/>
  <c r="T54" i="1"/>
  <c r="G55" i="1"/>
  <c r="H55" i="1"/>
  <c r="I55" i="1"/>
  <c r="J55" i="1"/>
  <c r="K55" i="1"/>
  <c r="L55" i="1"/>
  <c r="M55" i="1"/>
  <c r="N55" i="1"/>
  <c r="O55" i="1"/>
  <c r="P55" i="1"/>
  <c r="T55" i="1"/>
  <c r="G56" i="1"/>
  <c r="H56" i="1"/>
  <c r="I56" i="1"/>
  <c r="J56" i="1"/>
  <c r="K56" i="1"/>
  <c r="L56" i="1"/>
  <c r="M56" i="1"/>
  <c r="N56" i="1"/>
  <c r="O56" i="1"/>
  <c r="P56" i="1"/>
  <c r="T56" i="1"/>
  <c r="G57" i="1"/>
  <c r="H57" i="1"/>
  <c r="I57" i="1"/>
  <c r="J57" i="1"/>
  <c r="K57" i="1"/>
  <c r="L57" i="1"/>
  <c r="M57" i="1"/>
  <c r="N57" i="1"/>
  <c r="O57" i="1"/>
  <c r="P57" i="1"/>
  <c r="T57" i="1"/>
  <c r="G58" i="1"/>
  <c r="H58" i="1"/>
  <c r="I58" i="1"/>
  <c r="J58" i="1"/>
  <c r="K58" i="1"/>
  <c r="L58" i="1"/>
  <c r="M58" i="1"/>
  <c r="N58" i="1"/>
  <c r="O58" i="1"/>
  <c r="P58" i="1"/>
  <c r="T58" i="1"/>
  <c r="G59" i="1"/>
  <c r="H59" i="1"/>
  <c r="I59" i="1"/>
  <c r="J59" i="1"/>
  <c r="K59" i="1"/>
  <c r="L59" i="1"/>
  <c r="M59" i="1"/>
  <c r="N59" i="1"/>
  <c r="O59" i="1"/>
  <c r="P59" i="1"/>
  <c r="T59" i="1"/>
  <c r="G60" i="1"/>
  <c r="H60" i="1"/>
  <c r="I60" i="1"/>
  <c r="J60" i="1"/>
  <c r="K60" i="1"/>
  <c r="L60" i="1"/>
  <c r="M60" i="1"/>
  <c r="N60" i="1"/>
  <c r="O60" i="1"/>
  <c r="P60" i="1"/>
  <c r="T60" i="1"/>
  <c r="G61" i="1"/>
  <c r="H61" i="1"/>
  <c r="I61" i="1"/>
  <c r="J61" i="1"/>
  <c r="K61" i="1"/>
  <c r="L61" i="1"/>
  <c r="M61" i="1"/>
  <c r="N61" i="1"/>
  <c r="O61" i="1"/>
  <c r="P61" i="1"/>
  <c r="T61" i="1"/>
  <c r="G62" i="1"/>
  <c r="H62" i="1"/>
  <c r="I62" i="1"/>
  <c r="J62" i="1"/>
  <c r="K62" i="1"/>
  <c r="L62" i="1"/>
  <c r="M62" i="1"/>
  <c r="N62" i="1"/>
  <c r="O62" i="1"/>
  <c r="P62" i="1"/>
  <c r="T62" i="1"/>
  <c r="G63" i="1"/>
  <c r="H63" i="1"/>
  <c r="I63" i="1"/>
  <c r="J63" i="1"/>
  <c r="K63" i="1"/>
  <c r="L63" i="1"/>
  <c r="M63" i="1"/>
  <c r="N63" i="1"/>
  <c r="O63" i="1"/>
  <c r="P63" i="1"/>
  <c r="T63" i="1"/>
  <c r="G64" i="1"/>
  <c r="H64" i="1"/>
  <c r="I64" i="1"/>
  <c r="J64" i="1"/>
  <c r="K64" i="1"/>
  <c r="L64" i="1"/>
  <c r="M64" i="1"/>
  <c r="N64" i="1"/>
  <c r="O64" i="1"/>
  <c r="P64" i="1"/>
  <c r="T64" i="1"/>
  <c r="G65" i="1"/>
  <c r="H65" i="1"/>
  <c r="I65" i="1"/>
  <c r="J65" i="1"/>
  <c r="K65" i="1"/>
  <c r="L65" i="1"/>
  <c r="M65" i="1"/>
  <c r="N65" i="1"/>
  <c r="O65" i="1"/>
  <c r="P65" i="1"/>
  <c r="T65" i="1"/>
  <c r="G66" i="1"/>
  <c r="H66" i="1"/>
  <c r="I66" i="1"/>
  <c r="J66" i="1"/>
  <c r="K66" i="1"/>
  <c r="L66" i="1"/>
  <c r="M66" i="1"/>
  <c r="N66" i="1"/>
  <c r="O66" i="1"/>
  <c r="P66" i="1"/>
  <c r="T66" i="1"/>
  <c r="G67" i="1"/>
  <c r="H67" i="1"/>
  <c r="I67" i="1"/>
  <c r="J67" i="1"/>
  <c r="K67" i="1"/>
  <c r="L67" i="1"/>
  <c r="M67" i="1"/>
  <c r="N67" i="1"/>
  <c r="O67" i="1"/>
  <c r="P67" i="1"/>
  <c r="T67" i="1"/>
  <c r="G68" i="1"/>
  <c r="H68" i="1"/>
  <c r="I68" i="1"/>
  <c r="J68" i="1"/>
  <c r="K68" i="1"/>
  <c r="L68" i="1"/>
  <c r="M68" i="1"/>
  <c r="N68" i="1"/>
  <c r="O68" i="1"/>
  <c r="P68" i="1"/>
  <c r="T68" i="1"/>
  <c r="G69" i="1"/>
  <c r="H69" i="1"/>
  <c r="I69" i="1"/>
  <c r="J69" i="1"/>
  <c r="K69" i="1"/>
  <c r="L69" i="1"/>
  <c r="M69" i="1"/>
  <c r="N69" i="1"/>
  <c r="O69" i="1"/>
  <c r="P69" i="1"/>
  <c r="T69" i="1"/>
  <c r="G70" i="1"/>
  <c r="H70" i="1"/>
  <c r="I70" i="1"/>
  <c r="J70" i="1"/>
  <c r="K70" i="1"/>
  <c r="L70" i="1"/>
  <c r="M70" i="1"/>
  <c r="N70" i="1"/>
  <c r="O70" i="1"/>
  <c r="P70" i="1"/>
  <c r="T70" i="1"/>
  <c r="G71" i="1"/>
  <c r="H71" i="1"/>
  <c r="I71" i="1"/>
  <c r="J71" i="1"/>
  <c r="K71" i="1"/>
  <c r="L71" i="1"/>
  <c r="M71" i="1"/>
  <c r="N71" i="1"/>
  <c r="O71" i="1"/>
  <c r="P71" i="1"/>
  <c r="T71" i="1"/>
  <c r="G72" i="1"/>
  <c r="H72" i="1"/>
  <c r="I72" i="1"/>
  <c r="J72" i="1"/>
  <c r="K72" i="1"/>
  <c r="L72" i="1"/>
  <c r="M72" i="1"/>
  <c r="N72" i="1"/>
  <c r="O72" i="1"/>
  <c r="P72" i="1"/>
  <c r="T72" i="1"/>
  <c r="G73" i="1"/>
  <c r="H73" i="1"/>
  <c r="I73" i="1"/>
  <c r="J73" i="1"/>
  <c r="K73" i="1"/>
  <c r="L73" i="1"/>
  <c r="M73" i="1"/>
  <c r="N73" i="1"/>
  <c r="O73" i="1"/>
  <c r="P73" i="1"/>
  <c r="T73" i="1"/>
  <c r="G74" i="1"/>
  <c r="H74" i="1"/>
  <c r="I74" i="1"/>
  <c r="J74" i="1"/>
  <c r="K74" i="1"/>
  <c r="L74" i="1"/>
  <c r="M74" i="1"/>
  <c r="N74" i="1"/>
  <c r="O74" i="1"/>
  <c r="P74" i="1"/>
  <c r="T74" i="1"/>
  <c r="G75" i="1"/>
  <c r="H75" i="1"/>
  <c r="I75" i="1"/>
  <c r="J75" i="1"/>
  <c r="K75" i="1"/>
  <c r="L75" i="1"/>
  <c r="M75" i="1"/>
  <c r="N75" i="1"/>
  <c r="O75" i="1"/>
  <c r="P75" i="1"/>
  <c r="T75" i="1"/>
  <c r="G76" i="1"/>
  <c r="H76" i="1"/>
  <c r="I76" i="1"/>
  <c r="J76" i="1"/>
  <c r="K76" i="1"/>
  <c r="L76" i="1"/>
  <c r="M76" i="1"/>
  <c r="N76" i="1"/>
  <c r="O76" i="1"/>
  <c r="P76" i="1"/>
  <c r="T76" i="1"/>
  <c r="G77" i="1"/>
  <c r="H77" i="1"/>
  <c r="I77" i="1"/>
  <c r="J77" i="1"/>
  <c r="K77" i="1"/>
  <c r="L77" i="1"/>
  <c r="M77" i="1"/>
  <c r="N77" i="1"/>
  <c r="O77" i="1"/>
  <c r="P77" i="1"/>
  <c r="T77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5" i="1"/>
  <c r="T3" i="1"/>
  <c r="R2" i="6"/>
  <c r="U79" i="1" l="1"/>
  <c r="G81" i="1"/>
  <c r="H81" i="1"/>
  <c r="I81" i="1"/>
  <c r="J81" i="1"/>
  <c r="K81" i="1"/>
  <c r="L81" i="1"/>
  <c r="M81" i="1"/>
  <c r="N81" i="1"/>
  <c r="O81" i="1"/>
  <c r="P81" i="1"/>
  <c r="F81" i="1"/>
  <c r="G82" i="1"/>
  <c r="H82" i="1"/>
  <c r="I82" i="1"/>
  <c r="J82" i="1"/>
  <c r="K82" i="1"/>
  <c r="L82" i="1"/>
  <c r="M82" i="1"/>
  <c r="N82" i="1"/>
  <c r="O82" i="1"/>
  <c r="P82" i="1"/>
  <c r="F82" i="1"/>
  <c r="G80" i="1"/>
  <c r="H80" i="1"/>
  <c r="I80" i="1"/>
  <c r="J80" i="1"/>
  <c r="K80" i="1"/>
  <c r="L80" i="1"/>
  <c r="M80" i="1"/>
  <c r="N80" i="1"/>
  <c r="O80" i="1"/>
  <c r="P80" i="1"/>
  <c r="F80" i="1"/>
  <c r="T3" i="3"/>
  <c r="H6" i="3"/>
  <c r="I6" i="3"/>
  <c r="J6" i="3"/>
  <c r="K6" i="3"/>
  <c r="L6" i="3"/>
  <c r="M6" i="3"/>
  <c r="N6" i="3"/>
  <c r="O6" i="3"/>
  <c r="P6" i="3"/>
  <c r="H7" i="3"/>
  <c r="I7" i="3"/>
  <c r="J7" i="3"/>
  <c r="K7" i="3"/>
  <c r="L7" i="3"/>
  <c r="M7" i="3"/>
  <c r="N7" i="3"/>
  <c r="O7" i="3"/>
  <c r="P7" i="3"/>
  <c r="H8" i="3"/>
  <c r="I8" i="3"/>
  <c r="J8" i="3"/>
  <c r="K8" i="3"/>
  <c r="L8" i="3"/>
  <c r="M8" i="3"/>
  <c r="N8" i="3"/>
  <c r="O8" i="3"/>
  <c r="P8" i="3"/>
  <c r="H9" i="3"/>
  <c r="I9" i="3"/>
  <c r="J9" i="3"/>
  <c r="K9" i="3"/>
  <c r="L9" i="3"/>
  <c r="M9" i="3"/>
  <c r="N9" i="3"/>
  <c r="O9" i="3"/>
  <c r="P9" i="3"/>
  <c r="H10" i="3"/>
  <c r="I10" i="3"/>
  <c r="J10" i="3"/>
  <c r="K10" i="3"/>
  <c r="L10" i="3"/>
  <c r="M10" i="3"/>
  <c r="N10" i="3"/>
  <c r="O10" i="3"/>
  <c r="P10" i="3"/>
  <c r="H11" i="3"/>
  <c r="I11" i="3"/>
  <c r="J11" i="3"/>
  <c r="K11" i="3"/>
  <c r="L11" i="3"/>
  <c r="M11" i="3"/>
  <c r="N11" i="3"/>
  <c r="O11" i="3"/>
  <c r="P11" i="3"/>
  <c r="H12" i="3"/>
  <c r="I12" i="3"/>
  <c r="J12" i="3"/>
  <c r="K12" i="3"/>
  <c r="L12" i="3"/>
  <c r="M12" i="3"/>
  <c r="N12" i="3"/>
  <c r="O12" i="3"/>
  <c r="P12" i="3"/>
  <c r="H13" i="3"/>
  <c r="I13" i="3"/>
  <c r="J13" i="3"/>
  <c r="K13" i="3"/>
  <c r="L13" i="3"/>
  <c r="M13" i="3"/>
  <c r="N13" i="3"/>
  <c r="O13" i="3"/>
  <c r="P13" i="3"/>
  <c r="H14" i="3"/>
  <c r="I14" i="3"/>
  <c r="J14" i="3"/>
  <c r="K14" i="3"/>
  <c r="L14" i="3"/>
  <c r="M14" i="3"/>
  <c r="N14" i="3"/>
  <c r="O14" i="3"/>
  <c r="P14" i="3"/>
  <c r="H15" i="3"/>
  <c r="I15" i="3"/>
  <c r="J15" i="3"/>
  <c r="K15" i="3"/>
  <c r="L15" i="3"/>
  <c r="M15" i="3"/>
  <c r="N15" i="3"/>
  <c r="O15" i="3"/>
  <c r="P15" i="3"/>
  <c r="H16" i="3"/>
  <c r="I16" i="3"/>
  <c r="J16" i="3"/>
  <c r="K16" i="3"/>
  <c r="L16" i="3"/>
  <c r="M16" i="3"/>
  <c r="N16" i="3"/>
  <c r="O16" i="3"/>
  <c r="P16" i="3"/>
  <c r="H17" i="3"/>
  <c r="I17" i="3"/>
  <c r="J17" i="3"/>
  <c r="K17" i="3"/>
  <c r="L17" i="3"/>
  <c r="M17" i="3"/>
  <c r="N17" i="3"/>
  <c r="O17" i="3"/>
  <c r="P17" i="3"/>
  <c r="H18" i="3"/>
  <c r="I18" i="3"/>
  <c r="J18" i="3"/>
  <c r="K18" i="3"/>
  <c r="L18" i="3"/>
  <c r="M18" i="3"/>
  <c r="N18" i="3"/>
  <c r="O18" i="3"/>
  <c r="P18" i="3"/>
  <c r="H19" i="3"/>
  <c r="I19" i="3"/>
  <c r="J19" i="3"/>
  <c r="K19" i="3"/>
  <c r="L19" i="3"/>
  <c r="M19" i="3"/>
  <c r="N19" i="3"/>
  <c r="O19" i="3"/>
  <c r="P19" i="3"/>
  <c r="H20" i="3"/>
  <c r="I20" i="3"/>
  <c r="J20" i="3"/>
  <c r="K20" i="3"/>
  <c r="L20" i="3"/>
  <c r="M20" i="3"/>
  <c r="N20" i="3"/>
  <c r="O20" i="3"/>
  <c r="P20" i="3"/>
  <c r="H21" i="3"/>
  <c r="I21" i="3"/>
  <c r="J21" i="3"/>
  <c r="K21" i="3"/>
  <c r="L21" i="3"/>
  <c r="M21" i="3"/>
  <c r="N21" i="3"/>
  <c r="O21" i="3"/>
  <c r="P21" i="3"/>
  <c r="H22" i="3"/>
  <c r="I22" i="3"/>
  <c r="J22" i="3"/>
  <c r="K22" i="3"/>
  <c r="L22" i="3"/>
  <c r="M22" i="3"/>
  <c r="N22" i="3"/>
  <c r="O22" i="3"/>
  <c r="P22" i="3"/>
  <c r="H23" i="3"/>
  <c r="I23" i="3"/>
  <c r="J23" i="3"/>
  <c r="K23" i="3"/>
  <c r="L23" i="3"/>
  <c r="M23" i="3"/>
  <c r="N23" i="3"/>
  <c r="O23" i="3"/>
  <c r="P23" i="3"/>
  <c r="H24" i="3"/>
  <c r="I24" i="3"/>
  <c r="J24" i="3"/>
  <c r="K24" i="3"/>
  <c r="L24" i="3"/>
  <c r="M24" i="3"/>
  <c r="N24" i="3"/>
  <c r="O24" i="3"/>
  <c r="P24" i="3"/>
  <c r="H25" i="3"/>
  <c r="I25" i="3"/>
  <c r="J25" i="3"/>
  <c r="K25" i="3"/>
  <c r="L25" i="3"/>
  <c r="M25" i="3"/>
  <c r="N25" i="3"/>
  <c r="O25" i="3"/>
  <c r="P25" i="3"/>
  <c r="H26" i="3"/>
  <c r="I26" i="3"/>
  <c r="J26" i="3"/>
  <c r="K26" i="3"/>
  <c r="L26" i="3"/>
  <c r="M26" i="3"/>
  <c r="N26" i="3"/>
  <c r="O26" i="3"/>
  <c r="P26" i="3"/>
  <c r="H27" i="3"/>
  <c r="I27" i="3"/>
  <c r="J27" i="3"/>
  <c r="K27" i="3"/>
  <c r="L27" i="3"/>
  <c r="M27" i="3"/>
  <c r="N27" i="3"/>
  <c r="O27" i="3"/>
  <c r="P27" i="3"/>
  <c r="H28" i="3"/>
  <c r="I28" i="3"/>
  <c r="J28" i="3"/>
  <c r="K28" i="3"/>
  <c r="L28" i="3"/>
  <c r="M28" i="3"/>
  <c r="N28" i="3"/>
  <c r="O28" i="3"/>
  <c r="P28" i="3"/>
  <c r="H29" i="3"/>
  <c r="I29" i="3"/>
  <c r="J29" i="3"/>
  <c r="K29" i="3"/>
  <c r="L29" i="3"/>
  <c r="M29" i="3"/>
  <c r="N29" i="3"/>
  <c r="O29" i="3"/>
  <c r="P29" i="3"/>
  <c r="H30" i="3"/>
  <c r="I30" i="3"/>
  <c r="J30" i="3"/>
  <c r="K30" i="3"/>
  <c r="L30" i="3"/>
  <c r="M30" i="3"/>
  <c r="N30" i="3"/>
  <c r="O30" i="3"/>
  <c r="P30" i="3"/>
  <c r="H31" i="3"/>
  <c r="I31" i="3"/>
  <c r="J31" i="3"/>
  <c r="K31" i="3"/>
  <c r="L31" i="3"/>
  <c r="M31" i="3"/>
  <c r="N31" i="3"/>
  <c r="O31" i="3"/>
  <c r="P31" i="3"/>
  <c r="H32" i="3"/>
  <c r="I32" i="3"/>
  <c r="J32" i="3"/>
  <c r="K32" i="3"/>
  <c r="L32" i="3"/>
  <c r="M32" i="3"/>
  <c r="N32" i="3"/>
  <c r="O32" i="3"/>
  <c r="P32" i="3"/>
  <c r="H33" i="3"/>
  <c r="I33" i="3"/>
  <c r="J33" i="3"/>
  <c r="K33" i="3"/>
  <c r="L33" i="3"/>
  <c r="M33" i="3"/>
  <c r="N33" i="3"/>
  <c r="O33" i="3"/>
  <c r="P33" i="3"/>
  <c r="H34" i="3"/>
  <c r="I34" i="3"/>
  <c r="J34" i="3"/>
  <c r="K34" i="3"/>
  <c r="L34" i="3"/>
  <c r="M34" i="3"/>
  <c r="N34" i="3"/>
  <c r="O34" i="3"/>
  <c r="P34" i="3"/>
  <c r="H35" i="3"/>
  <c r="I35" i="3"/>
  <c r="J35" i="3"/>
  <c r="K35" i="3"/>
  <c r="L35" i="3"/>
  <c r="M35" i="3"/>
  <c r="N35" i="3"/>
  <c r="O35" i="3"/>
  <c r="P35" i="3"/>
  <c r="H36" i="3"/>
  <c r="I36" i="3"/>
  <c r="J36" i="3"/>
  <c r="K36" i="3"/>
  <c r="L36" i="3"/>
  <c r="M36" i="3"/>
  <c r="N36" i="3"/>
  <c r="O36" i="3"/>
  <c r="P36" i="3"/>
  <c r="H37" i="3"/>
  <c r="I37" i="3"/>
  <c r="J37" i="3"/>
  <c r="K37" i="3"/>
  <c r="L37" i="3"/>
  <c r="M37" i="3"/>
  <c r="N37" i="3"/>
  <c r="O37" i="3"/>
  <c r="P37" i="3"/>
  <c r="H38" i="3"/>
  <c r="I38" i="3"/>
  <c r="J38" i="3"/>
  <c r="K38" i="3"/>
  <c r="L38" i="3"/>
  <c r="M38" i="3"/>
  <c r="N38" i="3"/>
  <c r="O38" i="3"/>
  <c r="P38" i="3"/>
  <c r="H39" i="3"/>
  <c r="I39" i="3"/>
  <c r="J39" i="3"/>
  <c r="K39" i="3"/>
  <c r="L39" i="3"/>
  <c r="M39" i="3"/>
  <c r="N39" i="3"/>
  <c r="O39" i="3"/>
  <c r="P39" i="3"/>
  <c r="H40" i="3"/>
  <c r="I40" i="3"/>
  <c r="J40" i="3"/>
  <c r="K40" i="3"/>
  <c r="L40" i="3"/>
  <c r="M40" i="3"/>
  <c r="N40" i="3"/>
  <c r="O40" i="3"/>
  <c r="P40" i="3"/>
  <c r="H41" i="3"/>
  <c r="I41" i="3"/>
  <c r="J41" i="3"/>
  <c r="K41" i="3"/>
  <c r="L41" i="3"/>
  <c r="M41" i="3"/>
  <c r="N41" i="3"/>
  <c r="O41" i="3"/>
  <c r="P41" i="3"/>
  <c r="H42" i="3"/>
  <c r="I42" i="3"/>
  <c r="J42" i="3"/>
  <c r="K42" i="3"/>
  <c r="L42" i="3"/>
  <c r="M42" i="3"/>
  <c r="N42" i="3"/>
  <c r="O42" i="3"/>
  <c r="P42" i="3"/>
  <c r="H43" i="3"/>
  <c r="I43" i="3"/>
  <c r="J43" i="3"/>
  <c r="K43" i="3"/>
  <c r="L43" i="3"/>
  <c r="M43" i="3"/>
  <c r="N43" i="3"/>
  <c r="O43" i="3"/>
  <c r="P43" i="3"/>
  <c r="H44" i="3"/>
  <c r="I44" i="3"/>
  <c r="J44" i="3"/>
  <c r="K44" i="3"/>
  <c r="L44" i="3"/>
  <c r="M44" i="3"/>
  <c r="N44" i="3"/>
  <c r="O44" i="3"/>
  <c r="P44" i="3"/>
  <c r="H45" i="3"/>
  <c r="I45" i="3"/>
  <c r="J45" i="3"/>
  <c r="K45" i="3"/>
  <c r="L45" i="3"/>
  <c r="M45" i="3"/>
  <c r="N45" i="3"/>
  <c r="O45" i="3"/>
  <c r="P45" i="3"/>
  <c r="H46" i="3"/>
  <c r="I46" i="3"/>
  <c r="J46" i="3"/>
  <c r="K46" i="3"/>
  <c r="L46" i="3"/>
  <c r="M46" i="3"/>
  <c r="N46" i="3"/>
  <c r="O46" i="3"/>
  <c r="P46" i="3"/>
  <c r="H47" i="3"/>
  <c r="I47" i="3"/>
  <c r="J47" i="3"/>
  <c r="K47" i="3"/>
  <c r="L47" i="3"/>
  <c r="M47" i="3"/>
  <c r="N47" i="3"/>
  <c r="O47" i="3"/>
  <c r="P47" i="3"/>
  <c r="H48" i="3"/>
  <c r="I48" i="3"/>
  <c r="J48" i="3"/>
  <c r="K48" i="3"/>
  <c r="L48" i="3"/>
  <c r="M48" i="3"/>
  <c r="N48" i="3"/>
  <c r="O48" i="3"/>
  <c r="P48" i="3"/>
  <c r="H49" i="3"/>
  <c r="I49" i="3"/>
  <c r="J49" i="3"/>
  <c r="K49" i="3"/>
  <c r="L49" i="3"/>
  <c r="M49" i="3"/>
  <c r="N49" i="3"/>
  <c r="O49" i="3"/>
  <c r="P49" i="3"/>
  <c r="H50" i="3"/>
  <c r="I50" i="3"/>
  <c r="J50" i="3"/>
  <c r="K50" i="3"/>
  <c r="L50" i="3"/>
  <c r="M50" i="3"/>
  <c r="N50" i="3"/>
  <c r="O50" i="3"/>
  <c r="P50" i="3"/>
  <c r="H51" i="3"/>
  <c r="I51" i="3"/>
  <c r="J51" i="3"/>
  <c r="K51" i="3"/>
  <c r="L51" i="3"/>
  <c r="M51" i="3"/>
  <c r="N51" i="3"/>
  <c r="O51" i="3"/>
  <c r="P51" i="3"/>
  <c r="H52" i="3"/>
  <c r="I52" i="3"/>
  <c r="J52" i="3"/>
  <c r="K52" i="3"/>
  <c r="L52" i="3"/>
  <c r="M52" i="3"/>
  <c r="N52" i="3"/>
  <c r="O52" i="3"/>
  <c r="P52" i="3"/>
  <c r="H53" i="3"/>
  <c r="I53" i="3"/>
  <c r="J53" i="3"/>
  <c r="K53" i="3"/>
  <c r="L53" i="3"/>
  <c r="M53" i="3"/>
  <c r="N53" i="3"/>
  <c r="O53" i="3"/>
  <c r="P53" i="3"/>
  <c r="H54" i="3"/>
  <c r="I54" i="3"/>
  <c r="J54" i="3"/>
  <c r="K54" i="3"/>
  <c r="L54" i="3"/>
  <c r="M54" i="3"/>
  <c r="N54" i="3"/>
  <c r="O54" i="3"/>
  <c r="P54" i="3"/>
  <c r="H55" i="3"/>
  <c r="I55" i="3"/>
  <c r="J55" i="3"/>
  <c r="K55" i="3"/>
  <c r="L55" i="3"/>
  <c r="M55" i="3"/>
  <c r="N55" i="3"/>
  <c r="O55" i="3"/>
  <c r="P55" i="3"/>
  <c r="H56" i="3"/>
  <c r="I56" i="3"/>
  <c r="J56" i="3"/>
  <c r="K56" i="3"/>
  <c r="L56" i="3"/>
  <c r="M56" i="3"/>
  <c r="N56" i="3"/>
  <c r="O56" i="3"/>
  <c r="P56" i="3"/>
  <c r="H57" i="3"/>
  <c r="I57" i="3"/>
  <c r="J57" i="3"/>
  <c r="K57" i="3"/>
  <c r="L57" i="3"/>
  <c r="M57" i="3"/>
  <c r="N57" i="3"/>
  <c r="O57" i="3"/>
  <c r="P57" i="3"/>
  <c r="H58" i="3"/>
  <c r="I58" i="3"/>
  <c r="J58" i="3"/>
  <c r="K58" i="3"/>
  <c r="L58" i="3"/>
  <c r="M58" i="3"/>
  <c r="N58" i="3"/>
  <c r="O58" i="3"/>
  <c r="P58" i="3"/>
  <c r="H59" i="3"/>
  <c r="I59" i="3"/>
  <c r="J59" i="3"/>
  <c r="K59" i="3"/>
  <c r="L59" i="3"/>
  <c r="M59" i="3"/>
  <c r="N59" i="3"/>
  <c r="O59" i="3"/>
  <c r="P59" i="3"/>
  <c r="H60" i="3"/>
  <c r="I60" i="3"/>
  <c r="J60" i="3"/>
  <c r="K60" i="3"/>
  <c r="L60" i="3"/>
  <c r="M60" i="3"/>
  <c r="N60" i="3"/>
  <c r="O60" i="3"/>
  <c r="P60" i="3"/>
  <c r="H61" i="3"/>
  <c r="I61" i="3"/>
  <c r="J61" i="3"/>
  <c r="K61" i="3"/>
  <c r="L61" i="3"/>
  <c r="M61" i="3"/>
  <c r="N61" i="3"/>
  <c r="O61" i="3"/>
  <c r="P61" i="3"/>
  <c r="H62" i="3"/>
  <c r="I62" i="3"/>
  <c r="J62" i="3"/>
  <c r="K62" i="3"/>
  <c r="L62" i="3"/>
  <c r="M62" i="3"/>
  <c r="N62" i="3"/>
  <c r="O62" i="3"/>
  <c r="P62" i="3"/>
  <c r="H63" i="3"/>
  <c r="I63" i="3"/>
  <c r="J63" i="3"/>
  <c r="K63" i="3"/>
  <c r="L63" i="3"/>
  <c r="M63" i="3"/>
  <c r="N63" i="3"/>
  <c r="O63" i="3"/>
  <c r="P63" i="3"/>
  <c r="H64" i="3"/>
  <c r="I64" i="3"/>
  <c r="J64" i="3"/>
  <c r="K64" i="3"/>
  <c r="L64" i="3"/>
  <c r="M64" i="3"/>
  <c r="N64" i="3"/>
  <c r="O64" i="3"/>
  <c r="P64" i="3"/>
  <c r="H65" i="3"/>
  <c r="I65" i="3"/>
  <c r="J65" i="3"/>
  <c r="K65" i="3"/>
  <c r="L65" i="3"/>
  <c r="M65" i="3"/>
  <c r="N65" i="3"/>
  <c r="O65" i="3"/>
  <c r="P65" i="3"/>
  <c r="H66" i="3"/>
  <c r="I66" i="3"/>
  <c r="J66" i="3"/>
  <c r="K66" i="3"/>
  <c r="L66" i="3"/>
  <c r="M66" i="3"/>
  <c r="N66" i="3"/>
  <c r="O66" i="3"/>
  <c r="P66" i="3"/>
  <c r="H67" i="3"/>
  <c r="I67" i="3"/>
  <c r="J67" i="3"/>
  <c r="K67" i="3"/>
  <c r="L67" i="3"/>
  <c r="M67" i="3"/>
  <c r="N67" i="3"/>
  <c r="O67" i="3"/>
  <c r="P67" i="3"/>
  <c r="H68" i="3"/>
  <c r="I68" i="3"/>
  <c r="J68" i="3"/>
  <c r="K68" i="3"/>
  <c r="L68" i="3"/>
  <c r="M68" i="3"/>
  <c r="N68" i="3"/>
  <c r="O68" i="3"/>
  <c r="P68" i="3"/>
  <c r="H69" i="3"/>
  <c r="I69" i="3"/>
  <c r="J69" i="3"/>
  <c r="K69" i="3"/>
  <c r="L69" i="3"/>
  <c r="M69" i="3"/>
  <c r="N69" i="3"/>
  <c r="O69" i="3"/>
  <c r="P69" i="3"/>
  <c r="H70" i="3"/>
  <c r="I70" i="3"/>
  <c r="J70" i="3"/>
  <c r="K70" i="3"/>
  <c r="L70" i="3"/>
  <c r="M70" i="3"/>
  <c r="N70" i="3"/>
  <c r="O70" i="3"/>
  <c r="P70" i="3"/>
  <c r="H71" i="3"/>
  <c r="I71" i="3"/>
  <c r="J71" i="3"/>
  <c r="K71" i="3"/>
  <c r="L71" i="3"/>
  <c r="M71" i="3"/>
  <c r="N71" i="3"/>
  <c r="O71" i="3"/>
  <c r="P71" i="3"/>
  <c r="H72" i="3"/>
  <c r="I72" i="3"/>
  <c r="J72" i="3"/>
  <c r="K72" i="3"/>
  <c r="L72" i="3"/>
  <c r="M72" i="3"/>
  <c r="N72" i="3"/>
  <c r="O72" i="3"/>
  <c r="P72" i="3"/>
  <c r="H73" i="3"/>
  <c r="I73" i="3"/>
  <c r="J73" i="3"/>
  <c r="K73" i="3"/>
  <c r="L73" i="3"/>
  <c r="M73" i="3"/>
  <c r="N73" i="3"/>
  <c r="O73" i="3"/>
  <c r="P73" i="3"/>
  <c r="H74" i="3"/>
  <c r="I74" i="3"/>
  <c r="J74" i="3"/>
  <c r="K74" i="3"/>
  <c r="L74" i="3"/>
  <c r="M74" i="3"/>
  <c r="N74" i="3"/>
  <c r="O74" i="3"/>
  <c r="P74" i="3"/>
  <c r="H75" i="3"/>
  <c r="I75" i="3"/>
  <c r="J75" i="3"/>
  <c r="K75" i="3"/>
  <c r="L75" i="3"/>
  <c r="M75" i="3"/>
  <c r="N75" i="3"/>
  <c r="O75" i="3"/>
  <c r="P75" i="3"/>
  <c r="H76" i="3"/>
  <c r="I76" i="3"/>
  <c r="J76" i="3"/>
  <c r="K76" i="3"/>
  <c r="L76" i="3"/>
  <c r="M76" i="3"/>
  <c r="N76" i="3"/>
  <c r="O76" i="3"/>
  <c r="P76" i="3"/>
  <c r="H77" i="3"/>
  <c r="I77" i="3"/>
  <c r="J77" i="3"/>
  <c r="K77" i="3"/>
  <c r="L77" i="3"/>
  <c r="M77" i="3"/>
  <c r="N77" i="3"/>
  <c r="O77" i="3"/>
  <c r="P77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P5" i="3"/>
  <c r="O5" i="3"/>
  <c r="N5" i="3"/>
  <c r="M5" i="3"/>
  <c r="L5" i="3"/>
  <c r="K5" i="3"/>
  <c r="J5" i="3"/>
  <c r="I5" i="3"/>
  <c r="H5" i="3"/>
  <c r="G5" i="3"/>
  <c r="F5" i="3"/>
  <c r="S6" i="1" l="1"/>
  <c r="S6" i="3" s="1"/>
  <c r="S7" i="1"/>
  <c r="S7" i="3" s="1"/>
  <c r="S8" i="1"/>
  <c r="S8" i="3" s="1"/>
  <c r="S9" i="1"/>
  <c r="S9" i="3" s="1"/>
  <c r="S10" i="1"/>
  <c r="S10" i="3" s="1"/>
  <c r="S11" i="1"/>
  <c r="S11" i="3" s="1"/>
  <c r="S12" i="1"/>
  <c r="S12" i="3" s="1"/>
  <c r="S13" i="1"/>
  <c r="S13" i="3" s="1"/>
  <c r="S14" i="1"/>
  <c r="S14" i="3" s="1"/>
  <c r="S15" i="1"/>
  <c r="S15" i="3" s="1"/>
  <c r="S16" i="1"/>
  <c r="S16" i="3" s="1"/>
  <c r="S17" i="1"/>
  <c r="S17" i="3" s="1"/>
  <c r="S18" i="1"/>
  <c r="S18" i="3" s="1"/>
  <c r="S19" i="1"/>
  <c r="S19" i="3" s="1"/>
  <c r="S20" i="1"/>
  <c r="S20" i="3" s="1"/>
  <c r="S21" i="1"/>
  <c r="S21" i="3" s="1"/>
  <c r="S22" i="1"/>
  <c r="S22" i="3" s="1"/>
  <c r="S23" i="1"/>
  <c r="S23" i="3" s="1"/>
  <c r="S24" i="1"/>
  <c r="S24" i="3" s="1"/>
  <c r="S25" i="1"/>
  <c r="S25" i="3" s="1"/>
  <c r="S26" i="1"/>
  <c r="S26" i="3" s="1"/>
  <c r="S27" i="1"/>
  <c r="S27" i="3" s="1"/>
  <c r="S28" i="1"/>
  <c r="S28" i="3" s="1"/>
  <c r="S29" i="1"/>
  <c r="S29" i="3" s="1"/>
  <c r="S30" i="1"/>
  <c r="S30" i="3" s="1"/>
  <c r="S31" i="1"/>
  <c r="S31" i="3" s="1"/>
  <c r="S32" i="1"/>
  <c r="S32" i="3" s="1"/>
  <c r="S33" i="1"/>
  <c r="S33" i="3" s="1"/>
  <c r="S34" i="1"/>
  <c r="S34" i="3" s="1"/>
  <c r="S35" i="1"/>
  <c r="S35" i="3" s="1"/>
  <c r="S36" i="1"/>
  <c r="S36" i="3" s="1"/>
  <c r="S37" i="1"/>
  <c r="S37" i="3" s="1"/>
  <c r="S38" i="1"/>
  <c r="S38" i="3" s="1"/>
  <c r="S39" i="1"/>
  <c r="S39" i="3" s="1"/>
  <c r="S40" i="1"/>
  <c r="S40" i="3" s="1"/>
  <c r="S41" i="1"/>
  <c r="S41" i="3" s="1"/>
  <c r="S42" i="1"/>
  <c r="S42" i="3" s="1"/>
  <c r="S43" i="1"/>
  <c r="S43" i="3" s="1"/>
  <c r="S44" i="1"/>
  <c r="S44" i="3" s="1"/>
  <c r="S45" i="1"/>
  <c r="S45" i="3" s="1"/>
  <c r="S46" i="1"/>
  <c r="S46" i="3" s="1"/>
  <c r="S47" i="1"/>
  <c r="S47" i="3" s="1"/>
  <c r="S48" i="1"/>
  <c r="S48" i="3" s="1"/>
  <c r="S49" i="1"/>
  <c r="S49" i="3" s="1"/>
  <c r="S50" i="1"/>
  <c r="S50" i="3" s="1"/>
  <c r="S51" i="1"/>
  <c r="S51" i="3" s="1"/>
  <c r="S52" i="1"/>
  <c r="S52" i="3" s="1"/>
  <c r="S53" i="1"/>
  <c r="S53" i="3" s="1"/>
  <c r="S54" i="1"/>
  <c r="S54" i="3" s="1"/>
  <c r="S55" i="1"/>
  <c r="S55" i="3" s="1"/>
  <c r="S56" i="1"/>
  <c r="S56" i="3" s="1"/>
  <c r="S57" i="1"/>
  <c r="S57" i="3" s="1"/>
  <c r="S58" i="1"/>
  <c r="S58" i="3" s="1"/>
  <c r="S59" i="1"/>
  <c r="S59" i="3" s="1"/>
  <c r="S60" i="1"/>
  <c r="S60" i="3" s="1"/>
  <c r="S61" i="1"/>
  <c r="S61" i="3" s="1"/>
  <c r="S62" i="1"/>
  <c r="S62" i="3" s="1"/>
  <c r="S63" i="1"/>
  <c r="S63" i="3" s="1"/>
  <c r="S64" i="1"/>
  <c r="S64" i="3" s="1"/>
  <c r="S65" i="1"/>
  <c r="S65" i="3" s="1"/>
  <c r="S66" i="1"/>
  <c r="S66" i="3" s="1"/>
  <c r="S67" i="1"/>
  <c r="S67" i="3" s="1"/>
  <c r="S68" i="1"/>
  <c r="S68" i="3" s="1"/>
  <c r="S69" i="1"/>
  <c r="S69" i="3" s="1"/>
  <c r="S70" i="1"/>
  <c r="S70" i="3" s="1"/>
  <c r="S71" i="1"/>
  <c r="S71" i="3" s="1"/>
  <c r="S72" i="1"/>
  <c r="S72" i="3" s="1"/>
  <c r="S73" i="1"/>
  <c r="S73" i="3" s="1"/>
  <c r="S74" i="1"/>
  <c r="S74" i="3" s="1"/>
  <c r="S75" i="1"/>
  <c r="S75" i="3" s="1"/>
  <c r="S76" i="1"/>
  <c r="S76" i="3" s="1"/>
  <c r="S77" i="1"/>
  <c r="S77" i="3" s="1"/>
  <c r="S5" i="1"/>
  <c r="S81" i="1" l="1"/>
  <c r="S82" i="1"/>
  <c r="S80" i="1"/>
  <c r="S5" i="3"/>
  <c r="R6" i="1"/>
  <c r="R6" i="3" s="1"/>
  <c r="R7" i="1"/>
  <c r="R7" i="3" s="1"/>
  <c r="R8" i="1"/>
  <c r="R8" i="3" s="1"/>
  <c r="R9" i="1"/>
  <c r="R9" i="3" s="1"/>
  <c r="R10" i="1"/>
  <c r="R10" i="3" s="1"/>
  <c r="R11" i="1"/>
  <c r="R11" i="3" s="1"/>
  <c r="R12" i="1"/>
  <c r="R12" i="3" s="1"/>
  <c r="R13" i="1"/>
  <c r="R13" i="3" s="1"/>
  <c r="R14" i="1"/>
  <c r="R14" i="3" s="1"/>
  <c r="R15" i="1"/>
  <c r="R15" i="3" s="1"/>
  <c r="R16" i="1"/>
  <c r="R16" i="3" s="1"/>
  <c r="R17" i="1"/>
  <c r="R17" i="3" s="1"/>
  <c r="R18" i="1"/>
  <c r="R18" i="3" s="1"/>
  <c r="R19" i="1"/>
  <c r="R19" i="3" s="1"/>
  <c r="R20" i="1"/>
  <c r="R20" i="3" s="1"/>
  <c r="R21" i="1"/>
  <c r="R21" i="3" s="1"/>
  <c r="R22" i="1"/>
  <c r="R22" i="3" s="1"/>
  <c r="R23" i="1"/>
  <c r="R23" i="3" s="1"/>
  <c r="R24" i="1"/>
  <c r="R24" i="3" s="1"/>
  <c r="R25" i="1"/>
  <c r="R25" i="3" s="1"/>
  <c r="R26" i="1"/>
  <c r="R26" i="3" s="1"/>
  <c r="R27" i="1"/>
  <c r="R27" i="3" s="1"/>
  <c r="R28" i="1"/>
  <c r="R28" i="3" s="1"/>
  <c r="R29" i="1"/>
  <c r="R29" i="3" s="1"/>
  <c r="R30" i="1"/>
  <c r="R30" i="3" s="1"/>
  <c r="R31" i="1"/>
  <c r="R31" i="3" s="1"/>
  <c r="R32" i="1"/>
  <c r="R32" i="3" s="1"/>
  <c r="R33" i="1"/>
  <c r="R33" i="3" s="1"/>
  <c r="R34" i="1"/>
  <c r="R34" i="3" s="1"/>
  <c r="R35" i="1"/>
  <c r="R35" i="3" s="1"/>
  <c r="R36" i="1"/>
  <c r="R36" i="3" s="1"/>
  <c r="R37" i="1"/>
  <c r="R37" i="3" s="1"/>
  <c r="R38" i="1"/>
  <c r="R38" i="3" s="1"/>
  <c r="R39" i="1"/>
  <c r="R39" i="3" s="1"/>
  <c r="R40" i="1"/>
  <c r="R40" i="3" s="1"/>
  <c r="R41" i="1"/>
  <c r="R41" i="3" s="1"/>
  <c r="R42" i="1"/>
  <c r="R42" i="3" s="1"/>
  <c r="R43" i="1"/>
  <c r="R43" i="3" s="1"/>
  <c r="R44" i="1"/>
  <c r="R44" i="3" s="1"/>
  <c r="R45" i="1"/>
  <c r="R45" i="3" s="1"/>
  <c r="R46" i="1"/>
  <c r="R46" i="3" s="1"/>
  <c r="R47" i="1"/>
  <c r="R47" i="3" s="1"/>
  <c r="R48" i="1"/>
  <c r="R48" i="3" s="1"/>
  <c r="R49" i="1"/>
  <c r="R49" i="3" s="1"/>
  <c r="R50" i="1"/>
  <c r="R50" i="3" s="1"/>
  <c r="R51" i="1"/>
  <c r="R51" i="3" s="1"/>
  <c r="R52" i="1"/>
  <c r="R52" i="3" s="1"/>
  <c r="R53" i="1"/>
  <c r="R53" i="3" s="1"/>
  <c r="R54" i="1"/>
  <c r="R54" i="3" s="1"/>
  <c r="R55" i="1"/>
  <c r="R55" i="3" s="1"/>
  <c r="R56" i="1"/>
  <c r="R56" i="3" s="1"/>
  <c r="R57" i="1"/>
  <c r="R57" i="3" s="1"/>
  <c r="R58" i="1"/>
  <c r="R58" i="3" s="1"/>
  <c r="R59" i="1"/>
  <c r="R59" i="3" s="1"/>
  <c r="R60" i="1"/>
  <c r="R60" i="3" s="1"/>
  <c r="R61" i="1"/>
  <c r="R61" i="3" s="1"/>
  <c r="R62" i="1"/>
  <c r="R62" i="3" s="1"/>
  <c r="R63" i="1"/>
  <c r="R63" i="3" s="1"/>
  <c r="R64" i="1"/>
  <c r="R64" i="3" s="1"/>
  <c r="R65" i="1"/>
  <c r="R65" i="3" s="1"/>
  <c r="R66" i="1"/>
  <c r="R66" i="3" s="1"/>
  <c r="R67" i="1"/>
  <c r="R67" i="3" s="1"/>
  <c r="R68" i="1"/>
  <c r="R68" i="3" s="1"/>
  <c r="R69" i="1"/>
  <c r="R69" i="3" s="1"/>
  <c r="R70" i="1"/>
  <c r="R70" i="3" s="1"/>
  <c r="R71" i="1"/>
  <c r="R71" i="3" s="1"/>
  <c r="R72" i="1"/>
  <c r="R72" i="3" s="1"/>
  <c r="R73" i="1"/>
  <c r="R73" i="3" s="1"/>
  <c r="R74" i="1"/>
  <c r="R74" i="3" s="1"/>
  <c r="R75" i="1"/>
  <c r="R75" i="3" s="1"/>
  <c r="R76" i="1"/>
  <c r="R76" i="3" s="1"/>
  <c r="R77" i="1"/>
  <c r="R77" i="3" s="1"/>
  <c r="R5" i="1"/>
  <c r="R81" i="1" l="1"/>
  <c r="R82" i="1"/>
  <c r="R80" i="1"/>
  <c r="R5" i="3"/>
  <c r="Q26" i="1"/>
  <c r="Q26" i="3" s="1"/>
  <c r="Q5" i="1"/>
  <c r="Q6" i="1"/>
  <c r="Q6" i="3" s="1"/>
  <c r="Q7" i="1"/>
  <c r="Q7" i="3" s="1"/>
  <c r="Q8" i="1"/>
  <c r="Q8" i="3" s="1"/>
  <c r="Q9" i="1"/>
  <c r="Q9" i="3" s="1"/>
  <c r="Q10" i="1"/>
  <c r="Q10" i="3" s="1"/>
  <c r="Q11" i="1"/>
  <c r="Q11" i="3" s="1"/>
  <c r="Q12" i="1"/>
  <c r="Q12" i="3" s="1"/>
  <c r="Q13" i="1"/>
  <c r="Q13" i="3" s="1"/>
  <c r="Q14" i="1"/>
  <c r="Q14" i="3" s="1"/>
  <c r="Q15" i="1"/>
  <c r="Q15" i="3" s="1"/>
  <c r="Q16" i="1"/>
  <c r="Q16" i="3" s="1"/>
  <c r="Q17" i="1"/>
  <c r="Q17" i="3" s="1"/>
  <c r="Q18" i="1"/>
  <c r="Q18" i="3" s="1"/>
  <c r="Q19" i="1"/>
  <c r="Q19" i="3" s="1"/>
  <c r="Q20" i="1"/>
  <c r="Q20" i="3" s="1"/>
  <c r="Q21" i="1"/>
  <c r="Q21" i="3" s="1"/>
  <c r="Q22" i="1"/>
  <c r="Q22" i="3" s="1"/>
  <c r="Q23" i="1"/>
  <c r="Q23" i="3" s="1"/>
  <c r="Q24" i="1"/>
  <c r="Q24" i="3" s="1"/>
  <c r="Q25" i="1"/>
  <c r="Q25" i="3" s="1"/>
  <c r="Q27" i="1"/>
  <c r="Q27" i="3" s="1"/>
  <c r="Q28" i="1"/>
  <c r="Q28" i="3" s="1"/>
  <c r="Q29" i="1"/>
  <c r="Q29" i="3" s="1"/>
  <c r="Q30" i="1"/>
  <c r="Q30" i="3" s="1"/>
  <c r="Q31" i="1"/>
  <c r="Q31" i="3" s="1"/>
  <c r="Q32" i="1"/>
  <c r="Q32" i="3" s="1"/>
  <c r="Q33" i="1"/>
  <c r="Q33" i="3" s="1"/>
  <c r="Q34" i="1"/>
  <c r="Q34" i="3" s="1"/>
  <c r="Q35" i="1"/>
  <c r="Q35" i="3" s="1"/>
  <c r="Q36" i="1"/>
  <c r="Q36" i="3" s="1"/>
  <c r="Q37" i="1"/>
  <c r="Q37" i="3" s="1"/>
  <c r="Q38" i="1"/>
  <c r="Q38" i="3" s="1"/>
  <c r="Q39" i="1"/>
  <c r="Q39" i="3" s="1"/>
  <c r="Q40" i="1"/>
  <c r="Q40" i="3" s="1"/>
  <c r="Q41" i="1"/>
  <c r="Q41" i="3" s="1"/>
  <c r="Q42" i="1"/>
  <c r="Q42" i="3" s="1"/>
  <c r="Q43" i="1"/>
  <c r="Q43" i="3" s="1"/>
  <c r="Q44" i="1"/>
  <c r="Q44" i="3" s="1"/>
  <c r="Q45" i="1"/>
  <c r="Q45" i="3" s="1"/>
  <c r="Q46" i="1"/>
  <c r="Q46" i="3" s="1"/>
  <c r="Q47" i="1"/>
  <c r="Q47" i="3" s="1"/>
  <c r="Q48" i="1"/>
  <c r="Q48" i="3" s="1"/>
  <c r="Q49" i="1"/>
  <c r="Q49" i="3" s="1"/>
  <c r="Q50" i="1"/>
  <c r="Q50" i="3" s="1"/>
  <c r="Q51" i="1"/>
  <c r="Q51" i="3" s="1"/>
  <c r="Q52" i="1"/>
  <c r="Q52" i="3" s="1"/>
  <c r="Q53" i="1"/>
  <c r="Q53" i="3" s="1"/>
  <c r="Q54" i="1"/>
  <c r="Q54" i="3" s="1"/>
  <c r="Q55" i="1"/>
  <c r="Q55" i="3" s="1"/>
  <c r="Q56" i="1"/>
  <c r="Q56" i="3" s="1"/>
  <c r="Q57" i="1"/>
  <c r="Q57" i="3" s="1"/>
  <c r="Q58" i="1"/>
  <c r="Q58" i="3" s="1"/>
  <c r="Q59" i="1"/>
  <c r="Q59" i="3" s="1"/>
  <c r="Q60" i="1"/>
  <c r="Q60" i="3" s="1"/>
  <c r="Q61" i="1"/>
  <c r="Q61" i="3" s="1"/>
  <c r="Q62" i="1"/>
  <c r="Q62" i="3" s="1"/>
  <c r="Q63" i="1"/>
  <c r="Q63" i="3" s="1"/>
  <c r="Q64" i="1"/>
  <c r="Q64" i="3" s="1"/>
  <c r="Q65" i="1"/>
  <c r="Q65" i="3" s="1"/>
  <c r="Q66" i="1"/>
  <c r="Q66" i="3" s="1"/>
  <c r="Q67" i="1"/>
  <c r="Q67" i="3" s="1"/>
  <c r="Q68" i="1"/>
  <c r="Q68" i="3" s="1"/>
  <c r="Q69" i="1"/>
  <c r="Q69" i="3" s="1"/>
  <c r="Q70" i="1"/>
  <c r="Q70" i="3" s="1"/>
  <c r="Q71" i="1"/>
  <c r="Q71" i="3" s="1"/>
  <c r="Q72" i="1"/>
  <c r="Q72" i="3" s="1"/>
  <c r="Q73" i="1"/>
  <c r="Q73" i="3" s="1"/>
  <c r="Q74" i="1"/>
  <c r="Q74" i="3" s="1"/>
  <c r="Q75" i="1"/>
  <c r="Q75" i="3" s="1"/>
  <c r="Q76" i="1"/>
  <c r="Q76" i="3" s="1"/>
  <c r="Q77" i="1"/>
  <c r="Q77" i="3" s="1"/>
  <c r="Q82" i="1" l="1"/>
  <c r="U82" i="1" s="1"/>
  <c r="Q5" i="3"/>
  <c r="Q80" i="1"/>
  <c r="U80" i="1" s="1"/>
  <c r="Q81" i="1"/>
  <c r="U81" i="1" s="1"/>
  <c r="T70" i="3"/>
  <c r="W70" i="3" s="1"/>
  <c r="T44" i="3"/>
  <c r="W44" i="3" s="1"/>
  <c r="T25" i="3"/>
  <c r="W25" i="3" s="1"/>
  <c r="U55" i="1"/>
  <c r="U55" i="3" s="1"/>
  <c r="T55" i="3" s="1"/>
  <c r="W55" i="3" s="1"/>
  <c r="U6" i="1"/>
  <c r="U6" i="3" s="1"/>
  <c r="T6" i="3" s="1"/>
  <c r="W6" i="3" s="1"/>
  <c r="U57" i="1"/>
  <c r="U57" i="3" s="1"/>
  <c r="T57" i="3" s="1"/>
  <c r="W57" i="3" s="1"/>
  <c r="U22" i="1"/>
  <c r="U22" i="3" s="1"/>
  <c r="T22" i="3" s="1"/>
  <c r="W22" i="3" s="1"/>
  <c r="U11" i="1"/>
  <c r="U11" i="3" s="1"/>
  <c r="T11" i="3" s="1"/>
  <c r="W11" i="3" s="1"/>
  <c r="U68" i="1"/>
  <c r="U68" i="3" s="1"/>
  <c r="T68" i="3" s="1"/>
  <c r="W68" i="3" s="1"/>
  <c r="U13" i="1"/>
  <c r="U13" i="3" s="1"/>
  <c r="T13" i="3" s="1"/>
  <c r="W13" i="3" s="1"/>
  <c r="U36" i="1"/>
  <c r="U36" i="3" s="1"/>
  <c r="T36" i="3" s="1"/>
  <c r="W36" i="3" s="1"/>
  <c r="U72" i="1"/>
  <c r="U72" i="3" s="1"/>
  <c r="T72" i="3" s="1"/>
  <c r="W72" i="3" s="1"/>
  <c r="U56" i="1"/>
  <c r="U56" i="3" s="1"/>
  <c r="T56" i="3" s="1"/>
  <c r="W56" i="3" s="1"/>
  <c r="U64" i="1"/>
  <c r="U64" i="3" s="1"/>
  <c r="T64" i="3" s="1"/>
  <c r="W64" i="3" s="1"/>
  <c r="U76" i="1"/>
  <c r="U76" i="3" s="1"/>
  <c r="T76" i="3" s="1"/>
  <c r="W76" i="3" s="1"/>
  <c r="U9" i="1"/>
  <c r="U9" i="3" s="1"/>
  <c r="T9" i="3" s="1"/>
  <c r="W9" i="3" s="1"/>
  <c r="U51" i="1"/>
  <c r="U51" i="3" s="1"/>
  <c r="T51" i="3" s="1"/>
  <c r="W51" i="3" s="1"/>
  <c r="U17" i="1"/>
  <c r="U17" i="3" s="1"/>
  <c r="T17" i="3" s="1"/>
  <c r="W17" i="3" s="1"/>
  <c r="U70" i="1"/>
  <c r="U70" i="3" s="1"/>
  <c r="U59" i="1"/>
  <c r="U59" i="3" s="1"/>
  <c r="T59" i="3" s="1"/>
  <c r="W59" i="3" s="1"/>
  <c r="U37" i="1"/>
  <c r="U37" i="3" s="1"/>
  <c r="T37" i="3" s="1"/>
  <c r="W37" i="3" s="1"/>
  <c r="U54" i="1"/>
  <c r="U54" i="3" s="1"/>
  <c r="T54" i="3" s="1"/>
  <c r="W54" i="3" s="1"/>
  <c r="U58" i="1"/>
  <c r="U58" i="3" s="1"/>
  <c r="T58" i="3" s="1"/>
  <c r="W58" i="3" s="1"/>
  <c r="U32" i="1"/>
  <c r="U32" i="3" s="1"/>
  <c r="T32" i="3" s="1"/>
  <c r="W32" i="3" s="1"/>
  <c r="U66" i="1"/>
  <c r="U66" i="3" s="1"/>
  <c r="T66" i="3" s="1"/>
  <c r="W66" i="3" s="1"/>
  <c r="U44" i="1"/>
  <c r="U44" i="3" s="1"/>
  <c r="U12" i="1"/>
  <c r="U12" i="3" s="1"/>
  <c r="T12" i="3" s="1"/>
  <c r="W12" i="3" s="1"/>
  <c r="U34" i="1"/>
  <c r="U34" i="3" s="1"/>
  <c r="T34" i="3" s="1"/>
  <c r="W34" i="3" s="1"/>
  <c r="U25" i="1"/>
  <c r="U25" i="3" s="1"/>
  <c r="U7" i="1"/>
  <c r="U7" i="3" s="1"/>
  <c r="T7" i="3" s="1"/>
  <c r="W7" i="3" s="1"/>
  <c r="U20" i="1"/>
  <c r="U20" i="3" s="1"/>
  <c r="T20" i="3" s="1"/>
  <c r="W20" i="3" s="1"/>
  <c r="U69" i="1"/>
  <c r="U69" i="3" s="1"/>
  <c r="T69" i="3" s="1"/>
  <c r="W69" i="3" s="1"/>
  <c r="U42" i="1"/>
  <c r="U42" i="3" s="1"/>
  <c r="T42" i="3" s="1"/>
  <c r="W42" i="3" s="1"/>
  <c r="U74" i="1"/>
  <c r="U74" i="3" s="1"/>
  <c r="T74" i="3" s="1"/>
  <c r="W74" i="3" s="1"/>
  <c r="U50" i="1"/>
  <c r="U50" i="3" s="1"/>
  <c r="T50" i="3" s="1"/>
  <c r="W50" i="3" s="1"/>
  <c r="U49" i="1"/>
  <c r="U49" i="3" s="1"/>
  <c r="T49" i="3" s="1"/>
  <c r="W49" i="3" s="1"/>
  <c r="U52" i="1"/>
  <c r="U52" i="3" s="1"/>
  <c r="T52" i="3" s="1"/>
  <c r="W52" i="3" s="1"/>
  <c r="U48" i="1"/>
  <c r="U48" i="3" s="1"/>
  <c r="T48" i="3" s="1"/>
  <c r="W48" i="3" s="1"/>
  <c r="U39" i="1"/>
  <c r="U39" i="3" s="1"/>
  <c r="T39" i="3" s="1"/>
  <c r="W39" i="3" s="1"/>
  <c r="U24" i="1"/>
  <c r="U24" i="3" s="1"/>
  <c r="T24" i="3" s="1"/>
  <c r="W24" i="3" s="1"/>
  <c r="U18" i="1"/>
  <c r="U18" i="3" s="1"/>
  <c r="T18" i="3" s="1"/>
  <c r="W18" i="3" s="1"/>
  <c r="U16" i="1"/>
  <c r="U16" i="3" s="1"/>
  <c r="T16" i="3" s="1"/>
  <c r="W16" i="3" s="1"/>
  <c r="U21" i="1"/>
  <c r="U21" i="3" s="1"/>
  <c r="T21" i="3" s="1"/>
  <c r="W21" i="3" s="1"/>
  <c r="U65" i="1"/>
  <c r="U65" i="3" s="1"/>
  <c r="T65" i="3" s="1"/>
  <c r="W65" i="3" s="1"/>
  <c r="U33" i="1"/>
  <c r="U33" i="3" s="1"/>
  <c r="T33" i="3" s="1"/>
  <c r="W33" i="3" s="1"/>
  <c r="U14" i="1"/>
  <c r="U14" i="3" s="1"/>
  <c r="T14" i="3" s="1"/>
  <c r="W14" i="3" s="1"/>
  <c r="U46" i="1"/>
  <c r="U46" i="3" s="1"/>
  <c r="T46" i="3" s="1"/>
  <c r="W46" i="3" s="1"/>
  <c r="U35" i="1"/>
  <c r="U35" i="3" s="1"/>
  <c r="T35" i="3" s="1"/>
  <c r="W35" i="3" s="1"/>
  <c r="U38" i="1"/>
  <c r="U38" i="3" s="1"/>
  <c r="T38" i="3" s="1"/>
  <c r="W38" i="3" s="1"/>
  <c r="U8" i="1"/>
  <c r="U8" i="3" s="1"/>
  <c r="T8" i="3" s="1"/>
  <c r="W8" i="3" s="1"/>
  <c r="U10" i="1"/>
  <c r="U10" i="3" s="1"/>
  <c r="T10" i="3" s="1"/>
  <c r="W10" i="3" s="1"/>
  <c r="U15" i="1"/>
  <c r="U15" i="3" s="1"/>
  <c r="T15" i="3" s="1"/>
  <c r="W15" i="3" s="1"/>
  <c r="U19" i="1"/>
  <c r="U19" i="3" s="1"/>
  <c r="T19" i="3" s="1"/>
  <c r="W19" i="3" s="1"/>
  <c r="U23" i="1"/>
  <c r="U23" i="3" s="1"/>
  <c r="T23" i="3" s="1"/>
  <c r="W23" i="3" s="1"/>
  <c r="U27" i="1"/>
  <c r="U27" i="3" s="1"/>
  <c r="T27" i="3" s="1"/>
  <c r="W27" i="3" s="1"/>
  <c r="U28" i="1"/>
  <c r="U28" i="3" s="1"/>
  <c r="T28" i="3" s="1"/>
  <c r="W28" i="3" s="1"/>
  <c r="U30" i="1"/>
  <c r="U30" i="3" s="1"/>
  <c r="T30" i="3" s="1"/>
  <c r="W30" i="3" s="1"/>
  <c r="U40" i="1"/>
  <c r="U40" i="3" s="1"/>
  <c r="T40" i="3" s="1"/>
  <c r="W40" i="3" s="1"/>
  <c r="U41" i="1"/>
  <c r="U41" i="3" s="1"/>
  <c r="T41" i="3" s="1"/>
  <c r="W41" i="3" s="1"/>
  <c r="U45" i="1"/>
  <c r="U45" i="3" s="1"/>
  <c r="T45" i="3" s="1"/>
  <c r="W45" i="3" s="1"/>
  <c r="U47" i="1"/>
  <c r="U47" i="3" s="1"/>
  <c r="T47" i="3" s="1"/>
  <c r="W47" i="3" s="1"/>
  <c r="U61" i="1"/>
  <c r="U61" i="3" s="1"/>
  <c r="T61" i="3" s="1"/>
  <c r="W61" i="3" s="1"/>
  <c r="U62" i="1"/>
  <c r="U62" i="3" s="1"/>
  <c r="T62" i="3" s="1"/>
  <c r="W62" i="3" s="1"/>
  <c r="U63" i="1"/>
  <c r="U63" i="3" s="1"/>
  <c r="T63" i="3" s="1"/>
  <c r="W63" i="3" s="1"/>
  <c r="U67" i="1"/>
  <c r="U67" i="3" s="1"/>
  <c r="T67" i="3" s="1"/>
  <c r="W67" i="3" s="1"/>
  <c r="U71" i="1"/>
  <c r="U71" i="3" s="1"/>
  <c r="T71" i="3" s="1"/>
  <c r="W71" i="3" s="1"/>
  <c r="U73" i="1"/>
  <c r="U73" i="3" s="1"/>
  <c r="T73" i="3" s="1"/>
  <c r="W73" i="3" s="1"/>
  <c r="U75" i="1"/>
  <c r="U75" i="3" s="1"/>
  <c r="T75" i="3" s="1"/>
  <c r="W75" i="3" s="1"/>
  <c r="U77" i="1"/>
  <c r="U77" i="3" s="1"/>
  <c r="T77" i="3" s="1"/>
  <c r="W77" i="3" s="1"/>
  <c r="U5" i="1"/>
  <c r="U5" i="3" s="1"/>
  <c r="U31" i="1"/>
  <c r="U31" i="3" s="1"/>
  <c r="T31" i="3" s="1"/>
  <c r="W31" i="3" s="1"/>
  <c r="T5" i="3" l="1"/>
  <c r="W5" i="3" s="1"/>
  <c r="U60" i="1"/>
  <c r="U60" i="3" s="1"/>
  <c r="T60" i="3" s="1"/>
  <c r="W60" i="3" s="1"/>
  <c r="U53" i="1"/>
  <c r="U53" i="3" s="1"/>
  <c r="T53" i="3" s="1"/>
  <c r="W53" i="3" s="1"/>
  <c r="U43" i="1"/>
  <c r="U43" i="3" s="1"/>
  <c r="T43" i="3" s="1"/>
  <c r="W43" i="3" s="1"/>
  <c r="U29" i="1"/>
  <c r="U29" i="3" s="1"/>
  <c r="T29" i="3" s="1"/>
  <c r="W29" i="3" s="1"/>
  <c r="U26" i="1" l="1"/>
  <c r="U26" i="3" s="1"/>
  <c r="T26" i="3" s="1"/>
  <c r="W26" i="3" s="1"/>
</calcChain>
</file>

<file path=xl/sharedStrings.xml><?xml version="1.0" encoding="utf-8"?>
<sst xmlns="http://schemas.openxmlformats.org/spreadsheetml/2006/main" count="331" uniqueCount="109">
  <si>
    <t>No.</t>
  </si>
  <si>
    <t>Registro</t>
  </si>
  <si>
    <t>Nombres</t>
  </si>
  <si>
    <t>Pérez Aráuz Bily Bilsen Américo</t>
  </si>
  <si>
    <t>Macario Xicara Daniel Enrique</t>
  </si>
  <si>
    <t>Gomez Miranda Ronald Eliu</t>
  </si>
  <si>
    <t>Sum Agustin Cristian Yair</t>
  </si>
  <si>
    <t>Norato Batz Gabriel Alexander</t>
  </si>
  <si>
    <t>Orozco Bautista Cristian Emanuel</t>
  </si>
  <si>
    <t>Juárez Pinzón Yheshua Hermany</t>
  </si>
  <si>
    <t>Poncio Chávez Kevin José Moisés</t>
  </si>
  <si>
    <t>Maldonado Ramírez Leandry Analisse</t>
  </si>
  <si>
    <t>López Pereira Marcos Gadiel</t>
  </si>
  <si>
    <t>Osorio Alvarez Lesther Noel</t>
  </si>
  <si>
    <t>Ventura Ramón Allan Bacilio Guadalupe</t>
  </si>
  <si>
    <t>Gómez Gómez Flor De María</t>
  </si>
  <si>
    <t>Sacalxot Fuentes Ricardo Josué</t>
  </si>
  <si>
    <t>Baquiax Hernández Jackelin Vanessa</t>
  </si>
  <si>
    <t>Colaj Aguilar Juan Carlos</t>
  </si>
  <si>
    <t>De Leon De Leon Wilder Jose Manuel</t>
  </si>
  <si>
    <t>Gabriel Tziquín Francisco Miguel</t>
  </si>
  <si>
    <t>Romero Méndez Hanier Elien</t>
  </si>
  <si>
    <t>García Hernández José Miguel</t>
  </si>
  <si>
    <t>Lem Vicente Kabawil Jose Victor</t>
  </si>
  <si>
    <t>Pérez Güinac Allan Alfonso</t>
  </si>
  <si>
    <t>Caxaj Pérez Monica Silvana</t>
  </si>
  <si>
    <t>Laynez Sanchez Domingo Williams Witt</t>
  </si>
  <si>
    <t>González Agustin Brandon Geovany</t>
  </si>
  <si>
    <t>Estrada Orozco Luis Alessandro</t>
  </si>
  <si>
    <t>Sut Canil Fátima Guadalupe</t>
  </si>
  <si>
    <t>Maldonado Alvarez Willy André</t>
  </si>
  <si>
    <t>Hilario Ixcaticoy David Francisco</t>
  </si>
  <si>
    <t>García Méndez Rubén</t>
  </si>
  <si>
    <t>Lopez Coyoy Daniel Alexander</t>
  </si>
  <si>
    <t>Hernandez Flores Maria De Los Angeles</t>
  </si>
  <si>
    <t>Ramírez Lorenzo Bécket Wenceslao</t>
  </si>
  <si>
    <t>Cux Son Josseline Paola</t>
  </si>
  <si>
    <t>Us Ochoa Emily Paola</t>
  </si>
  <si>
    <t>Montiel Pérez Fulvio Alfredo</t>
  </si>
  <si>
    <t>Aguilar Herrera Kevin Misael</t>
  </si>
  <si>
    <t>Robles Barán Christian Fernando</t>
  </si>
  <si>
    <t>Lopez Rodriguez Marvin Josue</t>
  </si>
  <si>
    <t>Matul Figueroa Estefani Abigail</t>
  </si>
  <si>
    <t>Xiquin Yoxón Fernando David</t>
  </si>
  <si>
    <t>Caxaj Tale Jeremy Roman</t>
  </si>
  <si>
    <t>Say Tax Mario Francisco David</t>
  </si>
  <si>
    <t>Sac Ajxup Joel Isaac</t>
  </si>
  <si>
    <t>Sacalxot Escobar Manuel</t>
  </si>
  <si>
    <t>Poron Quiacain Emman Didier Nicolas</t>
  </si>
  <si>
    <t>Chojolan Macario Heydi Maritza</t>
  </si>
  <si>
    <t>Yancor Ocana Maria Fernanda</t>
  </si>
  <si>
    <t>Salanic Garcia Bryan Rocael</t>
  </si>
  <si>
    <t>Vasquez Peneleu Estuardo Rafael</t>
  </si>
  <si>
    <t>Campollo Garcia Juan Rodrigo</t>
  </si>
  <si>
    <t>Perez Choxom Lidia Alejandra</t>
  </si>
  <si>
    <t>Xivir Xivir Alex Felipe</t>
  </si>
  <si>
    <t>Ramos Cholotio Juan Antonio</t>
  </si>
  <si>
    <t>Fuentes Perez Nelfin Ulises</t>
  </si>
  <si>
    <t>Cac Tzoc Obed Absalon</t>
  </si>
  <si>
    <t>Ramirez García Astrid Alejandra</t>
  </si>
  <si>
    <t>Tistoj Quixtan Daniel Alejandro</t>
  </si>
  <si>
    <t>Copp Elías Esteban Fernando</t>
  </si>
  <si>
    <t>Macario López Débora Marian</t>
  </si>
  <si>
    <t>Lux Xulá Anthony Smaylin</t>
  </si>
  <si>
    <t>Zapeta Pur Angel Herson Jose</t>
  </si>
  <si>
    <t>Garcia Mendez Michael Anderson</t>
  </si>
  <si>
    <t>Juárez González Wilmer Ronaél</t>
  </si>
  <si>
    <t>Recinos Maldonado Jerry Francisco</t>
  </si>
  <si>
    <t>Rodríguez Carreto Brenda Michelle</t>
  </si>
  <si>
    <t>Bach Camaja Ilsi Juanita Magdalena</t>
  </si>
  <si>
    <t>Pelicó Alvarez Astrid Yohana</t>
  </si>
  <si>
    <t>Coyoy Lucas Edgar Inocente Isaac</t>
  </si>
  <si>
    <t>Pastor Cajchum Billy Bequer</t>
  </si>
  <si>
    <t>Jiménez Gómez Angel Daniel Dominique</t>
  </si>
  <si>
    <t xml:space="preserve">José Alexander López Cantoral </t>
  </si>
  <si>
    <t xml:space="preserve">Fredi Horlando Cotom Pérez </t>
  </si>
  <si>
    <t>Total que sacaron 100</t>
  </si>
  <si>
    <t>Total que no sacaron 100</t>
  </si>
  <si>
    <t>Total que sacaron mayor a 0 pero menor a 100</t>
  </si>
  <si>
    <t xml:space="preserve">Total Estudiantes: </t>
  </si>
  <si>
    <t xml:space="preserve">Extras </t>
  </si>
  <si>
    <t>HT1</t>
  </si>
  <si>
    <t xml:space="preserve">HT2 </t>
  </si>
  <si>
    <t xml:space="preserve">HT3 </t>
  </si>
  <si>
    <t xml:space="preserve">HT4  </t>
  </si>
  <si>
    <t>HT</t>
  </si>
  <si>
    <t xml:space="preserve">HT </t>
  </si>
  <si>
    <t xml:space="preserve">TAREA </t>
  </si>
  <si>
    <t xml:space="preserve">HT  </t>
  </si>
  <si>
    <t>HT Ingeniero  (29/07/2025)</t>
  </si>
  <si>
    <t>HT Ingeniero   (1/08/2025)</t>
  </si>
  <si>
    <t>HT Ingeniero  (13/08/2025)</t>
  </si>
  <si>
    <t>HT Ingeniero  (29/08/2025)</t>
  </si>
  <si>
    <t>Geometria y ecuaciones (12/08/2025)</t>
  </si>
  <si>
    <t>Evaluar Funciones (19/08/2025)</t>
  </si>
  <si>
    <t>Dominio Funciones (28/08/2025)</t>
  </si>
  <si>
    <t>Graficas   (2/09/2025)</t>
  </si>
  <si>
    <t>Representación Polinomios (11/09/2025)</t>
  </si>
  <si>
    <t>Division de Polinomios (23/09/2025)</t>
  </si>
  <si>
    <t>Funciones Racionales, Asintotas (9/10/2025)</t>
  </si>
  <si>
    <t>Funciones Exp, N, Log      (16/10/2025)</t>
  </si>
  <si>
    <t>Extras (23/10/2025)</t>
  </si>
  <si>
    <t>Proyecto Final      (23/10/2025)</t>
  </si>
  <si>
    <t>PF</t>
  </si>
  <si>
    <t>NTF</t>
  </si>
  <si>
    <t>NOTAS FINALES</t>
  </si>
  <si>
    <t>Investigacion T. Polinomios (2/09/2025)</t>
  </si>
  <si>
    <t>Puntaje asignado por actividad</t>
  </si>
  <si>
    <t>Graficas (2/09/2025)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</si>
</sst>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textRotation="90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1" fillId="0" borderId="2" xfId="0" applyFont="1" applyBorder="1" applyAlignment="1">
      <alignment horizontal="right" vertical="center"/>
    </xf>
    <xf numFmtId="0" fontId="0" fillId="0" borderId="3" xfId="0" applyBorder="1" applyAlignment="1">
      <alignment horizontal="center" vertical="center" textRotation="90" wrapText="1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 vertical="center" textRotation="90" wrapText="1"/>
    </xf>
    <xf numFmtId="0" fontId="0" fillId="0" borderId="5" xfId="0" applyBorder="1" applyAlignment="1">
      <alignment horizontal="center" vertical="center" textRotation="90" wrapText="1"/>
    </xf>
    <xf numFmtId="0" fontId="0" fillId="0" borderId="6" xfId="0" applyBorder="1" applyAlignment="1">
      <alignment horizontal="center" vertical="center" textRotation="90" wrapText="1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2" fillId="0" borderId="6" xfId="0" applyFont="1" applyBorder="1" applyAlignment="1">
      <alignment horizontal="center" vertical="center" textRotation="90" wrapText="1"/>
    </xf>
    <xf numFmtId="0" fontId="2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2" fillId="0" borderId="8" xfId="0" applyFont="1" applyBorder="1"/>
    <xf numFmtId="0" fontId="2" fillId="0" borderId="11" xfId="0" applyFont="1" applyBorder="1"/>
    <xf numFmtId="0" fontId="2" fillId="0" borderId="0" xfId="0" applyFont="1"/>
    <xf numFmtId="0" fontId="2" fillId="0" borderId="1" xfId="0" applyFont="1" applyBorder="1"/>
    <xf numFmtId="0" fontId="3" fillId="0" borderId="1" xfId="0" applyFont="1" applyBorder="1"/>
    <xf numFmtId="0" fontId="3" fillId="0" borderId="2" xfId="0" applyFont="1" applyBorder="1"/>
    <xf numFmtId="0" fontId="3" fillId="0" borderId="4" xfId="0" applyFont="1" applyBorder="1" applyAlignment="1">
      <alignment horizontal="center" vertical="center" textRotation="90" wrapText="1"/>
    </xf>
    <xf numFmtId="0" fontId="3" fillId="0" borderId="5" xfId="0" applyFont="1" applyBorder="1" applyAlignment="1">
      <alignment horizontal="center" vertical="center" textRotation="90" wrapText="1"/>
    </xf>
    <xf numFmtId="0" fontId="3" fillId="0" borderId="6" xfId="0" applyFont="1" applyBorder="1" applyAlignment="1">
      <alignment horizontal="center" vertical="center" textRotation="90" wrapText="1"/>
    </xf>
    <xf numFmtId="0" fontId="3" fillId="0" borderId="3" xfId="0" applyFont="1" applyBorder="1" applyAlignment="1">
      <alignment horizontal="center" vertical="center" textRotation="90" wrapText="1"/>
    </xf>
    <xf numFmtId="0" fontId="3" fillId="0" borderId="0" xfId="0" applyFont="1"/>
    <xf numFmtId="0" fontId="3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7" xfId="0" applyFont="1" applyBorder="1"/>
    <xf numFmtId="0" fontId="3" fillId="0" borderId="8" xfId="0" applyFont="1" applyBorder="1"/>
    <xf numFmtId="0" fontId="3" fillId="0" borderId="3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1" fillId="0" borderId="6" xfId="0" applyFont="1" applyBorder="1" applyAlignment="1">
      <alignment horizontal="center" vertical="center" textRotation="90" wrapText="1"/>
    </xf>
    <xf numFmtId="0" fontId="1" fillId="0" borderId="8" xfId="0" applyFont="1" applyBorder="1" applyAlignment="1">
      <alignment horizontal="center"/>
    </xf>
    <xf numFmtId="0" fontId="1" fillId="0" borderId="8" xfId="0" applyFont="1" applyBorder="1"/>
    <xf numFmtId="0" fontId="1" fillId="0" borderId="11" xfId="0" applyFont="1" applyBorder="1"/>
  </cellXfs>
  <cellStyles count="1">
    <cellStyle name="Normal" xfId="0" builtinId="0"/>
  </cellStyles>
  <dxfs count="2"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Ubicacion%20C%20a%20D\Documentos\gitPrimer-Semetre-25\PRACTICAS%20DOCENCIA\LABORATORIO%20MB1\LISTADO%20COMPLETO%20MACROS\PUNTEOS%20FINALES.xlsx" TargetMode="External"/><Relationship Id="rId1" Type="http://schemas.openxmlformats.org/officeDocument/2006/relationships/externalLinkPath" Target="PUNTEOS%20FIN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5">
          <cell r="F5">
            <v>0</v>
          </cell>
          <cell r="G5">
            <v>0</v>
          </cell>
          <cell r="H5">
            <v>50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100</v>
          </cell>
          <cell r="N5">
            <v>0</v>
          </cell>
          <cell r="O5">
            <v>0</v>
          </cell>
          <cell r="P5">
            <v>100</v>
          </cell>
          <cell r="Q5">
            <v>0</v>
          </cell>
          <cell r="R5">
            <v>0</v>
          </cell>
          <cell r="S5">
            <v>0</v>
          </cell>
          <cell r="U5">
            <v>0</v>
          </cell>
        </row>
        <row r="6">
          <cell r="F6">
            <v>100</v>
          </cell>
          <cell r="G6">
            <v>0</v>
          </cell>
          <cell r="H6">
            <v>50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80</v>
          </cell>
          <cell r="O6">
            <v>100</v>
          </cell>
          <cell r="P6">
            <v>100</v>
          </cell>
          <cell r="Q6">
            <v>100</v>
          </cell>
          <cell r="R6">
            <v>100</v>
          </cell>
          <cell r="S6">
            <v>100</v>
          </cell>
          <cell r="U6">
            <v>0</v>
          </cell>
        </row>
        <row r="7">
          <cell r="F7">
            <v>100</v>
          </cell>
          <cell r="G7">
            <v>0</v>
          </cell>
          <cell r="H7">
            <v>100</v>
          </cell>
          <cell r="I7">
            <v>0</v>
          </cell>
          <cell r="J7">
            <v>85</v>
          </cell>
          <cell r="K7">
            <v>100</v>
          </cell>
          <cell r="L7">
            <v>100</v>
          </cell>
          <cell r="M7">
            <v>100</v>
          </cell>
          <cell r="N7">
            <v>70</v>
          </cell>
          <cell r="O7">
            <v>0</v>
          </cell>
          <cell r="P7">
            <v>85</v>
          </cell>
          <cell r="Q7">
            <v>80</v>
          </cell>
          <cell r="R7">
            <v>0</v>
          </cell>
          <cell r="S7">
            <v>100</v>
          </cell>
          <cell r="U7">
            <v>100</v>
          </cell>
        </row>
        <row r="8"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U8">
            <v>0</v>
          </cell>
        </row>
        <row r="9">
          <cell r="F9">
            <v>0</v>
          </cell>
          <cell r="G9">
            <v>0</v>
          </cell>
          <cell r="H9">
            <v>100</v>
          </cell>
          <cell r="I9">
            <v>90</v>
          </cell>
          <cell r="J9">
            <v>0</v>
          </cell>
          <cell r="K9">
            <v>50</v>
          </cell>
          <cell r="L9">
            <v>90</v>
          </cell>
          <cell r="M9">
            <v>80</v>
          </cell>
          <cell r="N9">
            <v>75</v>
          </cell>
          <cell r="O9">
            <v>85</v>
          </cell>
          <cell r="P9">
            <v>0</v>
          </cell>
          <cell r="Q9">
            <v>100</v>
          </cell>
          <cell r="R9">
            <v>100</v>
          </cell>
          <cell r="S9">
            <v>100</v>
          </cell>
          <cell r="U9">
            <v>100</v>
          </cell>
        </row>
        <row r="10"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U10">
            <v>0</v>
          </cell>
        </row>
        <row r="11">
          <cell r="F11">
            <v>100</v>
          </cell>
          <cell r="G11">
            <v>0</v>
          </cell>
          <cell r="H11">
            <v>100</v>
          </cell>
          <cell r="I11">
            <v>90</v>
          </cell>
          <cell r="J11">
            <v>60</v>
          </cell>
          <cell r="K11">
            <v>0</v>
          </cell>
          <cell r="L11">
            <v>100</v>
          </cell>
          <cell r="M11">
            <v>100</v>
          </cell>
          <cell r="N11">
            <v>50</v>
          </cell>
          <cell r="O11">
            <v>0</v>
          </cell>
          <cell r="P11">
            <v>65</v>
          </cell>
          <cell r="Q11">
            <v>80</v>
          </cell>
          <cell r="R11">
            <v>100</v>
          </cell>
          <cell r="S11">
            <v>0</v>
          </cell>
          <cell r="U11">
            <v>0</v>
          </cell>
        </row>
        <row r="12">
          <cell r="F12">
            <v>0</v>
          </cell>
          <cell r="G12">
            <v>100</v>
          </cell>
          <cell r="H12">
            <v>0</v>
          </cell>
          <cell r="I12">
            <v>0</v>
          </cell>
          <cell r="J12">
            <v>100</v>
          </cell>
          <cell r="K12">
            <v>100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70</v>
          </cell>
          <cell r="Q12">
            <v>80</v>
          </cell>
          <cell r="R12">
            <v>0</v>
          </cell>
          <cell r="S12">
            <v>100</v>
          </cell>
          <cell r="U12">
            <v>0</v>
          </cell>
        </row>
        <row r="13">
          <cell r="F13">
            <v>100</v>
          </cell>
          <cell r="G13">
            <v>0</v>
          </cell>
          <cell r="H13">
            <v>100</v>
          </cell>
          <cell r="I13">
            <v>100</v>
          </cell>
          <cell r="J13">
            <v>100</v>
          </cell>
          <cell r="K13">
            <v>100</v>
          </cell>
          <cell r="L13">
            <v>100</v>
          </cell>
          <cell r="M13">
            <v>100</v>
          </cell>
          <cell r="N13">
            <v>100</v>
          </cell>
          <cell r="O13">
            <v>65</v>
          </cell>
          <cell r="P13">
            <v>80</v>
          </cell>
          <cell r="Q13">
            <v>100</v>
          </cell>
          <cell r="R13">
            <v>100</v>
          </cell>
          <cell r="S13">
            <v>100</v>
          </cell>
          <cell r="U13">
            <v>0</v>
          </cell>
        </row>
        <row r="14">
          <cell r="F14">
            <v>0</v>
          </cell>
          <cell r="G14">
            <v>0</v>
          </cell>
          <cell r="H14">
            <v>0</v>
          </cell>
          <cell r="I14">
            <v>100</v>
          </cell>
          <cell r="J14">
            <v>0</v>
          </cell>
          <cell r="K14">
            <v>0</v>
          </cell>
          <cell r="L14">
            <v>100</v>
          </cell>
          <cell r="M14">
            <v>80</v>
          </cell>
          <cell r="N14">
            <v>70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100</v>
          </cell>
          <cell r="U14">
            <v>0</v>
          </cell>
        </row>
        <row r="15">
          <cell r="F15">
            <v>0</v>
          </cell>
          <cell r="G15">
            <v>0</v>
          </cell>
          <cell r="H15">
            <v>100</v>
          </cell>
          <cell r="I15">
            <v>0</v>
          </cell>
          <cell r="J15">
            <v>60</v>
          </cell>
          <cell r="K15">
            <v>0</v>
          </cell>
          <cell r="L15">
            <v>90</v>
          </cell>
          <cell r="M15">
            <v>100</v>
          </cell>
          <cell r="N15">
            <v>0</v>
          </cell>
          <cell r="O15">
            <v>0</v>
          </cell>
          <cell r="P15">
            <v>30</v>
          </cell>
          <cell r="Q15">
            <v>0</v>
          </cell>
          <cell r="R15">
            <v>0</v>
          </cell>
          <cell r="S15">
            <v>0</v>
          </cell>
          <cell r="U15">
            <v>0</v>
          </cell>
        </row>
        <row r="16">
          <cell r="F16">
            <v>100</v>
          </cell>
          <cell r="G16">
            <v>0</v>
          </cell>
          <cell r="H16">
            <v>100</v>
          </cell>
          <cell r="I16">
            <v>100</v>
          </cell>
          <cell r="J16">
            <v>100</v>
          </cell>
          <cell r="K16">
            <v>100</v>
          </cell>
          <cell r="L16">
            <v>100</v>
          </cell>
          <cell r="M16">
            <v>100</v>
          </cell>
          <cell r="N16">
            <v>50</v>
          </cell>
          <cell r="O16">
            <v>100</v>
          </cell>
          <cell r="P16">
            <v>50</v>
          </cell>
          <cell r="Q16">
            <v>0</v>
          </cell>
          <cell r="R16">
            <v>0</v>
          </cell>
          <cell r="S16">
            <v>100</v>
          </cell>
          <cell r="U16">
            <v>100</v>
          </cell>
        </row>
        <row r="17">
          <cell r="F17">
            <v>100</v>
          </cell>
          <cell r="G17">
            <v>0</v>
          </cell>
          <cell r="H17">
            <v>50</v>
          </cell>
          <cell r="I17">
            <v>0</v>
          </cell>
          <cell r="J17">
            <v>100</v>
          </cell>
          <cell r="K17">
            <v>85</v>
          </cell>
          <cell r="L17">
            <v>100</v>
          </cell>
          <cell r="M17">
            <v>100</v>
          </cell>
          <cell r="N17">
            <v>70</v>
          </cell>
          <cell r="O17">
            <v>75</v>
          </cell>
          <cell r="P17">
            <v>70</v>
          </cell>
          <cell r="Q17">
            <v>100</v>
          </cell>
          <cell r="R17">
            <v>100</v>
          </cell>
          <cell r="S17">
            <v>100</v>
          </cell>
          <cell r="U17">
            <v>0</v>
          </cell>
        </row>
        <row r="18">
          <cell r="F18">
            <v>100</v>
          </cell>
          <cell r="G18">
            <v>0</v>
          </cell>
          <cell r="H18">
            <v>50</v>
          </cell>
          <cell r="I18">
            <v>100</v>
          </cell>
          <cell r="J18">
            <v>85</v>
          </cell>
          <cell r="K18">
            <v>100</v>
          </cell>
          <cell r="L18">
            <v>100</v>
          </cell>
          <cell r="M18">
            <v>100</v>
          </cell>
          <cell r="N18">
            <v>50</v>
          </cell>
          <cell r="O18">
            <v>100</v>
          </cell>
          <cell r="P18">
            <v>100</v>
          </cell>
          <cell r="Q18">
            <v>100</v>
          </cell>
          <cell r="R18">
            <v>100</v>
          </cell>
          <cell r="S18">
            <v>100</v>
          </cell>
          <cell r="U18">
            <v>100</v>
          </cell>
        </row>
        <row r="19">
          <cell r="F19">
            <v>100</v>
          </cell>
          <cell r="G19">
            <v>0</v>
          </cell>
          <cell r="H19">
            <v>0</v>
          </cell>
          <cell r="I19">
            <v>0</v>
          </cell>
          <cell r="J19">
            <v>100</v>
          </cell>
          <cell r="K19">
            <v>100</v>
          </cell>
          <cell r="L19">
            <v>100</v>
          </cell>
          <cell r="M19">
            <v>100</v>
          </cell>
          <cell r="N19">
            <v>80</v>
          </cell>
          <cell r="O19">
            <v>100</v>
          </cell>
          <cell r="P19">
            <v>100</v>
          </cell>
          <cell r="Q19">
            <v>0</v>
          </cell>
          <cell r="R19">
            <v>0</v>
          </cell>
          <cell r="S19">
            <v>0</v>
          </cell>
          <cell r="U19">
            <v>0</v>
          </cell>
        </row>
        <row r="20">
          <cell r="F20">
            <v>100</v>
          </cell>
          <cell r="G20">
            <v>100</v>
          </cell>
          <cell r="H20">
            <v>100</v>
          </cell>
          <cell r="I20">
            <v>90</v>
          </cell>
          <cell r="J20">
            <v>85</v>
          </cell>
          <cell r="K20">
            <v>100</v>
          </cell>
          <cell r="L20">
            <v>100</v>
          </cell>
          <cell r="M20">
            <v>100</v>
          </cell>
          <cell r="N20">
            <v>70</v>
          </cell>
          <cell r="O20">
            <v>85</v>
          </cell>
          <cell r="P20">
            <v>85</v>
          </cell>
          <cell r="Q20">
            <v>80</v>
          </cell>
          <cell r="R20">
            <v>100</v>
          </cell>
          <cell r="S20">
            <v>100</v>
          </cell>
          <cell r="U20">
            <v>0</v>
          </cell>
        </row>
        <row r="21">
          <cell r="F21">
            <v>100</v>
          </cell>
          <cell r="G21">
            <v>0</v>
          </cell>
          <cell r="H21">
            <v>50</v>
          </cell>
          <cell r="I21">
            <v>100</v>
          </cell>
          <cell r="J21">
            <v>85</v>
          </cell>
          <cell r="K21">
            <v>100</v>
          </cell>
          <cell r="L21">
            <v>100</v>
          </cell>
          <cell r="M21">
            <v>100</v>
          </cell>
          <cell r="N21">
            <v>50</v>
          </cell>
          <cell r="O21">
            <v>100</v>
          </cell>
          <cell r="P21">
            <v>100</v>
          </cell>
          <cell r="Q21">
            <v>100</v>
          </cell>
          <cell r="R21">
            <v>100</v>
          </cell>
          <cell r="S21">
            <v>100</v>
          </cell>
          <cell r="U21">
            <v>100</v>
          </cell>
        </row>
        <row r="22">
          <cell r="F22">
            <v>100</v>
          </cell>
          <cell r="G22">
            <v>100</v>
          </cell>
          <cell r="H22">
            <v>100</v>
          </cell>
          <cell r="I22">
            <v>100</v>
          </cell>
          <cell r="J22">
            <v>100</v>
          </cell>
          <cell r="K22">
            <v>100</v>
          </cell>
          <cell r="L22">
            <v>100</v>
          </cell>
          <cell r="M22">
            <v>100</v>
          </cell>
          <cell r="N22">
            <v>50</v>
          </cell>
          <cell r="O22">
            <v>90</v>
          </cell>
          <cell r="P22">
            <v>45</v>
          </cell>
          <cell r="Q22">
            <v>80</v>
          </cell>
          <cell r="R22">
            <v>100</v>
          </cell>
          <cell r="S22">
            <v>100</v>
          </cell>
          <cell r="U22">
            <v>0</v>
          </cell>
        </row>
        <row r="23">
          <cell r="F23">
            <v>100</v>
          </cell>
          <cell r="G23">
            <v>0</v>
          </cell>
          <cell r="H23">
            <v>100</v>
          </cell>
          <cell r="I23">
            <v>100</v>
          </cell>
          <cell r="J23">
            <v>75</v>
          </cell>
          <cell r="K23">
            <v>100</v>
          </cell>
          <cell r="L23">
            <v>100</v>
          </cell>
          <cell r="M23">
            <v>100</v>
          </cell>
          <cell r="N23">
            <v>90</v>
          </cell>
          <cell r="O23">
            <v>95</v>
          </cell>
          <cell r="P23">
            <v>90</v>
          </cell>
          <cell r="Q23">
            <v>0</v>
          </cell>
          <cell r="R23">
            <v>0</v>
          </cell>
          <cell r="S23">
            <v>0</v>
          </cell>
          <cell r="U23">
            <v>0</v>
          </cell>
        </row>
        <row r="24">
          <cell r="F24">
            <v>0</v>
          </cell>
          <cell r="G24">
            <v>0</v>
          </cell>
          <cell r="H24">
            <v>100</v>
          </cell>
          <cell r="I24">
            <v>100</v>
          </cell>
          <cell r="J24">
            <v>0</v>
          </cell>
          <cell r="K24">
            <v>0</v>
          </cell>
          <cell r="L24">
            <v>100</v>
          </cell>
          <cell r="M24">
            <v>0</v>
          </cell>
          <cell r="N24">
            <v>0</v>
          </cell>
          <cell r="O24">
            <v>15</v>
          </cell>
          <cell r="P24">
            <v>90</v>
          </cell>
          <cell r="Q24">
            <v>100</v>
          </cell>
          <cell r="R24">
            <v>0</v>
          </cell>
          <cell r="S24">
            <v>100</v>
          </cell>
          <cell r="U24">
            <v>0</v>
          </cell>
        </row>
        <row r="25">
          <cell r="F25">
            <v>0</v>
          </cell>
          <cell r="G25">
            <v>100</v>
          </cell>
          <cell r="H25">
            <v>0</v>
          </cell>
          <cell r="I25">
            <v>0</v>
          </cell>
          <cell r="J25">
            <v>0</v>
          </cell>
          <cell r="K25">
            <v>100</v>
          </cell>
          <cell r="L25">
            <v>0</v>
          </cell>
          <cell r="M25">
            <v>100</v>
          </cell>
          <cell r="N25">
            <v>0</v>
          </cell>
          <cell r="O25">
            <v>85</v>
          </cell>
          <cell r="P25">
            <v>70</v>
          </cell>
          <cell r="Q25">
            <v>80</v>
          </cell>
          <cell r="R25">
            <v>100</v>
          </cell>
          <cell r="S25">
            <v>100</v>
          </cell>
          <cell r="U25">
            <v>0</v>
          </cell>
        </row>
        <row r="26">
          <cell r="F26">
            <v>100</v>
          </cell>
          <cell r="G26">
            <v>0</v>
          </cell>
          <cell r="H26">
            <v>0</v>
          </cell>
          <cell r="I26">
            <v>100</v>
          </cell>
          <cell r="J26">
            <v>50</v>
          </cell>
          <cell r="K26">
            <v>50</v>
          </cell>
          <cell r="L26">
            <v>50</v>
          </cell>
          <cell r="M26">
            <v>100</v>
          </cell>
          <cell r="N26">
            <v>25</v>
          </cell>
          <cell r="O26">
            <v>25</v>
          </cell>
          <cell r="P26">
            <v>100</v>
          </cell>
          <cell r="Q26">
            <v>80</v>
          </cell>
          <cell r="R26">
            <v>0</v>
          </cell>
          <cell r="S26">
            <v>100</v>
          </cell>
          <cell r="U26">
            <v>0</v>
          </cell>
        </row>
        <row r="27">
          <cell r="F27">
            <v>100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100</v>
          </cell>
          <cell r="L27">
            <v>100</v>
          </cell>
          <cell r="M27">
            <v>100</v>
          </cell>
          <cell r="N27">
            <v>70</v>
          </cell>
          <cell r="O27">
            <v>100</v>
          </cell>
          <cell r="P27">
            <v>100</v>
          </cell>
          <cell r="Q27">
            <v>0</v>
          </cell>
          <cell r="R27">
            <v>0</v>
          </cell>
          <cell r="S27">
            <v>0</v>
          </cell>
          <cell r="U27">
            <v>0</v>
          </cell>
        </row>
        <row r="28">
          <cell r="F28">
            <v>100</v>
          </cell>
          <cell r="G28">
            <v>0</v>
          </cell>
          <cell r="H28">
            <v>100</v>
          </cell>
          <cell r="I28">
            <v>100</v>
          </cell>
          <cell r="J28">
            <v>75</v>
          </cell>
          <cell r="K28">
            <v>100</v>
          </cell>
          <cell r="L28">
            <v>90</v>
          </cell>
          <cell r="M28">
            <v>100</v>
          </cell>
          <cell r="N28">
            <v>70</v>
          </cell>
          <cell r="O28">
            <v>95</v>
          </cell>
          <cell r="P28">
            <v>90</v>
          </cell>
          <cell r="Q28">
            <v>0</v>
          </cell>
          <cell r="R28">
            <v>0</v>
          </cell>
          <cell r="S28">
            <v>0</v>
          </cell>
          <cell r="U28">
            <v>0</v>
          </cell>
        </row>
        <row r="29">
          <cell r="F29">
            <v>100</v>
          </cell>
          <cell r="G29">
            <v>0</v>
          </cell>
          <cell r="H29">
            <v>0</v>
          </cell>
          <cell r="I29">
            <v>100</v>
          </cell>
          <cell r="J29">
            <v>50</v>
          </cell>
          <cell r="K29">
            <v>50</v>
          </cell>
          <cell r="L29">
            <v>50</v>
          </cell>
          <cell r="M29">
            <v>0</v>
          </cell>
          <cell r="N29">
            <v>25</v>
          </cell>
          <cell r="O29">
            <v>25</v>
          </cell>
          <cell r="P29">
            <v>100</v>
          </cell>
          <cell r="Q29">
            <v>80</v>
          </cell>
          <cell r="R29">
            <v>0</v>
          </cell>
          <cell r="S29">
            <v>100</v>
          </cell>
          <cell r="U29">
            <v>0</v>
          </cell>
        </row>
        <row r="30">
          <cell r="F30">
            <v>0</v>
          </cell>
          <cell r="G30">
            <v>0</v>
          </cell>
          <cell r="H30">
            <v>100</v>
          </cell>
          <cell r="I30">
            <v>100</v>
          </cell>
          <cell r="J30">
            <v>100</v>
          </cell>
          <cell r="K30">
            <v>75</v>
          </cell>
          <cell r="L30">
            <v>90</v>
          </cell>
          <cell r="M30">
            <v>100</v>
          </cell>
          <cell r="N30">
            <v>80</v>
          </cell>
          <cell r="O30">
            <v>90</v>
          </cell>
          <cell r="P30">
            <v>60</v>
          </cell>
          <cell r="Q30">
            <v>0</v>
          </cell>
          <cell r="R30">
            <v>0</v>
          </cell>
          <cell r="S30">
            <v>0</v>
          </cell>
          <cell r="U30">
            <v>0</v>
          </cell>
        </row>
        <row r="31">
          <cell r="F31">
            <v>100</v>
          </cell>
          <cell r="G31">
            <v>0</v>
          </cell>
          <cell r="H31">
            <v>100</v>
          </cell>
          <cell r="I31">
            <v>100</v>
          </cell>
          <cell r="J31">
            <v>100</v>
          </cell>
          <cell r="K31">
            <v>100</v>
          </cell>
          <cell r="L31">
            <v>100</v>
          </cell>
          <cell r="M31">
            <v>100</v>
          </cell>
          <cell r="N31">
            <v>100</v>
          </cell>
          <cell r="O31">
            <v>0</v>
          </cell>
          <cell r="P31">
            <v>100</v>
          </cell>
          <cell r="Q31">
            <v>80</v>
          </cell>
          <cell r="R31">
            <v>100</v>
          </cell>
          <cell r="S31">
            <v>100</v>
          </cell>
          <cell r="U31">
            <v>100</v>
          </cell>
        </row>
        <row r="32">
          <cell r="F32">
            <v>100</v>
          </cell>
          <cell r="G32">
            <v>100</v>
          </cell>
          <cell r="H32">
            <v>100</v>
          </cell>
          <cell r="I32">
            <v>100</v>
          </cell>
          <cell r="J32">
            <v>100</v>
          </cell>
          <cell r="K32">
            <v>90</v>
          </cell>
          <cell r="L32">
            <v>100</v>
          </cell>
          <cell r="M32">
            <v>100</v>
          </cell>
          <cell r="N32">
            <v>70</v>
          </cell>
          <cell r="O32">
            <v>100</v>
          </cell>
          <cell r="P32">
            <v>100</v>
          </cell>
          <cell r="Q32">
            <v>90</v>
          </cell>
          <cell r="R32">
            <v>100</v>
          </cell>
          <cell r="S32">
            <v>100</v>
          </cell>
          <cell r="U32">
            <v>0</v>
          </cell>
        </row>
        <row r="33">
          <cell r="F33">
            <v>100</v>
          </cell>
          <cell r="G33">
            <v>0</v>
          </cell>
          <cell r="H33">
            <v>100</v>
          </cell>
          <cell r="I33">
            <v>100</v>
          </cell>
          <cell r="J33">
            <v>100</v>
          </cell>
          <cell r="K33">
            <v>100</v>
          </cell>
          <cell r="L33">
            <v>100</v>
          </cell>
          <cell r="M33">
            <v>100</v>
          </cell>
          <cell r="N33">
            <v>50</v>
          </cell>
          <cell r="O33">
            <v>100</v>
          </cell>
          <cell r="P33">
            <v>50</v>
          </cell>
          <cell r="Q33">
            <v>80</v>
          </cell>
          <cell r="R33">
            <v>100</v>
          </cell>
          <cell r="S33">
            <v>100</v>
          </cell>
          <cell r="U33">
            <v>0</v>
          </cell>
        </row>
        <row r="34">
          <cell r="F34">
            <v>100</v>
          </cell>
          <cell r="G34">
            <v>0</v>
          </cell>
          <cell r="H34">
            <v>100</v>
          </cell>
          <cell r="I34">
            <v>0</v>
          </cell>
          <cell r="J34">
            <v>100</v>
          </cell>
          <cell r="K34">
            <v>95</v>
          </cell>
          <cell r="L34">
            <v>100</v>
          </cell>
          <cell r="M34">
            <v>100</v>
          </cell>
          <cell r="N34">
            <v>70</v>
          </cell>
          <cell r="O34">
            <v>85</v>
          </cell>
          <cell r="P34">
            <v>65</v>
          </cell>
          <cell r="Q34">
            <v>80</v>
          </cell>
          <cell r="R34">
            <v>100</v>
          </cell>
          <cell r="S34">
            <v>100</v>
          </cell>
          <cell r="U34">
            <v>0</v>
          </cell>
        </row>
        <row r="35">
          <cell r="F35">
            <v>0</v>
          </cell>
          <cell r="G35">
            <v>0</v>
          </cell>
          <cell r="H35">
            <v>100</v>
          </cell>
          <cell r="I35">
            <v>100</v>
          </cell>
          <cell r="J35">
            <v>100</v>
          </cell>
          <cell r="K35">
            <v>75</v>
          </cell>
          <cell r="L35">
            <v>100</v>
          </cell>
          <cell r="M35">
            <v>100</v>
          </cell>
          <cell r="N35">
            <v>80</v>
          </cell>
          <cell r="O35">
            <v>90</v>
          </cell>
          <cell r="P35">
            <v>60</v>
          </cell>
          <cell r="Q35">
            <v>100</v>
          </cell>
          <cell r="R35">
            <v>100</v>
          </cell>
          <cell r="S35">
            <v>100</v>
          </cell>
          <cell r="U35">
            <v>0</v>
          </cell>
        </row>
        <row r="36">
          <cell r="F36">
            <v>100</v>
          </cell>
          <cell r="G36">
            <v>0</v>
          </cell>
          <cell r="H36">
            <v>100</v>
          </cell>
          <cell r="I36">
            <v>100</v>
          </cell>
          <cell r="J36">
            <v>100</v>
          </cell>
          <cell r="K36">
            <v>100</v>
          </cell>
          <cell r="L36">
            <v>100</v>
          </cell>
          <cell r="M36">
            <v>100</v>
          </cell>
          <cell r="N36">
            <v>80</v>
          </cell>
          <cell r="O36">
            <v>65</v>
          </cell>
          <cell r="P36">
            <v>80</v>
          </cell>
          <cell r="Q36">
            <v>100</v>
          </cell>
          <cell r="R36">
            <v>100</v>
          </cell>
          <cell r="S36">
            <v>100</v>
          </cell>
          <cell r="U36">
            <v>0</v>
          </cell>
        </row>
        <row r="37">
          <cell r="F37">
            <v>100</v>
          </cell>
          <cell r="G37">
            <v>100</v>
          </cell>
          <cell r="H37">
            <v>100</v>
          </cell>
          <cell r="I37">
            <v>100</v>
          </cell>
          <cell r="J37">
            <v>100</v>
          </cell>
          <cell r="K37">
            <v>100</v>
          </cell>
          <cell r="L37">
            <v>100</v>
          </cell>
          <cell r="M37">
            <v>100</v>
          </cell>
          <cell r="N37">
            <v>50</v>
          </cell>
          <cell r="O37">
            <v>90</v>
          </cell>
          <cell r="P37">
            <v>45</v>
          </cell>
          <cell r="Q37">
            <v>80</v>
          </cell>
          <cell r="R37">
            <v>100</v>
          </cell>
          <cell r="S37">
            <v>100</v>
          </cell>
          <cell r="U37">
            <v>100</v>
          </cell>
        </row>
        <row r="38">
          <cell r="F38">
            <v>100</v>
          </cell>
          <cell r="G38">
            <v>0</v>
          </cell>
          <cell r="H38">
            <v>100</v>
          </cell>
          <cell r="I38">
            <v>90</v>
          </cell>
          <cell r="J38">
            <v>75</v>
          </cell>
          <cell r="K38">
            <v>55</v>
          </cell>
          <cell r="L38">
            <v>100</v>
          </cell>
          <cell r="M38">
            <v>100</v>
          </cell>
          <cell r="N38">
            <v>90</v>
          </cell>
          <cell r="O38">
            <v>75</v>
          </cell>
          <cell r="P38">
            <v>100</v>
          </cell>
          <cell r="Q38">
            <v>95</v>
          </cell>
          <cell r="R38">
            <v>100</v>
          </cell>
          <cell r="S38">
            <v>100</v>
          </cell>
          <cell r="U38">
            <v>0</v>
          </cell>
        </row>
        <row r="39">
          <cell r="F39">
            <v>100</v>
          </cell>
          <cell r="G39">
            <v>0</v>
          </cell>
          <cell r="H39">
            <v>100</v>
          </cell>
          <cell r="I39">
            <v>0</v>
          </cell>
          <cell r="J39">
            <v>100</v>
          </cell>
          <cell r="K39">
            <v>100</v>
          </cell>
          <cell r="L39">
            <v>100</v>
          </cell>
          <cell r="M39">
            <v>100</v>
          </cell>
          <cell r="N39">
            <v>50</v>
          </cell>
          <cell r="O39">
            <v>85</v>
          </cell>
          <cell r="P39">
            <v>80</v>
          </cell>
          <cell r="Q39">
            <v>100</v>
          </cell>
          <cell r="R39">
            <v>100</v>
          </cell>
          <cell r="S39">
            <v>100</v>
          </cell>
          <cell r="U39">
            <v>0</v>
          </cell>
        </row>
        <row r="40">
          <cell r="F40">
            <v>100</v>
          </cell>
          <cell r="G40">
            <v>0</v>
          </cell>
          <cell r="H40">
            <v>100</v>
          </cell>
          <cell r="I40">
            <v>0</v>
          </cell>
          <cell r="J40">
            <v>100</v>
          </cell>
          <cell r="K40">
            <v>100</v>
          </cell>
          <cell r="L40">
            <v>100</v>
          </cell>
          <cell r="M40">
            <v>100</v>
          </cell>
          <cell r="N40">
            <v>50</v>
          </cell>
          <cell r="O40">
            <v>80</v>
          </cell>
          <cell r="P40">
            <v>80</v>
          </cell>
          <cell r="Q40">
            <v>0</v>
          </cell>
          <cell r="R40">
            <v>0</v>
          </cell>
          <cell r="S40">
            <v>0</v>
          </cell>
          <cell r="U40">
            <v>0</v>
          </cell>
        </row>
        <row r="41">
          <cell r="F41">
            <v>0</v>
          </cell>
          <cell r="G41">
            <v>100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U41">
            <v>0</v>
          </cell>
        </row>
        <row r="42">
          <cell r="F42">
            <v>100</v>
          </cell>
          <cell r="G42">
            <v>0</v>
          </cell>
          <cell r="H42">
            <v>100</v>
          </cell>
          <cell r="I42">
            <v>90</v>
          </cell>
          <cell r="J42">
            <v>70</v>
          </cell>
          <cell r="K42">
            <v>100</v>
          </cell>
          <cell r="L42">
            <v>100</v>
          </cell>
          <cell r="M42">
            <v>100</v>
          </cell>
          <cell r="N42">
            <v>0</v>
          </cell>
          <cell r="O42">
            <v>60</v>
          </cell>
          <cell r="P42">
            <v>65</v>
          </cell>
          <cell r="Q42">
            <v>80</v>
          </cell>
          <cell r="R42">
            <v>100</v>
          </cell>
          <cell r="S42">
            <v>100</v>
          </cell>
          <cell r="U42">
            <v>0</v>
          </cell>
        </row>
        <row r="43">
          <cell r="F43">
            <v>0</v>
          </cell>
          <cell r="G43">
            <v>0</v>
          </cell>
          <cell r="H43">
            <v>0</v>
          </cell>
          <cell r="I43">
            <v>100</v>
          </cell>
          <cell r="J43">
            <v>0</v>
          </cell>
          <cell r="K43">
            <v>0</v>
          </cell>
          <cell r="L43">
            <v>100</v>
          </cell>
          <cell r="M43">
            <v>100</v>
          </cell>
          <cell r="N43">
            <v>70</v>
          </cell>
          <cell r="O43">
            <v>95</v>
          </cell>
          <cell r="P43">
            <v>0</v>
          </cell>
          <cell r="Q43">
            <v>0</v>
          </cell>
          <cell r="R43">
            <v>0</v>
          </cell>
          <cell r="S43">
            <v>100</v>
          </cell>
          <cell r="U43">
            <v>0</v>
          </cell>
        </row>
        <row r="44">
          <cell r="F44">
            <v>0</v>
          </cell>
          <cell r="G44">
            <v>0</v>
          </cell>
          <cell r="H44">
            <v>50</v>
          </cell>
          <cell r="I44">
            <v>0</v>
          </cell>
          <cell r="J44">
            <v>100</v>
          </cell>
          <cell r="K44">
            <v>100</v>
          </cell>
          <cell r="L44">
            <v>90</v>
          </cell>
          <cell r="M44">
            <v>100</v>
          </cell>
          <cell r="N44">
            <v>50</v>
          </cell>
          <cell r="O44">
            <v>85</v>
          </cell>
          <cell r="P44">
            <v>70</v>
          </cell>
          <cell r="Q44">
            <v>0</v>
          </cell>
          <cell r="R44">
            <v>0</v>
          </cell>
          <cell r="S44">
            <v>0</v>
          </cell>
          <cell r="U44">
            <v>0</v>
          </cell>
        </row>
        <row r="45">
          <cell r="F45">
            <v>100</v>
          </cell>
          <cell r="G45">
            <v>0</v>
          </cell>
          <cell r="H45">
            <v>100</v>
          </cell>
          <cell r="I45">
            <v>0</v>
          </cell>
          <cell r="J45">
            <v>100</v>
          </cell>
          <cell r="K45">
            <v>0</v>
          </cell>
          <cell r="L45">
            <v>100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U45">
            <v>0</v>
          </cell>
        </row>
        <row r="46">
          <cell r="F46">
            <v>100</v>
          </cell>
          <cell r="G46">
            <v>0</v>
          </cell>
          <cell r="H46">
            <v>100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100</v>
          </cell>
          <cell r="N46">
            <v>70</v>
          </cell>
          <cell r="O46">
            <v>85</v>
          </cell>
          <cell r="P46">
            <v>50</v>
          </cell>
          <cell r="Q46">
            <v>80</v>
          </cell>
          <cell r="R46">
            <v>100</v>
          </cell>
          <cell r="S46">
            <v>100</v>
          </cell>
          <cell r="U46">
            <v>0</v>
          </cell>
        </row>
        <row r="47"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100</v>
          </cell>
          <cell r="N47">
            <v>70</v>
          </cell>
          <cell r="O47">
            <v>85</v>
          </cell>
          <cell r="P47">
            <v>85</v>
          </cell>
          <cell r="Q47">
            <v>80</v>
          </cell>
          <cell r="R47">
            <v>100</v>
          </cell>
          <cell r="S47">
            <v>100</v>
          </cell>
          <cell r="U47">
            <v>0</v>
          </cell>
        </row>
        <row r="48">
          <cell r="F48">
            <v>100</v>
          </cell>
          <cell r="G48">
            <v>0</v>
          </cell>
          <cell r="H48">
            <v>100</v>
          </cell>
          <cell r="I48">
            <v>90</v>
          </cell>
          <cell r="J48">
            <v>100</v>
          </cell>
          <cell r="K48">
            <v>100</v>
          </cell>
          <cell r="L48">
            <v>90</v>
          </cell>
          <cell r="M48">
            <v>100</v>
          </cell>
          <cell r="N48">
            <v>50</v>
          </cell>
          <cell r="O48">
            <v>85</v>
          </cell>
          <cell r="P48">
            <v>55</v>
          </cell>
          <cell r="Q48">
            <v>100</v>
          </cell>
          <cell r="R48">
            <v>100</v>
          </cell>
          <cell r="S48">
            <v>100</v>
          </cell>
          <cell r="U48">
            <v>0</v>
          </cell>
        </row>
        <row r="49">
          <cell r="F49">
            <v>0</v>
          </cell>
          <cell r="G49">
            <v>0</v>
          </cell>
          <cell r="H49">
            <v>50</v>
          </cell>
          <cell r="I49">
            <v>100</v>
          </cell>
          <cell r="J49">
            <v>75</v>
          </cell>
          <cell r="K49">
            <v>0</v>
          </cell>
          <cell r="L49">
            <v>100</v>
          </cell>
          <cell r="M49">
            <v>100</v>
          </cell>
          <cell r="N49">
            <v>90</v>
          </cell>
          <cell r="O49">
            <v>95</v>
          </cell>
          <cell r="P49">
            <v>65</v>
          </cell>
          <cell r="Q49">
            <v>100</v>
          </cell>
          <cell r="R49">
            <v>100</v>
          </cell>
          <cell r="S49">
            <v>100</v>
          </cell>
          <cell r="U49">
            <v>0</v>
          </cell>
        </row>
        <row r="50">
          <cell r="F50">
            <v>100</v>
          </cell>
          <cell r="G50">
            <v>0</v>
          </cell>
          <cell r="H50">
            <v>100</v>
          </cell>
          <cell r="I50">
            <v>90</v>
          </cell>
          <cell r="J50">
            <v>100</v>
          </cell>
          <cell r="K50">
            <v>75</v>
          </cell>
          <cell r="L50">
            <v>100</v>
          </cell>
          <cell r="M50">
            <v>100</v>
          </cell>
          <cell r="N50">
            <v>100</v>
          </cell>
          <cell r="O50">
            <v>90</v>
          </cell>
          <cell r="P50">
            <v>70</v>
          </cell>
          <cell r="Q50">
            <v>100</v>
          </cell>
          <cell r="R50">
            <v>100</v>
          </cell>
          <cell r="S50">
            <v>100</v>
          </cell>
          <cell r="U50">
            <v>0</v>
          </cell>
        </row>
        <row r="51">
          <cell r="F51">
            <v>0</v>
          </cell>
          <cell r="G51">
            <v>0</v>
          </cell>
          <cell r="H51">
            <v>100</v>
          </cell>
          <cell r="I51">
            <v>90</v>
          </cell>
          <cell r="J51">
            <v>100</v>
          </cell>
          <cell r="K51">
            <v>55</v>
          </cell>
          <cell r="L51">
            <v>100</v>
          </cell>
          <cell r="M51">
            <v>100</v>
          </cell>
          <cell r="N51">
            <v>95</v>
          </cell>
          <cell r="O51">
            <v>0</v>
          </cell>
          <cell r="P51">
            <v>55</v>
          </cell>
          <cell r="Q51">
            <v>100</v>
          </cell>
          <cell r="R51">
            <v>100</v>
          </cell>
          <cell r="S51">
            <v>100</v>
          </cell>
          <cell r="U51">
            <v>100</v>
          </cell>
        </row>
        <row r="52">
          <cell r="F52">
            <v>100</v>
          </cell>
          <cell r="G52">
            <v>0</v>
          </cell>
          <cell r="H52">
            <v>100</v>
          </cell>
          <cell r="I52">
            <v>90</v>
          </cell>
          <cell r="J52">
            <v>70</v>
          </cell>
          <cell r="K52">
            <v>100</v>
          </cell>
          <cell r="L52">
            <v>90</v>
          </cell>
          <cell r="M52">
            <v>100</v>
          </cell>
          <cell r="N52">
            <v>50</v>
          </cell>
          <cell r="O52">
            <v>85</v>
          </cell>
          <cell r="P52">
            <v>55</v>
          </cell>
          <cell r="Q52">
            <v>100</v>
          </cell>
          <cell r="R52">
            <v>100</v>
          </cell>
          <cell r="S52">
            <v>100</v>
          </cell>
          <cell r="U52">
            <v>0</v>
          </cell>
        </row>
        <row r="53">
          <cell r="F53">
            <v>0</v>
          </cell>
          <cell r="G53">
            <v>0</v>
          </cell>
          <cell r="H53">
            <v>100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100</v>
          </cell>
          <cell r="N53">
            <v>70</v>
          </cell>
          <cell r="O53">
            <v>85</v>
          </cell>
          <cell r="P53">
            <v>85</v>
          </cell>
          <cell r="Q53">
            <v>80</v>
          </cell>
          <cell r="R53">
            <v>100</v>
          </cell>
          <cell r="S53">
            <v>100</v>
          </cell>
          <cell r="U53">
            <v>0</v>
          </cell>
        </row>
        <row r="54">
          <cell r="F54">
            <v>100</v>
          </cell>
          <cell r="G54">
            <v>100</v>
          </cell>
          <cell r="H54">
            <v>100</v>
          </cell>
          <cell r="I54">
            <v>90</v>
          </cell>
          <cell r="J54">
            <v>100</v>
          </cell>
          <cell r="K54">
            <v>90</v>
          </cell>
          <cell r="L54">
            <v>100</v>
          </cell>
          <cell r="M54">
            <v>100</v>
          </cell>
          <cell r="N54">
            <v>80</v>
          </cell>
          <cell r="O54">
            <v>100</v>
          </cell>
          <cell r="P54">
            <v>100</v>
          </cell>
          <cell r="Q54">
            <v>90</v>
          </cell>
          <cell r="R54">
            <v>100</v>
          </cell>
          <cell r="S54">
            <v>100</v>
          </cell>
          <cell r="U54">
            <v>0</v>
          </cell>
        </row>
        <row r="55">
          <cell r="F55">
            <v>0</v>
          </cell>
          <cell r="G55">
            <v>0</v>
          </cell>
          <cell r="H55">
            <v>100</v>
          </cell>
          <cell r="I55">
            <v>100</v>
          </cell>
          <cell r="J55">
            <v>0</v>
          </cell>
          <cell r="K55">
            <v>0</v>
          </cell>
          <cell r="L55">
            <v>100</v>
          </cell>
          <cell r="M55">
            <v>80</v>
          </cell>
          <cell r="N55">
            <v>70</v>
          </cell>
          <cell r="O55">
            <v>45</v>
          </cell>
          <cell r="P55">
            <v>0</v>
          </cell>
          <cell r="Q55">
            <v>80</v>
          </cell>
          <cell r="R55">
            <v>100</v>
          </cell>
          <cell r="S55">
            <v>100</v>
          </cell>
          <cell r="U55">
            <v>0</v>
          </cell>
        </row>
        <row r="56">
          <cell r="F56">
            <v>100</v>
          </cell>
          <cell r="G56">
            <v>0</v>
          </cell>
          <cell r="H56">
            <v>100</v>
          </cell>
          <cell r="I56">
            <v>100</v>
          </cell>
          <cell r="J56">
            <v>85</v>
          </cell>
          <cell r="K56">
            <v>100</v>
          </cell>
          <cell r="L56">
            <v>100</v>
          </cell>
          <cell r="M56">
            <v>100</v>
          </cell>
          <cell r="N56">
            <v>100</v>
          </cell>
          <cell r="O56">
            <v>95</v>
          </cell>
          <cell r="P56">
            <v>85</v>
          </cell>
          <cell r="Q56">
            <v>95</v>
          </cell>
          <cell r="R56">
            <v>0</v>
          </cell>
          <cell r="S56">
            <v>100</v>
          </cell>
          <cell r="U56">
            <v>100</v>
          </cell>
        </row>
        <row r="57">
          <cell r="F57">
            <v>100</v>
          </cell>
          <cell r="G57">
            <v>0</v>
          </cell>
          <cell r="H57">
            <v>50</v>
          </cell>
          <cell r="I57">
            <v>100</v>
          </cell>
          <cell r="J57">
            <v>75</v>
          </cell>
          <cell r="K57">
            <v>0</v>
          </cell>
          <cell r="L57">
            <v>100</v>
          </cell>
          <cell r="M57">
            <v>100</v>
          </cell>
          <cell r="N57">
            <v>50</v>
          </cell>
          <cell r="O57">
            <v>0</v>
          </cell>
          <cell r="P57">
            <v>50</v>
          </cell>
          <cell r="Q57">
            <v>100</v>
          </cell>
          <cell r="R57">
            <v>100</v>
          </cell>
          <cell r="S57">
            <v>100</v>
          </cell>
          <cell r="U57">
            <v>0</v>
          </cell>
        </row>
        <row r="58">
          <cell r="F58">
            <v>100</v>
          </cell>
          <cell r="G58">
            <v>100</v>
          </cell>
          <cell r="H58">
            <v>100</v>
          </cell>
          <cell r="I58">
            <v>90</v>
          </cell>
          <cell r="J58">
            <v>100</v>
          </cell>
          <cell r="K58">
            <v>100</v>
          </cell>
          <cell r="L58">
            <v>100</v>
          </cell>
          <cell r="M58">
            <v>100</v>
          </cell>
          <cell r="N58">
            <v>80</v>
          </cell>
          <cell r="O58">
            <v>90</v>
          </cell>
          <cell r="P58">
            <v>100</v>
          </cell>
          <cell r="Q58">
            <v>90</v>
          </cell>
          <cell r="R58">
            <v>100</v>
          </cell>
          <cell r="S58">
            <v>100</v>
          </cell>
          <cell r="U58">
            <v>0</v>
          </cell>
        </row>
        <row r="59">
          <cell r="F59">
            <v>100</v>
          </cell>
          <cell r="G59">
            <v>0</v>
          </cell>
          <cell r="H59">
            <v>100</v>
          </cell>
          <cell r="I59">
            <v>100</v>
          </cell>
          <cell r="J59">
            <v>100</v>
          </cell>
          <cell r="K59">
            <v>100</v>
          </cell>
          <cell r="L59">
            <v>100</v>
          </cell>
          <cell r="M59">
            <v>100</v>
          </cell>
          <cell r="N59">
            <v>70</v>
          </cell>
          <cell r="O59">
            <v>0</v>
          </cell>
          <cell r="P59">
            <v>75</v>
          </cell>
          <cell r="Q59">
            <v>80</v>
          </cell>
          <cell r="R59">
            <v>0</v>
          </cell>
          <cell r="S59">
            <v>100</v>
          </cell>
          <cell r="U59">
            <v>0</v>
          </cell>
        </row>
        <row r="60">
          <cell r="F60">
            <v>100</v>
          </cell>
          <cell r="G60">
            <v>100</v>
          </cell>
          <cell r="H60">
            <v>50</v>
          </cell>
          <cell r="I60">
            <v>90</v>
          </cell>
          <cell r="J60">
            <v>100</v>
          </cell>
          <cell r="K60">
            <v>100</v>
          </cell>
          <cell r="L60">
            <v>100</v>
          </cell>
          <cell r="M60">
            <v>100</v>
          </cell>
          <cell r="N60">
            <v>70</v>
          </cell>
          <cell r="O60">
            <v>100</v>
          </cell>
          <cell r="P60">
            <v>90</v>
          </cell>
          <cell r="Q60">
            <v>80</v>
          </cell>
          <cell r="R60">
            <v>100</v>
          </cell>
          <cell r="S60">
            <v>100</v>
          </cell>
          <cell r="U60">
            <v>100</v>
          </cell>
        </row>
        <row r="61">
          <cell r="F61">
            <v>0</v>
          </cell>
          <cell r="G61">
            <v>0</v>
          </cell>
          <cell r="H61">
            <v>50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U61">
            <v>0</v>
          </cell>
        </row>
        <row r="62"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U62">
            <v>0</v>
          </cell>
        </row>
        <row r="63">
          <cell r="F63">
            <v>100</v>
          </cell>
          <cell r="G63">
            <v>0</v>
          </cell>
          <cell r="H63">
            <v>100</v>
          </cell>
          <cell r="I63">
            <v>90</v>
          </cell>
          <cell r="J63">
            <v>100</v>
          </cell>
          <cell r="K63">
            <v>95</v>
          </cell>
          <cell r="L63">
            <v>100</v>
          </cell>
          <cell r="M63">
            <v>100</v>
          </cell>
          <cell r="N63">
            <v>50</v>
          </cell>
          <cell r="O63">
            <v>0</v>
          </cell>
          <cell r="P63">
            <v>65</v>
          </cell>
          <cell r="Q63">
            <v>100</v>
          </cell>
          <cell r="R63">
            <v>100</v>
          </cell>
          <cell r="S63">
            <v>100</v>
          </cell>
          <cell r="U63">
            <v>0</v>
          </cell>
        </row>
        <row r="64">
          <cell r="F64">
            <v>100</v>
          </cell>
          <cell r="G64">
            <v>0</v>
          </cell>
          <cell r="H64">
            <v>100</v>
          </cell>
          <cell r="I64">
            <v>90</v>
          </cell>
          <cell r="J64">
            <v>100</v>
          </cell>
          <cell r="K64">
            <v>85</v>
          </cell>
          <cell r="L64">
            <v>100</v>
          </cell>
          <cell r="M64">
            <v>100</v>
          </cell>
          <cell r="N64">
            <v>70</v>
          </cell>
          <cell r="O64">
            <v>75</v>
          </cell>
          <cell r="P64">
            <v>55</v>
          </cell>
          <cell r="Q64">
            <v>95</v>
          </cell>
          <cell r="R64">
            <v>100</v>
          </cell>
          <cell r="S64">
            <v>100</v>
          </cell>
          <cell r="U64">
            <v>0</v>
          </cell>
        </row>
        <row r="65">
          <cell r="F65">
            <v>100</v>
          </cell>
          <cell r="G65">
            <v>0</v>
          </cell>
          <cell r="H65">
            <v>100</v>
          </cell>
          <cell r="I65">
            <v>0</v>
          </cell>
          <cell r="J65">
            <v>0</v>
          </cell>
          <cell r="K65">
            <v>0</v>
          </cell>
          <cell r="L65">
            <v>100</v>
          </cell>
          <cell r="M65">
            <v>100</v>
          </cell>
          <cell r="N65">
            <v>70</v>
          </cell>
          <cell r="O65">
            <v>45</v>
          </cell>
          <cell r="P65">
            <v>75</v>
          </cell>
          <cell r="Q65">
            <v>0</v>
          </cell>
          <cell r="R65">
            <v>0</v>
          </cell>
          <cell r="S65">
            <v>100</v>
          </cell>
          <cell r="U65">
            <v>0</v>
          </cell>
        </row>
        <row r="66">
          <cell r="F66">
            <v>100</v>
          </cell>
          <cell r="G66">
            <v>100</v>
          </cell>
          <cell r="H66">
            <v>100</v>
          </cell>
          <cell r="I66">
            <v>90</v>
          </cell>
          <cell r="J66">
            <v>100</v>
          </cell>
          <cell r="K66">
            <v>100</v>
          </cell>
          <cell r="L66">
            <v>100</v>
          </cell>
          <cell r="M66">
            <v>0</v>
          </cell>
          <cell r="N66">
            <v>0</v>
          </cell>
          <cell r="O66">
            <v>90</v>
          </cell>
          <cell r="P66">
            <v>100</v>
          </cell>
          <cell r="Q66">
            <v>90</v>
          </cell>
          <cell r="R66">
            <v>100</v>
          </cell>
          <cell r="S66">
            <v>100</v>
          </cell>
          <cell r="U66">
            <v>0</v>
          </cell>
        </row>
        <row r="67">
          <cell r="F67">
            <v>100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U67">
            <v>0</v>
          </cell>
        </row>
        <row r="68">
          <cell r="F68">
            <v>100</v>
          </cell>
          <cell r="G68">
            <v>0</v>
          </cell>
          <cell r="H68">
            <v>50</v>
          </cell>
          <cell r="I68">
            <v>90</v>
          </cell>
          <cell r="J68">
            <v>40</v>
          </cell>
          <cell r="K68">
            <v>85</v>
          </cell>
          <cell r="L68">
            <v>100</v>
          </cell>
          <cell r="M68">
            <v>100</v>
          </cell>
          <cell r="N68">
            <v>70</v>
          </cell>
          <cell r="O68">
            <v>75</v>
          </cell>
          <cell r="P68">
            <v>70</v>
          </cell>
          <cell r="Q68">
            <v>100</v>
          </cell>
          <cell r="R68">
            <v>100</v>
          </cell>
          <cell r="S68">
            <v>100</v>
          </cell>
          <cell r="U68">
            <v>0</v>
          </cell>
        </row>
        <row r="69">
          <cell r="F69">
            <v>100</v>
          </cell>
          <cell r="G69">
            <v>0</v>
          </cell>
          <cell r="H69">
            <v>100</v>
          </cell>
          <cell r="I69">
            <v>0</v>
          </cell>
          <cell r="J69">
            <v>0</v>
          </cell>
          <cell r="K69">
            <v>100</v>
          </cell>
          <cell r="L69">
            <v>100</v>
          </cell>
          <cell r="M69">
            <v>100</v>
          </cell>
          <cell r="N69">
            <v>0</v>
          </cell>
          <cell r="O69">
            <v>60</v>
          </cell>
          <cell r="P69">
            <v>65</v>
          </cell>
          <cell r="Q69">
            <v>80</v>
          </cell>
          <cell r="R69">
            <v>100</v>
          </cell>
          <cell r="S69">
            <v>100</v>
          </cell>
          <cell r="U69">
            <v>0</v>
          </cell>
        </row>
        <row r="70">
          <cell r="F70">
            <v>100</v>
          </cell>
          <cell r="G70">
            <v>0</v>
          </cell>
          <cell r="H70">
            <v>100</v>
          </cell>
          <cell r="I70">
            <v>90</v>
          </cell>
          <cell r="J70">
            <v>75</v>
          </cell>
          <cell r="K70">
            <v>85</v>
          </cell>
          <cell r="L70">
            <v>100</v>
          </cell>
          <cell r="M70">
            <v>100</v>
          </cell>
          <cell r="N70">
            <v>70</v>
          </cell>
          <cell r="O70">
            <v>90</v>
          </cell>
          <cell r="P70">
            <v>100</v>
          </cell>
          <cell r="Q70">
            <v>100</v>
          </cell>
          <cell r="R70">
            <v>100</v>
          </cell>
          <cell r="S70">
            <v>100</v>
          </cell>
          <cell r="U70">
            <v>0</v>
          </cell>
        </row>
        <row r="71">
          <cell r="F71">
            <v>100</v>
          </cell>
          <cell r="G71">
            <v>0</v>
          </cell>
          <cell r="H71">
            <v>100</v>
          </cell>
          <cell r="I71">
            <v>100</v>
          </cell>
          <cell r="J71">
            <v>100</v>
          </cell>
          <cell r="K71">
            <v>100</v>
          </cell>
          <cell r="L71">
            <v>100</v>
          </cell>
          <cell r="M71">
            <v>100</v>
          </cell>
          <cell r="N71">
            <v>100</v>
          </cell>
          <cell r="O71">
            <v>0</v>
          </cell>
          <cell r="P71">
            <v>100</v>
          </cell>
          <cell r="Q71">
            <v>0</v>
          </cell>
          <cell r="R71">
            <v>0</v>
          </cell>
          <cell r="S71">
            <v>0</v>
          </cell>
          <cell r="U71">
            <v>0</v>
          </cell>
        </row>
        <row r="72">
          <cell r="F72">
            <v>100</v>
          </cell>
          <cell r="G72">
            <v>0</v>
          </cell>
          <cell r="H72">
            <v>100</v>
          </cell>
          <cell r="I72">
            <v>100</v>
          </cell>
          <cell r="J72">
            <v>85</v>
          </cell>
          <cell r="K72">
            <v>100</v>
          </cell>
          <cell r="L72">
            <v>100</v>
          </cell>
          <cell r="M72">
            <v>100</v>
          </cell>
          <cell r="N72">
            <v>90</v>
          </cell>
          <cell r="O72">
            <v>95</v>
          </cell>
          <cell r="P72">
            <v>85</v>
          </cell>
          <cell r="Q72">
            <v>95</v>
          </cell>
          <cell r="R72">
            <v>0</v>
          </cell>
          <cell r="S72">
            <v>100</v>
          </cell>
          <cell r="U72">
            <v>100</v>
          </cell>
        </row>
        <row r="73">
          <cell r="F73">
            <v>100</v>
          </cell>
          <cell r="G73">
            <v>0</v>
          </cell>
          <cell r="H73">
            <v>100</v>
          </cell>
          <cell r="I73">
            <v>0</v>
          </cell>
          <cell r="J73">
            <v>85</v>
          </cell>
          <cell r="K73">
            <v>75</v>
          </cell>
          <cell r="L73">
            <v>100</v>
          </cell>
          <cell r="M73">
            <v>100</v>
          </cell>
          <cell r="N73">
            <v>50</v>
          </cell>
          <cell r="O73">
            <v>90</v>
          </cell>
          <cell r="P73">
            <v>70</v>
          </cell>
          <cell r="Q73">
            <v>0</v>
          </cell>
          <cell r="R73">
            <v>0</v>
          </cell>
          <cell r="S73">
            <v>0</v>
          </cell>
          <cell r="U73">
            <v>0</v>
          </cell>
        </row>
        <row r="74">
          <cell r="F74">
            <v>0</v>
          </cell>
          <cell r="G74">
            <v>0</v>
          </cell>
          <cell r="H74">
            <v>100</v>
          </cell>
          <cell r="I74">
            <v>0</v>
          </cell>
          <cell r="J74">
            <v>85</v>
          </cell>
          <cell r="K74">
            <v>0</v>
          </cell>
          <cell r="L74">
            <v>100</v>
          </cell>
          <cell r="M74">
            <v>100</v>
          </cell>
          <cell r="N74">
            <v>50</v>
          </cell>
          <cell r="O74">
            <v>0</v>
          </cell>
          <cell r="P74">
            <v>20</v>
          </cell>
          <cell r="Q74">
            <v>100</v>
          </cell>
          <cell r="R74">
            <v>100</v>
          </cell>
          <cell r="S74">
            <v>100</v>
          </cell>
          <cell r="U74">
            <v>0</v>
          </cell>
        </row>
        <row r="75">
          <cell r="F75">
            <v>0</v>
          </cell>
          <cell r="G75">
            <v>0</v>
          </cell>
          <cell r="H75">
            <v>100</v>
          </cell>
          <cell r="I75">
            <v>0</v>
          </cell>
          <cell r="J75">
            <v>0</v>
          </cell>
          <cell r="K75">
            <v>50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U75">
            <v>0</v>
          </cell>
        </row>
        <row r="76">
          <cell r="F76">
            <v>100</v>
          </cell>
          <cell r="G76">
            <v>0</v>
          </cell>
          <cell r="H76">
            <v>100</v>
          </cell>
          <cell r="I76">
            <v>100</v>
          </cell>
          <cell r="J76">
            <v>100</v>
          </cell>
          <cell r="K76">
            <v>100</v>
          </cell>
          <cell r="L76">
            <v>100</v>
          </cell>
          <cell r="M76">
            <v>100</v>
          </cell>
          <cell r="N76">
            <v>100</v>
          </cell>
          <cell r="O76">
            <v>100</v>
          </cell>
          <cell r="P76">
            <v>100</v>
          </cell>
          <cell r="Q76">
            <v>100</v>
          </cell>
          <cell r="R76">
            <v>100</v>
          </cell>
          <cell r="S76">
            <v>100</v>
          </cell>
          <cell r="U76">
            <v>0</v>
          </cell>
        </row>
        <row r="77">
          <cell r="F77">
            <v>0</v>
          </cell>
          <cell r="G77">
            <v>0</v>
          </cell>
          <cell r="H77">
            <v>50</v>
          </cell>
          <cell r="I77">
            <v>75</v>
          </cell>
          <cell r="J77">
            <v>0</v>
          </cell>
          <cell r="K77">
            <v>100</v>
          </cell>
          <cell r="L77">
            <v>100</v>
          </cell>
          <cell r="M77">
            <v>100</v>
          </cell>
          <cell r="N77">
            <v>100</v>
          </cell>
          <cell r="O77">
            <v>85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U77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8235A-9D8A-4CEA-9FB5-B1E762F87E9A}">
  <dimension ref="C1:Z82"/>
  <sheetViews>
    <sheetView topLeftCell="A58" zoomScale="70" zoomScaleNormal="70" workbookViewId="0">
      <selection activeCell="P15" sqref="P15"/>
    </sheetView>
  </sheetViews>
  <sheetFormatPr baseColWidth="10" defaultRowHeight="14.5" x14ac:dyDescent="0.35"/>
  <cols>
    <col min="3" max="3" width="4.90625" customWidth="1"/>
    <col min="4" max="4" width="12.6328125" customWidth="1"/>
    <col min="5" max="5" width="33.90625" customWidth="1"/>
    <col min="6" max="9" width="7.453125" customWidth="1"/>
    <col min="10" max="21" width="9.6328125" customWidth="1"/>
  </cols>
  <sheetData>
    <row r="1" spans="3:26" ht="15" thickBot="1" x14ac:dyDescent="0.4"/>
    <row r="2" spans="3:26" ht="101" x14ac:dyDescent="0.35">
      <c r="C2" s="7"/>
      <c r="D2" s="8"/>
      <c r="E2" s="12"/>
      <c r="F2" s="18" t="s">
        <v>89</v>
      </c>
      <c r="G2" s="19" t="s">
        <v>90</v>
      </c>
      <c r="H2" s="19" t="s">
        <v>91</v>
      </c>
      <c r="I2" s="20" t="s">
        <v>92</v>
      </c>
      <c r="J2" s="18" t="s">
        <v>93</v>
      </c>
      <c r="K2" s="19" t="s">
        <v>94</v>
      </c>
      <c r="L2" s="19" t="s">
        <v>95</v>
      </c>
      <c r="M2" s="19" t="s">
        <v>106</v>
      </c>
      <c r="N2" s="19" t="s">
        <v>96</v>
      </c>
      <c r="O2" s="19" t="s">
        <v>97</v>
      </c>
      <c r="P2" s="19" t="s">
        <v>98</v>
      </c>
      <c r="Q2" s="19" t="s">
        <v>99</v>
      </c>
      <c r="R2" s="19" t="s">
        <v>100</v>
      </c>
      <c r="S2" s="19" t="s">
        <v>102</v>
      </c>
      <c r="T2" s="20" t="s">
        <v>105</v>
      </c>
      <c r="U2" s="14" t="s">
        <v>101</v>
      </c>
      <c r="W2" s="2"/>
      <c r="X2" s="2"/>
      <c r="Y2" s="3"/>
      <c r="Z2" s="3"/>
    </row>
    <row r="3" spans="3:26" x14ac:dyDescent="0.35">
      <c r="C3" s="9"/>
      <c r="D3" s="9"/>
      <c r="E3" s="13" t="s">
        <v>107</v>
      </c>
      <c r="F3" s="21">
        <v>0.5</v>
      </c>
      <c r="G3" s="10">
        <v>0.5</v>
      </c>
      <c r="H3" s="10">
        <v>0.5</v>
      </c>
      <c r="I3" s="22">
        <v>0.5</v>
      </c>
      <c r="J3" s="21">
        <v>1</v>
      </c>
      <c r="K3" s="10">
        <v>1</v>
      </c>
      <c r="L3" s="10">
        <v>1</v>
      </c>
      <c r="M3" s="10">
        <v>1.5</v>
      </c>
      <c r="N3" s="10">
        <v>2</v>
      </c>
      <c r="O3" s="10">
        <v>2</v>
      </c>
      <c r="P3" s="10">
        <v>2</v>
      </c>
      <c r="Q3" s="10">
        <v>1</v>
      </c>
      <c r="R3" s="10">
        <v>1.5</v>
      </c>
      <c r="S3" s="10">
        <v>5</v>
      </c>
      <c r="T3" s="22">
        <f>SUM(F3:S3)</f>
        <v>20</v>
      </c>
      <c r="U3" s="15">
        <v>1</v>
      </c>
    </row>
    <row r="4" spans="3:26" x14ac:dyDescent="0.35">
      <c r="C4" s="8" t="s">
        <v>0</v>
      </c>
      <c r="D4" s="8" t="s">
        <v>1</v>
      </c>
      <c r="E4" s="12" t="s">
        <v>2</v>
      </c>
      <c r="F4" s="23" t="s">
        <v>81</v>
      </c>
      <c r="G4" s="11" t="s">
        <v>82</v>
      </c>
      <c r="H4" s="11" t="s">
        <v>83</v>
      </c>
      <c r="I4" s="24" t="s">
        <v>84</v>
      </c>
      <c r="J4" s="23" t="s">
        <v>85</v>
      </c>
      <c r="K4" s="11" t="s">
        <v>85</v>
      </c>
      <c r="L4" s="11" t="s">
        <v>86</v>
      </c>
      <c r="M4" s="11" t="s">
        <v>86</v>
      </c>
      <c r="N4" s="11" t="s">
        <v>87</v>
      </c>
      <c r="O4" s="11" t="s">
        <v>88</v>
      </c>
      <c r="P4" s="11" t="s">
        <v>86</v>
      </c>
      <c r="Q4" s="11" t="s">
        <v>86</v>
      </c>
      <c r="R4" s="11" t="s">
        <v>86</v>
      </c>
      <c r="S4" s="11" t="s">
        <v>103</v>
      </c>
      <c r="T4" s="24" t="s">
        <v>104</v>
      </c>
      <c r="U4" s="16" t="s">
        <v>80</v>
      </c>
    </row>
    <row r="5" spans="3:26" x14ac:dyDescent="0.35">
      <c r="C5">
        <v>1</v>
      </c>
      <c r="D5">
        <v>202030174</v>
      </c>
      <c r="E5" t="s">
        <v>3</v>
      </c>
      <c r="F5">
        <f>[1]Hoja1!F5</f>
        <v>0</v>
      </c>
      <c r="G5">
        <f>[1]Hoja1!G5</f>
        <v>0</v>
      </c>
      <c r="H5">
        <f>[1]Hoja1!H5</f>
        <v>50</v>
      </c>
      <c r="I5">
        <f>[1]Hoja1!I5</f>
        <v>0</v>
      </c>
      <c r="J5">
        <f>[1]Hoja1!J5</f>
        <v>0</v>
      </c>
      <c r="K5">
        <f>[1]Hoja1!K5</f>
        <v>0</v>
      </c>
      <c r="L5">
        <f>[1]Hoja1!L5</f>
        <v>0</v>
      </c>
      <c r="M5">
        <f>[1]Hoja1!M5</f>
        <v>100</v>
      </c>
      <c r="N5">
        <f>[1]Hoja1!N5</f>
        <v>0</v>
      </c>
      <c r="O5">
        <f>[1]Hoja1!O5</f>
        <v>0</v>
      </c>
      <c r="P5">
        <f>[1]Hoja1!P5</f>
        <v>100</v>
      </c>
      <c r="Q5">
        <f>[1]Hoja1!Q5</f>
        <v>0</v>
      </c>
      <c r="R5">
        <f>[1]Hoja1!R5</f>
        <v>0</v>
      </c>
      <c r="S5">
        <f>[1]Hoja1!S5</f>
        <v>0</v>
      </c>
      <c r="T5">
        <f>[1]Hoja1!T5</f>
        <v>0</v>
      </c>
      <c r="U5">
        <f>[1]Hoja1!U5</f>
        <v>0</v>
      </c>
    </row>
    <row r="6" spans="3:26" x14ac:dyDescent="0.35">
      <c r="C6">
        <v>2</v>
      </c>
      <c r="D6">
        <v>202032032</v>
      </c>
      <c r="E6" t="s">
        <v>4</v>
      </c>
      <c r="F6">
        <f>[1]Hoja1!F6</f>
        <v>100</v>
      </c>
      <c r="G6">
        <f>[1]Hoja1!G6</f>
        <v>0</v>
      </c>
      <c r="H6">
        <f>[1]Hoja1!H6</f>
        <v>50</v>
      </c>
      <c r="I6">
        <f>[1]Hoja1!I6</f>
        <v>100</v>
      </c>
      <c r="J6">
        <f>[1]Hoja1!J6</f>
        <v>100</v>
      </c>
      <c r="K6">
        <f>[1]Hoja1!K6</f>
        <v>100</v>
      </c>
      <c r="L6">
        <f>[1]Hoja1!L6</f>
        <v>100</v>
      </c>
      <c r="M6">
        <f>[1]Hoja1!M6</f>
        <v>100</v>
      </c>
      <c r="N6">
        <f>[1]Hoja1!N6</f>
        <v>80</v>
      </c>
      <c r="O6">
        <f>[1]Hoja1!O6</f>
        <v>100</v>
      </c>
      <c r="P6">
        <f>[1]Hoja1!P6</f>
        <v>100</v>
      </c>
      <c r="Q6">
        <f>[1]Hoja1!Q6</f>
        <v>100</v>
      </c>
      <c r="R6">
        <f>[1]Hoja1!R6</f>
        <v>100</v>
      </c>
      <c r="S6">
        <f>[1]Hoja1!S6</f>
        <v>100</v>
      </c>
      <c r="T6">
        <f>[1]Hoja1!T6</f>
        <v>0</v>
      </c>
      <c r="U6">
        <f>[1]Hoja1!U6</f>
        <v>0</v>
      </c>
    </row>
    <row r="7" spans="3:26" x14ac:dyDescent="0.35">
      <c r="C7">
        <v>3</v>
      </c>
      <c r="D7">
        <v>202231116</v>
      </c>
      <c r="E7" t="s">
        <v>5</v>
      </c>
      <c r="F7">
        <f>[1]Hoja1!F7</f>
        <v>100</v>
      </c>
      <c r="G7">
        <f>[1]Hoja1!G7</f>
        <v>0</v>
      </c>
      <c r="H7">
        <f>[1]Hoja1!H7</f>
        <v>100</v>
      </c>
      <c r="I7">
        <f>[1]Hoja1!I7</f>
        <v>0</v>
      </c>
      <c r="J7">
        <f>[1]Hoja1!J7</f>
        <v>85</v>
      </c>
      <c r="K7">
        <f>[1]Hoja1!K7</f>
        <v>100</v>
      </c>
      <c r="L7">
        <f>[1]Hoja1!L7</f>
        <v>100</v>
      </c>
      <c r="M7">
        <f>[1]Hoja1!M7</f>
        <v>100</v>
      </c>
      <c r="N7">
        <f>[1]Hoja1!N7</f>
        <v>70</v>
      </c>
      <c r="O7">
        <f>[1]Hoja1!O7</f>
        <v>0</v>
      </c>
      <c r="P7">
        <f>[1]Hoja1!P7</f>
        <v>85</v>
      </c>
      <c r="Q7">
        <f>[1]Hoja1!Q7</f>
        <v>80</v>
      </c>
      <c r="R7">
        <f>[1]Hoja1!R7</f>
        <v>0</v>
      </c>
      <c r="S7">
        <f>[1]Hoja1!S7</f>
        <v>100</v>
      </c>
      <c r="T7">
        <f>[1]Hoja1!T7</f>
        <v>0</v>
      </c>
      <c r="U7">
        <f>[1]Hoja1!U7</f>
        <v>100</v>
      </c>
    </row>
    <row r="8" spans="3:26" x14ac:dyDescent="0.35">
      <c r="C8">
        <v>4</v>
      </c>
      <c r="D8">
        <v>202330276</v>
      </c>
      <c r="E8" t="s">
        <v>6</v>
      </c>
      <c r="F8">
        <f>[1]Hoja1!F8</f>
        <v>0</v>
      </c>
      <c r="G8">
        <f>[1]Hoja1!G8</f>
        <v>0</v>
      </c>
      <c r="H8">
        <f>[1]Hoja1!H8</f>
        <v>0</v>
      </c>
      <c r="I8">
        <f>[1]Hoja1!I8</f>
        <v>0</v>
      </c>
      <c r="J8">
        <f>[1]Hoja1!J8</f>
        <v>0</v>
      </c>
      <c r="K8">
        <f>[1]Hoja1!K8</f>
        <v>0</v>
      </c>
      <c r="L8">
        <f>[1]Hoja1!L8</f>
        <v>0</v>
      </c>
      <c r="M8">
        <f>[1]Hoja1!M8</f>
        <v>0</v>
      </c>
      <c r="N8">
        <f>[1]Hoja1!N8</f>
        <v>0</v>
      </c>
      <c r="O8">
        <f>[1]Hoja1!O8</f>
        <v>0</v>
      </c>
      <c r="P8">
        <f>[1]Hoja1!P8</f>
        <v>0</v>
      </c>
      <c r="Q8">
        <f>[1]Hoja1!Q8</f>
        <v>0</v>
      </c>
      <c r="R8">
        <f>[1]Hoja1!R8</f>
        <v>0</v>
      </c>
      <c r="S8">
        <f>[1]Hoja1!S8</f>
        <v>0</v>
      </c>
      <c r="T8">
        <f>[1]Hoja1!T8</f>
        <v>0</v>
      </c>
      <c r="U8">
        <f>[1]Hoja1!U8</f>
        <v>0</v>
      </c>
    </row>
    <row r="9" spans="3:26" x14ac:dyDescent="0.35">
      <c r="C9">
        <v>5</v>
      </c>
      <c r="D9">
        <v>202331587</v>
      </c>
      <c r="E9" t="s">
        <v>7</v>
      </c>
      <c r="F9">
        <f>[1]Hoja1!F9</f>
        <v>0</v>
      </c>
      <c r="G9">
        <f>[1]Hoja1!G9</f>
        <v>0</v>
      </c>
      <c r="H9">
        <f>[1]Hoja1!H9</f>
        <v>100</v>
      </c>
      <c r="I9">
        <f>[1]Hoja1!I9</f>
        <v>90</v>
      </c>
      <c r="J9">
        <f>[1]Hoja1!J9</f>
        <v>0</v>
      </c>
      <c r="K9">
        <f>[1]Hoja1!K9</f>
        <v>50</v>
      </c>
      <c r="L9">
        <f>[1]Hoja1!L9</f>
        <v>90</v>
      </c>
      <c r="M9">
        <f>[1]Hoja1!M9</f>
        <v>80</v>
      </c>
      <c r="N9">
        <f>[1]Hoja1!N9</f>
        <v>75</v>
      </c>
      <c r="O9">
        <f>[1]Hoja1!O9</f>
        <v>85</v>
      </c>
      <c r="P9">
        <f>[1]Hoja1!P9</f>
        <v>0</v>
      </c>
      <c r="Q9">
        <f>[1]Hoja1!Q9</f>
        <v>100</v>
      </c>
      <c r="R9">
        <f>[1]Hoja1!R9</f>
        <v>100</v>
      </c>
      <c r="S9">
        <f>[1]Hoja1!S9</f>
        <v>100</v>
      </c>
      <c r="T9">
        <f>[1]Hoja1!T9</f>
        <v>0</v>
      </c>
      <c r="U9">
        <f>[1]Hoja1!U9</f>
        <v>100</v>
      </c>
    </row>
    <row r="10" spans="3:26" x14ac:dyDescent="0.35">
      <c r="C10">
        <v>6</v>
      </c>
      <c r="D10">
        <v>202332049</v>
      </c>
      <c r="E10" t="s">
        <v>8</v>
      </c>
      <c r="F10">
        <f>[1]Hoja1!F10</f>
        <v>0</v>
      </c>
      <c r="G10">
        <f>[1]Hoja1!G10</f>
        <v>0</v>
      </c>
      <c r="H10">
        <f>[1]Hoja1!H10</f>
        <v>0</v>
      </c>
      <c r="I10">
        <f>[1]Hoja1!I10</f>
        <v>0</v>
      </c>
      <c r="J10">
        <f>[1]Hoja1!J10</f>
        <v>0</v>
      </c>
      <c r="K10">
        <f>[1]Hoja1!K10</f>
        <v>0</v>
      </c>
      <c r="L10">
        <f>[1]Hoja1!L10</f>
        <v>0</v>
      </c>
      <c r="M10">
        <f>[1]Hoja1!M10</f>
        <v>0</v>
      </c>
      <c r="N10">
        <f>[1]Hoja1!N10</f>
        <v>0</v>
      </c>
      <c r="O10">
        <f>[1]Hoja1!O10</f>
        <v>0</v>
      </c>
      <c r="P10">
        <f>[1]Hoja1!P10</f>
        <v>0</v>
      </c>
      <c r="Q10">
        <f>[1]Hoja1!Q10</f>
        <v>0</v>
      </c>
      <c r="R10">
        <f>[1]Hoja1!R10</f>
        <v>0</v>
      </c>
      <c r="S10">
        <f>[1]Hoja1!S10</f>
        <v>0</v>
      </c>
      <c r="T10">
        <f>[1]Hoja1!T10</f>
        <v>0</v>
      </c>
      <c r="U10">
        <f>[1]Hoja1!U10</f>
        <v>0</v>
      </c>
    </row>
    <row r="11" spans="3:26" x14ac:dyDescent="0.35">
      <c r="C11">
        <v>7</v>
      </c>
      <c r="D11">
        <v>202402553</v>
      </c>
      <c r="E11" t="s">
        <v>9</v>
      </c>
      <c r="F11">
        <f>[1]Hoja1!F11</f>
        <v>100</v>
      </c>
      <c r="G11">
        <f>[1]Hoja1!G11</f>
        <v>0</v>
      </c>
      <c r="H11">
        <f>[1]Hoja1!H11</f>
        <v>100</v>
      </c>
      <c r="I11">
        <f>[1]Hoja1!I11</f>
        <v>90</v>
      </c>
      <c r="J11">
        <f>[1]Hoja1!J11</f>
        <v>60</v>
      </c>
      <c r="K11">
        <f>[1]Hoja1!K11</f>
        <v>0</v>
      </c>
      <c r="L11">
        <f>[1]Hoja1!L11</f>
        <v>100</v>
      </c>
      <c r="M11">
        <f>[1]Hoja1!M11</f>
        <v>100</v>
      </c>
      <c r="N11">
        <f>[1]Hoja1!N11</f>
        <v>50</v>
      </c>
      <c r="O11">
        <f>[1]Hoja1!O11</f>
        <v>0</v>
      </c>
      <c r="P11">
        <f>[1]Hoja1!P11</f>
        <v>65</v>
      </c>
      <c r="Q11">
        <f>[1]Hoja1!Q11</f>
        <v>80</v>
      </c>
      <c r="R11">
        <f>[1]Hoja1!R11</f>
        <v>100</v>
      </c>
      <c r="S11">
        <f>[1]Hoja1!S11</f>
        <v>0</v>
      </c>
      <c r="T11">
        <f>[1]Hoja1!T11</f>
        <v>0</v>
      </c>
      <c r="U11">
        <f>[1]Hoja1!U11</f>
        <v>0</v>
      </c>
    </row>
    <row r="12" spans="3:26" x14ac:dyDescent="0.35">
      <c r="C12">
        <v>8</v>
      </c>
      <c r="D12">
        <v>202430271</v>
      </c>
      <c r="E12" t="s">
        <v>10</v>
      </c>
      <c r="F12">
        <f>[1]Hoja1!F12</f>
        <v>0</v>
      </c>
      <c r="G12">
        <f>[1]Hoja1!G12</f>
        <v>100</v>
      </c>
      <c r="H12">
        <f>[1]Hoja1!H12</f>
        <v>0</v>
      </c>
      <c r="I12">
        <f>[1]Hoja1!I12</f>
        <v>0</v>
      </c>
      <c r="J12">
        <f>[1]Hoja1!J12</f>
        <v>100</v>
      </c>
      <c r="K12">
        <f>[1]Hoja1!K12</f>
        <v>100</v>
      </c>
      <c r="L12">
        <f>[1]Hoja1!L12</f>
        <v>0</v>
      </c>
      <c r="M12">
        <f>[1]Hoja1!M12</f>
        <v>0</v>
      </c>
      <c r="N12">
        <f>[1]Hoja1!N12</f>
        <v>0</v>
      </c>
      <c r="O12">
        <f>[1]Hoja1!O12</f>
        <v>0</v>
      </c>
      <c r="P12">
        <f>[1]Hoja1!P12</f>
        <v>70</v>
      </c>
      <c r="Q12">
        <f>[1]Hoja1!Q12</f>
        <v>80</v>
      </c>
      <c r="R12">
        <f>[1]Hoja1!R12</f>
        <v>0</v>
      </c>
      <c r="S12">
        <f>[1]Hoja1!S12</f>
        <v>100</v>
      </c>
      <c r="T12">
        <f>[1]Hoja1!T12</f>
        <v>0</v>
      </c>
      <c r="U12">
        <f>[1]Hoja1!U12</f>
        <v>0</v>
      </c>
    </row>
    <row r="13" spans="3:26" x14ac:dyDescent="0.35">
      <c r="C13">
        <v>9</v>
      </c>
      <c r="D13">
        <v>202430532</v>
      </c>
      <c r="E13" t="s">
        <v>11</v>
      </c>
      <c r="F13">
        <f>[1]Hoja1!F13</f>
        <v>100</v>
      </c>
      <c r="G13">
        <f>[1]Hoja1!G13</f>
        <v>0</v>
      </c>
      <c r="H13">
        <f>[1]Hoja1!H13</f>
        <v>100</v>
      </c>
      <c r="I13">
        <f>[1]Hoja1!I13</f>
        <v>100</v>
      </c>
      <c r="J13">
        <f>[1]Hoja1!J13</f>
        <v>100</v>
      </c>
      <c r="K13">
        <f>[1]Hoja1!K13</f>
        <v>100</v>
      </c>
      <c r="L13">
        <f>[1]Hoja1!L13</f>
        <v>100</v>
      </c>
      <c r="M13">
        <f>[1]Hoja1!M13</f>
        <v>100</v>
      </c>
      <c r="N13">
        <f>[1]Hoja1!N13</f>
        <v>100</v>
      </c>
      <c r="O13">
        <f>[1]Hoja1!O13</f>
        <v>65</v>
      </c>
      <c r="P13">
        <f>[1]Hoja1!P13</f>
        <v>80</v>
      </c>
      <c r="Q13">
        <f>[1]Hoja1!Q13</f>
        <v>100</v>
      </c>
      <c r="R13">
        <f>[1]Hoja1!R13</f>
        <v>100</v>
      </c>
      <c r="S13">
        <f>[1]Hoja1!S13</f>
        <v>100</v>
      </c>
      <c r="T13">
        <f>[1]Hoja1!T13</f>
        <v>0</v>
      </c>
      <c r="U13">
        <f>[1]Hoja1!U13</f>
        <v>0</v>
      </c>
    </row>
    <row r="14" spans="3:26" x14ac:dyDescent="0.35">
      <c r="C14">
        <v>10</v>
      </c>
      <c r="D14">
        <v>202430589</v>
      </c>
      <c r="E14" t="s">
        <v>12</v>
      </c>
      <c r="F14">
        <f>[1]Hoja1!F14</f>
        <v>0</v>
      </c>
      <c r="G14">
        <f>[1]Hoja1!G14</f>
        <v>0</v>
      </c>
      <c r="H14">
        <f>[1]Hoja1!H14</f>
        <v>0</v>
      </c>
      <c r="I14">
        <f>[1]Hoja1!I14</f>
        <v>100</v>
      </c>
      <c r="J14">
        <f>[1]Hoja1!J14</f>
        <v>0</v>
      </c>
      <c r="K14">
        <f>[1]Hoja1!K14</f>
        <v>0</v>
      </c>
      <c r="L14">
        <f>[1]Hoja1!L14</f>
        <v>100</v>
      </c>
      <c r="M14">
        <f>[1]Hoja1!M14</f>
        <v>80</v>
      </c>
      <c r="N14">
        <f>[1]Hoja1!N14</f>
        <v>70</v>
      </c>
      <c r="O14">
        <f>[1]Hoja1!O14</f>
        <v>0</v>
      </c>
      <c r="P14">
        <f>[1]Hoja1!P14</f>
        <v>0</v>
      </c>
      <c r="Q14">
        <f>[1]Hoja1!Q14</f>
        <v>0</v>
      </c>
      <c r="R14">
        <f>[1]Hoja1!R14</f>
        <v>0</v>
      </c>
      <c r="S14">
        <f>[1]Hoja1!S14</f>
        <v>100</v>
      </c>
      <c r="T14">
        <f>[1]Hoja1!T14</f>
        <v>0</v>
      </c>
      <c r="U14">
        <f>[1]Hoja1!U14</f>
        <v>0</v>
      </c>
    </row>
    <row r="15" spans="3:26" x14ac:dyDescent="0.35">
      <c r="C15">
        <v>11</v>
      </c>
      <c r="D15">
        <v>202430602</v>
      </c>
      <c r="E15" t="s">
        <v>13</v>
      </c>
      <c r="F15">
        <f>[1]Hoja1!F15</f>
        <v>0</v>
      </c>
      <c r="G15">
        <f>[1]Hoja1!G15</f>
        <v>0</v>
      </c>
      <c r="H15">
        <f>[1]Hoja1!H15</f>
        <v>100</v>
      </c>
      <c r="I15">
        <f>[1]Hoja1!I15</f>
        <v>0</v>
      </c>
      <c r="J15">
        <f>[1]Hoja1!J15</f>
        <v>60</v>
      </c>
      <c r="K15">
        <f>[1]Hoja1!K15</f>
        <v>0</v>
      </c>
      <c r="L15">
        <f>[1]Hoja1!L15</f>
        <v>90</v>
      </c>
      <c r="M15">
        <f>[1]Hoja1!M15</f>
        <v>100</v>
      </c>
      <c r="N15">
        <f>[1]Hoja1!N15</f>
        <v>0</v>
      </c>
      <c r="O15">
        <f>[1]Hoja1!O15</f>
        <v>0</v>
      </c>
      <c r="P15">
        <f>[1]Hoja1!P15</f>
        <v>30</v>
      </c>
      <c r="Q15">
        <f>[1]Hoja1!Q15</f>
        <v>0</v>
      </c>
      <c r="R15">
        <f>[1]Hoja1!R15</f>
        <v>0</v>
      </c>
      <c r="S15">
        <f>[1]Hoja1!S15</f>
        <v>0</v>
      </c>
      <c r="T15">
        <f>[1]Hoja1!T15</f>
        <v>0</v>
      </c>
      <c r="U15">
        <f>[1]Hoja1!U15</f>
        <v>0</v>
      </c>
    </row>
    <row r="16" spans="3:26" x14ac:dyDescent="0.35">
      <c r="C16">
        <v>12</v>
      </c>
      <c r="D16">
        <v>202430633</v>
      </c>
      <c r="E16" t="s">
        <v>14</v>
      </c>
      <c r="F16">
        <f>[1]Hoja1!F16</f>
        <v>100</v>
      </c>
      <c r="G16">
        <f>[1]Hoja1!G16</f>
        <v>0</v>
      </c>
      <c r="H16">
        <f>[1]Hoja1!H16</f>
        <v>100</v>
      </c>
      <c r="I16">
        <f>[1]Hoja1!I16</f>
        <v>100</v>
      </c>
      <c r="J16">
        <f>[1]Hoja1!J16</f>
        <v>100</v>
      </c>
      <c r="K16">
        <f>[1]Hoja1!K16</f>
        <v>100</v>
      </c>
      <c r="L16">
        <f>[1]Hoja1!L16</f>
        <v>100</v>
      </c>
      <c r="M16">
        <f>[1]Hoja1!M16</f>
        <v>100</v>
      </c>
      <c r="N16">
        <f>[1]Hoja1!N16</f>
        <v>50</v>
      </c>
      <c r="O16">
        <f>[1]Hoja1!O16</f>
        <v>100</v>
      </c>
      <c r="P16">
        <f>[1]Hoja1!P16</f>
        <v>50</v>
      </c>
      <c r="Q16">
        <f>[1]Hoja1!Q16</f>
        <v>0</v>
      </c>
      <c r="R16">
        <f>[1]Hoja1!R16</f>
        <v>0</v>
      </c>
      <c r="S16">
        <f>[1]Hoja1!S16</f>
        <v>100</v>
      </c>
      <c r="T16">
        <f>[1]Hoja1!T16</f>
        <v>0</v>
      </c>
      <c r="U16">
        <f>[1]Hoja1!U16</f>
        <v>100</v>
      </c>
    </row>
    <row r="17" spans="3:21" x14ac:dyDescent="0.35">
      <c r="C17">
        <v>13</v>
      </c>
      <c r="D17">
        <v>202430645</v>
      </c>
      <c r="E17" t="s">
        <v>15</v>
      </c>
      <c r="F17">
        <f>[1]Hoja1!F17</f>
        <v>100</v>
      </c>
      <c r="G17">
        <f>[1]Hoja1!G17</f>
        <v>0</v>
      </c>
      <c r="H17">
        <f>[1]Hoja1!H17</f>
        <v>50</v>
      </c>
      <c r="I17">
        <f>[1]Hoja1!I17</f>
        <v>0</v>
      </c>
      <c r="J17">
        <f>[1]Hoja1!J17</f>
        <v>100</v>
      </c>
      <c r="K17">
        <f>[1]Hoja1!K17</f>
        <v>85</v>
      </c>
      <c r="L17">
        <f>[1]Hoja1!L17</f>
        <v>100</v>
      </c>
      <c r="M17">
        <f>[1]Hoja1!M17</f>
        <v>100</v>
      </c>
      <c r="N17">
        <f>[1]Hoja1!N17</f>
        <v>70</v>
      </c>
      <c r="O17">
        <f>[1]Hoja1!O17</f>
        <v>75</v>
      </c>
      <c r="P17">
        <f>[1]Hoja1!P17</f>
        <v>70</v>
      </c>
      <c r="Q17">
        <f>[1]Hoja1!Q17</f>
        <v>100</v>
      </c>
      <c r="R17">
        <f>[1]Hoja1!R17</f>
        <v>100</v>
      </c>
      <c r="S17">
        <f>[1]Hoja1!S17</f>
        <v>100</v>
      </c>
      <c r="T17">
        <f>[1]Hoja1!T17</f>
        <v>0</v>
      </c>
      <c r="U17">
        <f>[1]Hoja1!U17</f>
        <v>0</v>
      </c>
    </row>
    <row r="18" spans="3:21" x14ac:dyDescent="0.35">
      <c r="C18">
        <v>14</v>
      </c>
      <c r="D18">
        <v>202430733</v>
      </c>
      <c r="E18" t="s">
        <v>16</v>
      </c>
      <c r="F18">
        <f>[1]Hoja1!F18</f>
        <v>100</v>
      </c>
      <c r="G18">
        <f>[1]Hoja1!G18</f>
        <v>0</v>
      </c>
      <c r="H18">
        <f>[1]Hoja1!H18</f>
        <v>50</v>
      </c>
      <c r="I18">
        <f>[1]Hoja1!I18</f>
        <v>100</v>
      </c>
      <c r="J18">
        <f>[1]Hoja1!J18</f>
        <v>85</v>
      </c>
      <c r="K18">
        <f>[1]Hoja1!K18</f>
        <v>100</v>
      </c>
      <c r="L18">
        <f>[1]Hoja1!L18</f>
        <v>100</v>
      </c>
      <c r="M18">
        <f>[1]Hoja1!M18</f>
        <v>100</v>
      </c>
      <c r="N18">
        <f>[1]Hoja1!N18</f>
        <v>50</v>
      </c>
      <c r="O18">
        <f>[1]Hoja1!O18</f>
        <v>100</v>
      </c>
      <c r="P18">
        <f>[1]Hoja1!P18</f>
        <v>100</v>
      </c>
      <c r="Q18">
        <f>[1]Hoja1!Q18</f>
        <v>100</v>
      </c>
      <c r="R18">
        <f>[1]Hoja1!R18</f>
        <v>100</v>
      </c>
      <c r="S18">
        <f>[1]Hoja1!S18</f>
        <v>100</v>
      </c>
      <c r="T18">
        <f>[1]Hoja1!T18</f>
        <v>0</v>
      </c>
      <c r="U18">
        <f>[1]Hoja1!U18</f>
        <v>100</v>
      </c>
    </row>
    <row r="19" spans="3:21" x14ac:dyDescent="0.35">
      <c r="C19">
        <v>15</v>
      </c>
      <c r="D19">
        <v>202430804</v>
      </c>
      <c r="E19" t="s">
        <v>17</v>
      </c>
      <c r="F19">
        <f>[1]Hoja1!F19</f>
        <v>100</v>
      </c>
      <c r="G19">
        <f>[1]Hoja1!G19</f>
        <v>0</v>
      </c>
      <c r="H19">
        <f>[1]Hoja1!H19</f>
        <v>0</v>
      </c>
      <c r="I19">
        <f>[1]Hoja1!I19</f>
        <v>0</v>
      </c>
      <c r="J19">
        <f>[1]Hoja1!J19</f>
        <v>100</v>
      </c>
      <c r="K19">
        <f>[1]Hoja1!K19</f>
        <v>100</v>
      </c>
      <c r="L19">
        <f>[1]Hoja1!L19</f>
        <v>100</v>
      </c>
      <c r="M19">
        <f>[1]Hoja1!M19</f>
        <v>100</v>
      </c>
      <c r="N19">
        <f>[1]Hoja1!N19</f>
        <v>80</v>
      </c>
      <c r="O19">
        <f>[1]Hoja1!O19</f>
        <v>100</v>
      </c>
      <c r="P19">
        <f>[1]Hoja1!P19</f>
        <v>100</v>
      </c>
      <c r="Q19">
        <f>[1]Hoja1!Q19</f>
        <v>0</v>
      </c>
      <c r="R19">
        <f>[1]Hoja1!R19</f>
        <v>0</v>
      </c>
      <c r="S19">
        <f>[1]Hoja1!S19</f>
        <v>0</v>
      </c>
      <c r="T19">
        <f>[1]Hoja1!T19</f>
        <v>0</v>
      </c>
      <c r="U19">
        <f>[1]Hoja1!U19</f>
        <v>0</v>
      </c>
    </row>
    <row r="20" spans="3:21" x14ac:dyDescent="0.35">
      <c r="C20">
        <v>16</v>
      </c>
      <c r="D20">
        <v>202430829</v>
      </c>
      <c r="E20" t="s">
        <v>18</v>
      </c>
      <c r="F20">
        <f>[1]Hoja1!F20</f>
        <v>100</v>
      </c>
      <c r="G20">
        <f>[1]Hoja1!G20</f>
        <v>100</v>
      </c>
      <c r="H20">
        <f>[1]Hoja1!H20</f>
        <v>100</v>
      </c>
      <c r="I20">
        <f>[1]Hoja1!I20</f>
        <v>90</v>
      </c>
      <c r="J20">
        <f>[1]Hoja1!J20</f>
        <v>85</v>
      </c>
      <c r="K20">
        <f>[1]Hoja1!K20</f>
        <v>100</v>
      </c>
      <c r="L20">
        <f>[1]Hoja1!L20</f>
        <v>100</v>
      </c>
      <c r="M20">
        <f>[1]Hoja1!M20</f>
        <v>100</v>
      </c>
      <c r="N20">
        <f>[1]Hoja1!N20</f>
        <v>70</v>
      </c>
      <c r="O20">
        <f>[1]Hoja1!O20</f>
        <v>85</v>
      </c>
      <c r="P20">
        <f>[1]Hoja1!P20</f>
        <v>85</v>
      </c>
      <c r="Q20">
        <f>[1]Hoja1!Q20</f>
        <v>80</v>
      </c>
      <c r="R20">
        <f>[1]Hoja1!R20</f>
        <v>100</v>
      </c>
      <c r="S20">
        <f>[1]Hoja1!S20</f>
        <v>100</v>
      </c>
      <c r="T20">
        <f>[1]Hoja1!T20</f>
        <v>0</v>
      </c>
      <c r="U20">
        <f>[1]Hoja1!U20</f>
        <v>0</v>
      </c>
    </row>
    <row r="21" spans="3:21" x14ac:dyDescent="0.35">
      <c r="C21">
        <v>17</v>
      </c>
      <c r="D21">
        <v>202431169</v>
      </c>
      <c r="E21" t="s">
        <v>19</v>
      </c>
      <c r="F21">
        <f>[1]Hoja1!F21</f>
        <v>100</v>
      </c>
      <c r="G21">
        <f>[1]Hoja1!G21</f>
        <v>0</v>
      </c>
      <c r="H21">
        <f>[1]Hoja1!H21</f>
        <v>50</v>
      </c>
      <c r="I21">
        <f>[1]Hoja1!I21</f>
        <v>100</v>
      </c>
      <c r="J21">
        <f>[1]Hoja1!J21</f>
        <v>85</v>
      </c>
      <c r="K21">
        <f>[1]Hoja1!K21</f>
        <v>100</v>
      </c>
      <c r="L21">
        <f>[1]Hoja1!L21</f>
        <v>100</v>
      </c>
      <c r="M21">
        <f>[1]Hoja1!M21</f>
        <v>100</v>
      </c>
      <c r="N21">
        <f>[1]Hoja1!N21</f>
        <v>50</v>
      </c>
      <c r="O21">
        <f>[1]Hoja1!O21</f>
        <v>100</v>
      </c>
      <c r="P21">
        <f>[1]Hoja1!P21</f>
        <v>100</v>
      </c>
      <c r="Q21">
        <f>[1]Hoja1!Q21</f>
        <v>100</v>
      </c>
      <c r="R21">
        <f>[1]Hoja1!R21</f>
        <v>100</v>
      </c>
      <c r="S21">
        <f>[1]Hoja1!S21</f>
        <v>100</v>
      </c>
      <c r="T21">
        <f>[1]Hoja1!T21</f>
        <v>0</v>
      </c>
      <c r="U21">
        <f>[1]Hoja1!U21</f>
        <v>100</v>
      </c>
    </row>
    <row r="22" spans="3:21" x14ac:dyDescent="0.35">
      <c r="C22">
        <v>18</v>
      </c>
      <c r="D22">
        <v>202431502</v>
      </c>
      <c r="E22" t="s">
        <v>20</v>
      </c>
      <c r="F22">
        <f>[1]Hoja1!F22</f>
        <v>100</v>
      </c>
      <c r="G22">
        <f>[1]Hoja1!G22</f>
        <v>100</v>
      </c>
      <c r="H22">
        <f>[1]Hoja1!H22</f>
        <v>100</v>
      </c>
      <c r="I22">
        <f>[1]Hoja1!I22</f>
        <v>100</v>
      </c>
      <c r="J22">
        <f>[1]Hoja1!J22</f>
        <v>100</v>
      </c>
      <c r="K22">
        <f>[1]Hoja1!K22</f>
        <v>100</v>
      </c>
      <c r="L22">
        <f>[1]Hoja1!L22</f>
        <v>100</v>
      </c>
      <c r="M22">
        <f>[1]Hoja1!M22</f>
        <v>100</v>
      </c>
      <c r="N22">
        <f>[1]Hoja1!N22</f>
        <v>50</v>
      </c>
      <c r="O22">
        <f>[1]Hoja1!O22</f>
        <v>90</v>
      </c>
      <c r="P22">
        <f>[1]Hoja1!P22</f>
        <v>45</v>
      </c>
      <c r="Q22">
        <f>[1]Hoja1!Q22</f>
        <v>80</v>
      </c>
      <c r="R22">
        <f>[1]Hoja1!R22</f>
        <v>100</v>
      </c>
      <c r="S22">
        <f>[1]Hoja1!S22</f>
        <v>100</v>
      </c>
      <c r="T22">
        <f>[1]Hoja1!T22</f>
        <v>0</v>
      </c>
      <c r="U22">
        <f>[1]Hoja1!U22</f>
        <v>0</v>
      </c>
    </row>
    <row r="23" spans="3:21" x14ac:dyDescent="0.35">
      <c r="C23">
        <v>19</v>
      </c>
      <c r="D23">
        <v>202431726</v>
      </c>
      <c r="E23" t="s">
        <v>21</v>
      </c>
      <c r="F23">
        <f>[1]Hoja1!F23</f>
        <v>100</v>
      </c>
      <c r="G23">
        <f>[1]Hoja1!G23</f>
        <v>0</v>
      </c>
      <c r="H23">
        <f>[1]Hoja1!H23</f>
        <v>100</v>
      </c>
      <c r="I23">
        <f>[1]Hoja1!I23</f>
        <v>100</v>
      </c>
      <c r="J23">
        <f>[1]Hoja1!J23</f>
        <v>75</v>
      </c>
      <c r="K23">
        <f>[1]Hoja1!K23</f>
        <v>100</v>
      </c>
      <c r="L23">
        <f>[1]Hoja1!L23</f>
        <v>100</v>
      </c>
      <c r="M23">
        <f>[1]Hoja1!M23</f>
        <v>100</v>
      </c>
      <c r="N23">
        <f>[1]Hoja1!N23</f>
        <v>90</v>
      </c>
      <c r="O23">
        <f>[1]Hoja1!O23</f>
        <v>95</v>
      </c>
      <c r="P23">
        <f>[1]Hoja1!P23</f>
        <v>90</v>
      </c>
      <c r="Q23">
        <f>[1]Hoja1!Q23</f>
        <v>0</v>
      </c>
      <c r="R23">
        <f>[1]Hoja1!R23</f>
        <v>0</v>
      </c>
      <c r="S23">
        <f>[1]Hoja1!S23</f>
        <v>0</v>
      </c>
      <c r="T23">
        <f>[1]Hoja1!T23</f>
        <v>0</v>
      </c>
      <c r="U23">
        <f>[1]Hoja1!U23</f>
        <v>0</v>
      </c>
    </row>
    <row r="24" spans="3:21" x14ac:dyDescent="0.35">
      <c r="C24">
        <v>20</v>
      </c>
      <c r="D24">
        <v>202431817</v>
      </c>
      <c r="E24" t="s">
        <v>22</v>
      </c>
      <c r="F24">
        <f>[1]Hoja1!F24</f>
        <v>0</v>
      </c>
      <c r="G24">
        <f>[1]Hoja1!G24</f>
        <v>0</v>
      </c>
      <c r="H24">
        <f>[1]Hoja1!H24</f>
        <v>100</v>
      </c>
      <c r="I24">
        <f>[1]Hoja1!I24</f>
        <v>100</v>
      </c>
      <c r="J24">
        <f>[1]Hoja1!J24</f>
        <v>0</v>
      </c>
      <c r="K24">
        <f>[1]Hoja1!K24</f>
        <v>0</v>
      </c>
      <c r="L24">
        <f>[1]Hoja1!L24</f>
        <v>100</v>
      </c>
      <c r="M24">
        <f>[1]Hoja1!M24</f>
        <v>0</v>
      </c>
      <c r="N24">
        <f>[1]Hoja1!N24</f>
        <v>0</v>
      </c>
      <c r="O24">
        <f>[1]Hoja1!O24</f>
        <v>15</v>
      </c>
      <c r="P24">
        <f>[1]Hoja1!P24</f>
        <v>90</v>
      </c>
      <c r="Q24">
        <f>[1]Hoja1!Q24</f>
        <v>100</v>
      </c>
      <c r="R24">
        <f>[1]Hoja1!R24</f>
        <v>0</v>
      </c>
      <c r="S24">
        <f>[1]Hoja1!S24</f>
        <v>100</v>
      </c>
      <c r="T24">
        <f>[1]Hoja1!T24</f>
        <v>0</v>
      </c>
      <c r="U24">
        <f>[1]Hoja1!U24</f>
        <v>0</v>
      </c>
    </row>
    <row r="25" spans="3:21" x14ac:dyDescent="0.35">
      <c r="C25">
        <v>21</v>
      </c>
      <c r="D25">
        <v>202431819</v>
      </c>
      <c r="E25" t="s">
        <v>23</v>
      </c>
      <c r="F25">
        <f>[1]Hoja1!F25</f>
        <v>0</v>
      </c>
      <c r="G25">
        <f>[1]Hoja1!G25</f>
        <v>100</v>
      </c>
      <c r="H25">
        <f>[1]Hoja1!H25</f>
        <v>0</v>
      </c>
      <c r="I25">
        <f>[1]Hoja1!I25</f>
        <v>0</v>
      </c>
      <c r="J25">
        <f>[1]Hoja1!J25</f>
        <v>0</v>
      </c>
      <c r="K25">
        <f>[1]Hoja1!K25</f>
        <v>100</v>
      </c>
      <c r="L25">
        <f>[1]Hoja1!L25</f>
        <v>0</v>
      </c>
      <c r="M25">
        <f>[1]Hoja1!M25</f>
        <v>100</v>
      </c>
      <c r="N25">
        <f>[1]Hoja1!N25</f>
        <v>0</v>
      </c>
      <c r="O25">
        <f>[1]Hoja1!O25</f>
        <v>85</v>
      </c>
      <c r="P25">
        <f>[1]Hoja1!P25</f>
        <v>70</v>
      </c>
      <c r="Q25">
        <f>[1]Hoja1!Q25</f>
        <v>80</v>
      </c>
      <c r="R25">
        <f>[1]Hoja1!R25</f>
        <v>100</v>
      </c>
      <c r="S25">
        <f>[1]Hoja1!S25</f>
        <v>100</v>
      </c>
      <c r="T25">
        <f>[1]Hoja1!T25</f>
        <v>0</v>
      </c>
      <c r="U25">
        <f>[1]Hoja1!U25</f>
        <v>0</v>
      </c>
    </row>
    <row r="26" spans="3:21" x14ac:dyDescent="0.35">
      <c r="C26">
        <v>22</v>
      </c>
      <c r="D26">
        <v>202431863</v>
      </c>
      <c r="E26" t="s">
        <v>24</v>
      </c>
      <c r="F26">
        <f>[1]Hoja1!F26</f>
        <v>100</v>
      </c>
      <c r="G26">
        <f>[1]Hoja1!G26</f>
        <v>0</v>
      </c>
      <c r="H26">
        <f>[1]Hoja1!H26</f>
        <v>0</v>
      </c>
      <c r="I26">
        <f>[1]Hoja1!I26</f>
        <v>100</v>
      </c>
      <c r="J26">
        <f>[1]Hoja1!J26</f>
        <v>50</v>
      </c>
      <c r="K26">
        <f>[1]Hoja1!K26</f>
        <v>50</v>
      </c>
      <c r="L26">
        <f>[1]Hoja1!L26</f>
        <v>50</v>
      </c>
      <c r="M26">
        <f>[1]Hoja1!M26</f>
        <v>100</v>
      </c>
      <c r="N26">
        <f>[1]Hoja1!N26</f>
        <v>25</v>
      </c>
      <c r="O26">
        <f>[1]Hoja1!O26</f>
        <v>25</v>
      </c>
      <c r="P26">
        <f>[1]Hoja1!P26</f>
        <v>100</v>
      </c>
      <c r="Q26">
        <f>[1]Hoja1!Q26</f>
        <v>80</v>
      </c>
      <c r="R26">
        <f>[1]Hoja1!R26</f>
        <v>0</v>
      </c>
      <c r="S26">
        <f>[1]Hoja1!S26</f>
        <v>100</v>
      </c>
      <c r="T26">
        <f>[1]Hoja1!T26</f>
        <v>0</v>
      </c>
      <c r="U26">
        <f>[1]Hoja1!U26</f>
        <v>0</v>
      </c>
    </row>
    <row r="27" spans="3:21" x14ac:dyDescent="0.35">
      <c r="C27">
        <v>23</v>
      </c>
      <c r="D27">
        <v>202432080</v>
      </c>
      <c r="E27" t="s">
        <v>25</v>
      </c>
      <c r="F27">
        <f>[1]Hoja1!F27</f>
        <v>100</v>
      </c>
      <c r="G27">
        <f>[1]Hoja1!G27</f>
        <v>0</v>
      </c>
      <c r="H27">
        <f>[1]Hoja1!H27</f>
        <v>0</v>
      </c>
      <c r="I27">
        <f>[1]Hoja1!I27</f>
        <v>0</v>
      </c>
      <c r="J27">
        <f>[1]Hoja1!J27</f>
        <v>0</v>
      </c>
      <c r="K27">
        <f>[1]Hoja1!K27</f>
        <v>100</v>
      </c>
      <c r="L27">
        <f>[1]Hoja1!L27</f>
        <v>100</v>
      </c>
      <c r="M27">
        <f>[1]Hoja1!M27</f>
        <v>100</v>
      </c>
      <c r="N27">
        <f>[1]Hoja1!N27</f>
        <v>70</v>
      </c>
      <c r="O27">
        <f>[1]Hoja1!O27</f>
        <v>100</v>
      </c>
      <c r="P27">
        <f>[1]Hoja1!P27</f>
        <v>100</v>
      </c>
      <c r="Q27">
        <f>[1]Hoja1!Q27</f>
        <v>0</v>
      </c>
      <c r="R27">
        <f>[1]Hoja1!R27</f>
        <v>0</v>
      </c>
      <c r="S27">
        <f>[1]Hoja1!S27</f>
        <v>0</v>
      </c>
      <c r="T27">
        <f>[1]Hoja1!T27</f>
        <v>0</v>
      </c>
      <c r="U27">
        <f>[1]Hoja1!U27</f>
        <v>0</v>
      </c>
    </row>
    <row r="28" spans="3:21" x14ac:dyDescent="0.35">
      <c r="C28">
        <v>24</v>
      </c>
      <c r="D28">
        <v>202432085</v>
      </c>
      <c r="E28" t="s">
        <v>26</v>
      </c>
      <c r="F28">
        <f>[1]Hoja1!F28</f>
        <v>100</v>
      </c>
      <c r="G28">
        <f>[1]Hoja1!G28</f>
        <v>0</v>
      </c>
      <c r="H28">
        <f>[1]Hoja1!H28</f>
        <v>100</v>
      </c>
      <c r="I28">
        <f>[1]Hoja1!I28</f>
        <v>100</v>
      </c>
      <c r="J28">
        <f>[1]Hoja1!J28</f>
        <v>75</v>
      </c>
      <c r="K28">
        <f>[1]Hoja1!K28</f>
        <v>100</v>
      </c>
      <c r="L28">
        <f>[1]Hoja1!L28</f>
        <v>90</v>
      </c>
      <c r="M28">
        <f>[1]Hoja1!M28</f>
        <v>100</v>
      </c>
      <c r="N28">
        <f>[1]Hoja1!N28</f>
        <v>70</v>
      </c>
      <c r="O28">
        <f>[1]Hoja1!O28</f>
        <v>95</v>
      </c>
      <c r="P28">
        <f>[1]Hoja1!P28</f>
        <v>90</v>
      </c>
      <c r="Q28">
        <f>[1]Hoja1!Q28</f>
        <v>0</v>
      </c>
      <c r="R28">
        <f>[1]Hoja1!R28</f>
        <v>0</v>
      </c>
      <c r="S28">
        <f>[1]Hoja1!S28</f>
        <v>0</v>
      </c>
      <c r="T28">
        <f>[1]Hoja1!T28</f>
        <v>0</v>
      </c>
      <c r="U28">
        <f>[1]Hoja1!U28</f>
        <v>0</v>
      </c>
    </row>
    <row r="29" spans="3:21" x14ac:dyDescent="0.35">
      <c r="C29">
        <v>25</v>
      </c>
      <c r="D29">
        <v>202432137</v>
      </c>
      <c r="E29" t="s">
        <v>27</v>
      </c>
      <c r="F29">
        <f>[1]Hoja1!F29</f>
        <v>100</v>
      </c>
      <c r="G29">
        <f>[1]Hoja1!G29</f>
        <v>0</v>
      </c>
      <c r="H29">
        <f>[1]Hoja1!H29</f>
        <v>0</v>
      </c>
      <c r="I29">
        <f>[1]Hoja1!I29</f>
        <v>100</v>
      </c>
      <c r="J29">
        <f>[1]Hoja1!J29</f>
        <v>50</v>
      </c>
      <c r="K29">
        <f>[1]Hoja1!K29</f>
        <v>50</v>
      </c>
      <c r="L29">
        <f>[1]Hoja1!L29</f>
        <v>50</v>
      </c>
      <c r="M29">
        <f>[1]Hoja1!M29</f>
        <v>0</v>
      </c>
      <c r="N29">
        <f>[1]Hoja1!N29</f>
        <v>25</v>
      </c>
      <c r="O29">
        <f>[1]Hoja1!O29</f>
        <v>25</v>
      </c>
      <c r="P29">
        <f>[1]Hoja1!P29</f>
        <v>100</v>
      </c>
      <c r="Q29">
        <f>[1]Hoja1!Q29</f>
        <v>80</v>
      </c>
      <c r="R29">
        <f>[1]Hoja1!R29</f>
        <v>0</v>
      </c>
      <c r="S29">
        <f>[1]Hoja1!S29</f>
        <v>100</v>
      </c>
      <c r="T29">
        <f>[1]Hoja1!T29</f>
        <v>0</v>
      </c>
      <c r="U29">
        <f>[1]Hoja1!U29</f>
        <v>0</v>
      </c>
    </row>
    <row r="30" spans="3:21" x14ac:dyDescent="0.35">
      <c r="C30">
        <v>26</v>
      </c>
      <c r="D30">
        <v>202530125</v>
      </c>
      <c r="E30" t="s">
        <v>28</v>
      </c>
      <c r="F30">
        <f>[1]Hoja1!F30</f>
        <v>0</v>
      </c>
      <c r="G30">
        <f>[1]Hoja1!G30</f>
        <v>0</v>
      </c>
      <c r="H30">
        <f>[1]Hoja1!H30</f>
        <v>100</v>
      </c>
      <c r="I30">
        <f>[1]Hoja1!I30</f>
        <v>100</v>
      </c>
      <c r="J30">
        <f>[1]Hoja1!J30</f>
        <v>100</v>
      </c>
      <c r="K30">
        <f>[1]Hoja1!K30</f>
        <v>75</v>
      </c>
      <c r="L30">
        <f>[1]Hoja1!L30</f>
        <v>90</v>
      </c>
      <c r="M30">
        <f>[1]Hoja1!M30</f>
        <v>100</v>
      </c>
      <c r="N30">
        <f>[1]Hoja1!N30</f>
        <v>80</v>
      </c>
      <c r="O30">
        <f>[1]Hoja1!O30</f>
        <v>90</v>
      </c>
      <c r="P30">
        <f>[1]Hoja1!P30</f>
        <v>60</v>
      </c>
      <c r="Q30">
        <f>[1]Hoja1!Q30</f>
        <v>0</v>
      </c>
      <c r="R30">
        <f>[1]Hoja1!R30</f>
        <v>0</v>
      </c>
      <c r="S30">
        <f>[1]Hoja1!S30</f>
        <v>0</v>
      </c>
      <c r="T30">
        <f>[1]Hoja1!T30</f>
        <v>0</v>
      </c>
      <c r="U30">
        <f>[1]Hoja1!U30</f>
        <v>0</v>
      </c>
    </row>
    <row r="31" spans="3:21" x14ac:dyDescent="0.35">
      <c r="C31">
        <v>27</v>
      </c>
      <c r="D31">
        <v>202530235</v>
      </c>
      <c r="E31" t="s">
        <v>29</v>
      </c>
      <c r="F31">
        <f>[1]Hoja1!F31</f>
        <v>100</v>
      </c>
      <c r="G31">
        <f>[1]Hoja1!G31</f>
        <v>0</v>
      </c>
      <c r="H31">
        <f>[1]Hoja1!H31</f>
        <v>100</v>
      </c>
      <c r="I31">
        <f>[1]Hoja1!I31</f>
        <v>100</v>
      </c>
      <c r="J31">
        <f>[1]Hoja1!J31</f>
        <v>100</v>
      </c>
      <c r="K31">
        <f>[1]Hoja1!K31</f>
        <v>100</v>
      </c>
      <c r="L31">
        <f>[1]Hoja1!L31</f>
        <v>100</v>
      </c>
      <c r="M31">
        <f>[1]Hoja1!M31</f>
        <v>100</v>
      </c>
      <c r="N31">
        <f>[1]Hoja1!N31</f>
        <v>100</v>
      </c>
      <c r="O31">
        <f>[1]Hoja1!O31</f>
        <v>0</v>
      </c>
      <c r="P31">
        <f>[1]Hoja1!P31</f>
        <v>100</v>
      </c>
      <c r="Q31">
        <f>[1]Hoja1!Q31</f>
        <v>80</v>
      </c>
      <c r="R31">
        <f>[1]Hoja1!R31</f>
        <v>100</v>
      </c>
      <c r="S31">
        <f>[1]Hoja1!S31</f>
        <v>100</v>
      </c>
      <c r="T31">
        <f>[1]Hoja1!T31</f>
        <v>0</v>
      </c>
      <c r="U31">
        <f>[1]Hoja1!U31</f>
        <v>100</v>
      </c>
    </row>
    <row r="32" spans="3:21" x14ac:dyDescent="0.35">
      <c r="C32">
        <v>28</v>
      </c>
      <c r="D32">
        <v>202530265</v>
      </c>
      <c r="E32" t="s">
        <v>30</v>
      </c>
      <c r="F32">
        <f>[1]Hoja1!F32</f>
        <v>100</v>
      </c>
      <c r="G32">
        <f>[1]Hoja1!G32</f>
        <v>100</v>
      </c>
      <c r="H32">
        <f>[1]Hoja1!H32</f>
        <v>100</v>
      </c>
      <c r="I32">
        <f>[1]Hoja1!I32</f>
        <v>100</v>
      </c>
      <c r="J32">
        <f>[1]Hoja1!J32</f>
        <v>100</v>
      </c>
      <c r="K32">
        <f>[1]Hoja1!K32</f>
        <v>90</v>
      </c>
      <c r="L32">
        <f>[1]Hoja1!L32</f>
        <v>100</v>
      </c>
      <c r="M32">
        <f>[1]Hoja1!M32</f>
        <v>100</v>
      </c>
      <c r="N32">
        <f>[1]Hoja1!N32</f>
        <v>70</v>
      </c>
      <c r="O32">
        <f>[1]Hoja1!O32</f>
        <v>100</v>
      </c>
      <c r="P32">
        <f>[1]Hoja1!P32</f>
        <v>100</v>
      </c>
      <c r="Q32">
        <f>[1]Hoja1!Q32</f>
        <v>90</v>
      </c>
      <c r="R32">
        <f>[1]Hoja1!R32</f>
        <v>100</v>
      </c>
      <c r="S32">
        <f>[1]Hoja1!S32</f>
        <v>100</v>
      </c>
      <c r="T32">
        <f>[1]Hoja1!T32</f>
        <v>0</v>
      </c>
      <c r="U32">
        <f>[1]Hoja1!U32</f>
        <v>0</v>
      </c>
    </row>
    <row r="33" spans="3:21" x14ac:dyDescent="0.35">
      <c r="C33">
        <v>29</v>
      </c>
      <c r="D33">
        <v>202530315</v>
      </c>
      <c r="E33" t="s">
        <v>31</v>
      </c>
      <c r="F33">
        <f>[1]Hoja1!F33</f>
        <v>100</v>
      </c>
      <c r="G33">
        <f>[1]Hoja1!G33</f>
        <v>0</v>
      </c>
      <c r="H33">
        <f>[1]Hoja1!H33</f>
        <v>100</v>
      </c>
      <c r="I33">
        <f>[1]Hoja1!I33</f>
        <v>100</v>
      </c>
      <c r="J33">
        <f>[1]Hoja1!J33</f>
        <v>100</v>
      </c>
      <c r="K33">
        <f>[1]Hoja1!K33</f>
        <v>100</v>
      </c>
      <c r="L33">
        <f>[1]Hoja1!L33</f>
        <v>100</v>
      </c>
      <c r="M33">
        <f>[1]Hoja1!M33</f>
        <v>100</v>
      </c>
      <c r="N33">
        <f>[1]Hoja1!N33</f>
        <v>50</v>
      </c>
      <c r="O33">
        <f>[1]Hoja1!O33</f>
        <v>100</v>
      </c>
      <c r="P33">
        <f>[1]Hoja1!P33</f>
        <v>50</v>
      </c>
      <c r="Q33">
        <f>[1]Hoja1!Q33</f>
        <v>80</v>
      </c>
      <c r="R33">
        <f>[1]Hoja1!R33</f>
        <v>100</v>
      </c>
      <c r="S33">
        <f>[1]Hoja1!S33</f>
        <v>100</v>
      </c>
      <c r="T33">
        <f>[1]Hoja1!T33</f>
        <v>0</v>
      </c>
      <c r="U33">
        <f>[1]Hoja1!U33</f>
        <v>0</v>
      </c>
    </row>
    <row r="34" spans="3:21" x14ac:dyDescent="0.35">
      <c r="C34">
        <v>30</v>
      </c>
      <c r="D34">
        <v>202530329</v>
      </c>
      <c r="E34" t="s">
        <v>32</v>
      </c>
      <c r="F34">
        <f>[1]Hoja1!F34</f>
        <v>100</v>
      </c>
      <c r="G34">
        <f>[1]Hoja1!G34</f>
        <v>0</v>
      </c>
      <c r="H34">
        <f>[1]Hoja1!H34</f>
        <v>100</v>
      </c>
      <c r="I34">
        <f>[1]Hoja1!I34</f>
        <v>0</v>
      </c>
      <c r="J34">
        <f>[1]Hoja1!J34</f>
        <v>100</v>
      </c>
      <c r="K34">
        <f>[1]Hoja1!K34</f>
        <v>95</v>
      </c>
      <c r="L34">
        <f>[1]Hoja1!L34</f>
        <v>100</v>
      </c>
      <c r="M34">
        <f>[1]Hoja1!M34</f>
        <v>100</v>
      </c>
      <c r="N34">
        <f>[1]Hoja1!N34</f>
        <v>70</v>
      </c>
      <c r="O34">
        <f>[1]Hoja1!O34</f>
        <v>85</v>
      </c>
      <c r="P34">
        <f>[1]Hoja1!P34</f>
        <v>65</v>
      </c>
      <c r="Q34">
        <f>[1]Hoja1!Q34</f>
        <v>80</v>
      </c>
      <c r="R34">
        <f>[1]Hoja1!R34</f>
        <v>100</v>
      </c>
      <c r="S34">
        <f>[1]Hoja1!S34</f>
        <v>100</v>
      </c>
      <c r="T34">
        <f>[1]Hoja1!T34</f>
        <v>0</v>
      </c>
      <c r="U34">
        <f>[1]Hoja1!U34</f>
        <v>0</v>
      </c>
    </row>
    <row r="35" spans="3:21" x14ac:dyDescent="0.35">
      <c r="C35">
        <v>31</v>
      </c>
      <c r="D35">
        <v>202530349</v>
      </c>
      <c r="E35" t="s">
        <v>33</v>
      </c>
      <c r="F35">
        <f>[1]Hoja1!F35</f>
        <v>0</v>
      </c>
      <c r="G35">
        <f>[1]Hoja1!G35</f>
        <v>0</v>
      </c>
      <c r="H35">
        <f>[1]Hoja1!H35</f>
        <v>100</v>
      </c>
      <c r="I35">
        <f>[1]Hoja1!I35</f>
        <v>100</v>
      </c>
      <c r="J35">
        <f>[1]Hoja1!J35</f>
        <v>100</v>
      </c>
      <c r="K35">
        <f>[1]Hoja1!K35</f>
        <v>75</v>
      </c>
      <c r="L35">
        <f>[1]Hoja1!L35</f>
        <v>100</v>
      </c>
      <c r="M35">
        <f>[1]Hoja1!M35</f>
        <v>100</v>
      </c>
      <c r="N35">
        <f>[1]Hoja1!N35</f>
        <v>80</v>
      </c>
      <c r="O35">
        <f>[1]Hoja1!O35</f>
        <v>90</v>
      </c>
      <c r="P35">
        <f>[1]Hoja1!P35</f>
        <v>60</v>
      </c>
      <c r="Q35">
        <f>[1]Hoja1!Q35</f>
        <v>100</v>
      </c>
      <c r="R35">
        <f>[1]Hoja1!R35</f>
        <v>100</v>
      </c>
      <c r="S35">
        <f>[1]Hoja1!S35</f>
        <v>100</v>
      </c>
      <c r="T35">
        <f>[1]Hoja1!T35</f>
        <v>0</v>
      </c>
      <c r="U35">
        <f>[1]Hoja1!U35</f>
        <v>0</v>
      </c>
    </row>
    <row r="36" spans="3:21" x14ac:dyDescent="0.35">
      <c r="C36">
        <v>32</v>
      </c>
      <c r="D36">
        <v>202530357</v>
      </c>
      <c r="E36" t="s">
        <v>34</v>
      </c>
      <c r="F36">
        <f>[1]Hoja1!F36</f>
        <v>100</v>
      </c>
      <c r="G36">
        <f>[1]Hoja1!G36</f>
        <v>0</v>
      </c>
      <c r="H36">
        <f>[1]Hoja1!H36</f>
        <v>100</v>
      </c>
      <c r="I36">
        <f>[1]Hoja1!I36</f>
        <v>100</v>
      </c>
      <c r="J36">
        <f>[1]Hoja1!J36</f>
        <v>100</v>
      </c>
      <c r="K36">
        <f>[1]Hoja1!K36</f>
        <v>100</v>
      </c>
      <c r="L36">
        <f>[1]Hoja1!L36</f>
        <v>100</v>
      </c>
      <c r="M36">
        <f>[1]Hoja1!M36</f>
        <v>100</v>
      </c>
      <c r="N36">
        <f>[1]Hoja1!N36</f>
        <v>80</v>
      </c>
      <c r="O36">
        <f>[1]Hoja1!O36</f>
        <v>65</v>
      </c>
      <c r="P36">
        <f>[1]Hoja1!P36</f>
        <v>80</v>
      </c>
      <c r="Q36">
        <f>[1]Hoja1!Q36</f>
        <v>100</v>
      </c>
      <c r="R36">
        <f>[1]Hoja1!R36</f>
        <v>100</v>
      </c>
      <c r="S36">
        <f>[1]Hoja1!S36</f>
        <v>100</v>
      </c>
      <c r="T36">
        <f>[1]Hoja1!T36</f>
        <v>0</v>
      </c>
      <c r="U36">
        <f>[1]Hoja1!U36</f>
        <v>0</v>
      </c>
    </row>
    <row r="37" spans="3:21" x14ac:dyDescent="0.35">
      <c r="C37">
        <v>33</v>
      </c>
      <c r="D37">
        <v>202530381</v>
      </c>
      <c r="E37" t="s">
        <v>35</v>
      </c>
      <c r="F37">
        <f>[1]Hoja1!F37</f>
        <v>100</v>
      </c>
      <c r="G37">
        <f>[1]Hoja1!G37</f>
        <v>100</v>
      </c>
      <c r="H37">
        <f>[1]Hoja1!H37</f>
        <v>100</v>
      </c>
      <c r="I37">
        <f>[1]Hoja1!I37</f>
        <v>100</v>
      </c>
      <c r="J37">
        <f>[1]Hoja1!J37</f>
        <v>100</v>
      </c>
      <c r="K37">
        <f>[1]Hoja1!K37</f>
        <v>100</v>
      </c>
      <c r="L37">
        <f>[1]Hoja1!L37</f>
        <v>100</v>
      </c>
      <c r="M37">
        <f>[1]Hoja1!M37</f>
        <v>100</v>
      </c>
      <c r="N37">
        <f>[1]Hoja1!N37</f>
        <v>50</v>
      </c>
      <c r="O37">
        <f>[1]Hoja1!O37</f>
        <v>90</v>
      </c>
      <c r="P37">
        <f>[1]Hoja1!P37</f>
        <v>45</v>
      </c>
      <c r="Q37">
        <f>[1]Hoja1!Q37</f>
        <v>80</v>
      </c>
      <c r="R37">
        <f>[1]Hoja1!R37</f>
        <v>100</v>
      </c>
      <c r="S37">
        <f>[1]Hoja1!S37</f>
        <v>100</v>
      </c>
      <c r="T37">
        <f>[1]Hoja1!T37</f>
        <v>0</v>
      </c>
      <c r="U37">
        <f>[1]Hoja1!U37</f>
        <v>100</v>
      </c>
    </row>
    <row r="38" spans="3:21" x14ac:dyDescent="0.35">
      <c r="C38">
        <v>34</v>
      </c>
      <c r="D38">
        <v>202530434</v>
      </c>
      <c r="E38" t="s">
        <v>36</v>
      </c>
      <c r="F38">
        <f>[1]Hoja1!F38</f>
        <v>100</v>
      </c>
      <c r="G38">
        <f>[1]Hoja1!G38</f>
        <v>0</v>
      </c>
      <c r="H38">
        <f>[1]Hoja1!H38</f>
        <v>100</v>
      </c>
      <c r="I38">
        <f>[1]Hoja1!I38</f>
        <v>90</v>
      </c>
      <c r="J38">
        <f>[1]Hoja1!J38</f>
        <v>75</v>
      </c>
      <c r="K38">
        <f>[1]Hoja1!K38</f>
        <v>55</v>
      </c>
      <c r="L38">
        <f>[1]Hoja1!L38</f>
        <v>100</v>
      </c>
      <c r="M38">
        <f>[1]Hoja1!M38</f>
        <v>100</v>
      </c>
      <c r="N38">
        <f>[1]Hoja1!N38</f>
        <v>90</v>
      </c>
      <c r="O38">
        <f>[1]Hoja1!O38</f>
        <v>75</v>
      </c>
      <c r="P38">
        <f>[1]Hoja1!P38</f>
        <v>100</v>
      </c>
      <c r="Q38">
        <f>[1]Hoja1!Q38</f>
        <v>95</v>
      </c>
      <c r="R38">
        <f>[1]Hoja1!R38</f>
        <v>100</v>
      </c>
      <c r="S38">
        <f>[1]Hoja1!S38</f>
        <v>100</v>
      </c>
      <c r="T38">
        <f>[1]Hoja1!T38</f>
        <v>0</v>
      </c>
      <c r="U38">
        <f>[1]Hoja1!U38</f>
        <v>0</v>
      </c>
    </row>
    <row r="39" spans="3:21" x14ac:dyDescent="0.35">
      <c r="C39">
        <v>35</v>
      </c>
      <c r="D39">
        <v>202530446</v>
      </c>
      <c r="E39" t="s">
        <v>37</v>
      </c>
      <c r="F39">
        <f>[1]Hoja1!F39</f>
        <v>100</v>
      </c>
      <c r="G39">
        <f>[1]Hoja1!G39</f>
        <v>0</v>
      </c>
      <c r="H39">
        <f>[1]Hoja1!H39</f>
        <v>100</v>
      </c>
      <c r="I39">
        <f>[1]Hoja1!I39</f>
        <v>0</v>
      </c>
      <c r="J39">
        <f>[1]Hoja1!J39</f>
        <v>100</v>
      </c>
      <c r="K39">
        <f>[1]Hoja1!K39</f>
        <v>100</v>
      </c>
      <c r="L39">
        <f>[1]Hoja1!L39</f>
        <v>100</v>
      </c>
      <c r="M39">
        <f>[1]Hoja1!M39</f>
        <v>100</v>
      </c>
      <c r="N39">
        <f>[1]Hoja1!N39</f>
        <v>50</v>
      </c>
      <c r="O39">
        <f>[1]Hoja1!O39</f>
        <v>85</v>
      </c>
      <c r="P39">
        <f>[1]Hoja1!P39</f>
        <v>80</v>
      </c>
      <c r="Q39">
        <f>[1]Hoja1!Q39</f>
        <v>100</v>
      </c>
      <c r="R39">
        <f>[1]Hoja1!R39</f>
        <v>100</v>
      </c>
      <c r="S39">
        <f>[1]Hoja1!S39</f>
        <v>100</v>
      </c>
      <c r="T39">
        <f>[1]Hoja1!T39</f>
        <v>0</v>
      </c>
      <c r="U39">
        <f>[1]Hoja1!U39</f>
        <v>0</v>
      </c>
    </row>
    <row r="40" spans="3:21" x14ac:dyDescent="0.35">
      <c r="C40">
        <v>36</v>
      </c>
      <c r="D40">
        <v>202530522</v>
      </c>
      <c r="E40" t="s">
        <v>38</v>
      </c>
      <c r="F40">
        <f>[1]Hoja1!F40</f>
        <v>100</v>
      </c>
      <c r="G40">
        <f>[1]Hoja1!G40</f>
        <v>0</v>
      </c>
      <c r="H40">
        <f>[1]Hoja1!H40</f>
        <v>100</v>
      </c>
      <c r="I40">
        <f>[1]Hoja1!I40</f>
        <v>0</v>
      </c>
      <c r="J40">
        <f>[1]Hoja1!J40</f>
        <v>100</v>
      </c>
      <c r="K40">
        <f>[1]Hoja1!K40</f>
        <v>100</v>
      </c>
      <c r="L40">
        <f>[1]Hoja1!L40</f>
        <v>100</v>
      </c>
      <c r="M40">
        <f>[1]Hoja1!M40</f>
        <v>100</v>
      </c>
      <c r="N40">
        <f>[1]Hoja1!N40</f>
        <v>50</v>
      </c>
      <c r="O40">
        <f>[1]Hoja1!O40</f>
        <v>80</v>
      </c>
      <c r="P40">
        <f>[1]Hoja1!P40</f>
        <v>80</v>
      </c>
      <c r="Q40">
        <f>[1]Hoja1!Q40</f>
        <v>0</v>
      </c>
      <c r="R40">
        <f>[1]Hoja1!R40</f>
        <v>0</v>
      </c>
      <c r="S40">
        <f>[1]Hoja1!S40</f>
        <v>0</v>
      </c>
      <c r="T40">
        <f>[1]Hoja1!T40</f>
        <v>0</v>
      </c>
      <c r="U40">
        <f>[1]Hoja1!U40</f>
        <v>0</v>
      </c>
    </row>
    <row r="41" spans="3:21" x14ac:dyDescent="0.35">
      <c r="C41">
        <v>37</v>
      </c>
      <c r="D41">
        <v>202530613</v>
      </c>
      <c r="E41" t="s">
        <v>39</v>
      </c>
      <c r="F41">
        <f>[1]Hoja1!F41</f>
        <v>0</v>
      </c>
      <c r="G41">
        <f>[1]Hoja1!G41</f>
        <v>100</v>
      </c>
      <c r="H41">
        <f>[1]Hoja1!H41</f>
        <v>0</v>
      </c>
      <c r="I41">
        <f>[1]Hoja1!I41</f>
        <v>0</v>
      </c>
      <c r="J41">
        <f>[1]Hoja1!J41</f>
        <v>0</v>
      </c>
      <c r="K41">
        <f>[1]Hoja1!K41</f>
        <v>0</v>
      </c>
      <c r="L41">
        <f>[1]Hoja1!L41</f>
        <v>0</v>
      </c>
      <c r="M41">
        <f>[1]Hoja1!M41</f>
        <v>0</v>
      </c>
      <c r="N41">
        <f>[1]Hoja1!N41</f>
        <v>0</v>
      </c>
      <c r="O41">
        <f>[1]Hoja1!O41</f>
        <v>0</v>
      </c>
      <c r="P41">
        <f>[1]Hoja1!P41</f>
        <v>0</v>
      </c>
      <c r="Q41">
        <f>[1]Hoja1!Q41</f>
        <v>0</v>
      </c>
      <c r="R41">
        <f>[1]Hoja1!R41</f>
        <v>0</v>
      </c>
      <c r="S41">
        <f>[1]Hoja1!S41</f>
        <v>0</v>
      </c>
      <c r="T41">
        <f>[1]Hoja1!T41</f>
        <v>0</v>
      </c>
      <c r="U41">
        <f>[1]Hoja1!U41</f>
        <v>0</v>
      </c>
    </row>
    <row r="42" spans="3:21" x14ac:dyDescent="0.35">
      <c r="C42">
        <v>38</v>
      </c>
      <c r="D42">
        <v>202530621</v>
      </c>
      <c r="E42" t="s">
        <v>40</v>
      </c>
      <c r="F42">
        <f>[1]Hoja1!F42</f>
        <v>100</v>
      </c>
      <c r="G42">
        <f>[1]Hoja1!G42</f>
        <v>0</v>
      </c>
      <c r="H42">
        <f>[1]Hoja1!H42</f>
        <v>100</v>
      </c>
      <c r="I42">
        <f>[1]Hoja1!I42</f>
        <v>90</v>
      </c>
      <c r="J42">
        <f>[1]Hoja1!J42</f>
        <v>70</v>
      </c>
      <c r="K42">
        <f>[1]Hoja1!K42</f>
        <v>100</v>
      </c>
      <c r="L42">
        <f>[1]Hoja1!L42</f>
        <v>100</v>
      </c>
      <c r="M42">
        <f>[1]Hoja1!M42</f>
        <v>100</v>
      </c>
      <c r="N42">
        <f>[1]Hoja1!N42</f>
        <v>0</v>
      </c>
      <c r="O42">
        <f>[1]Hoja1!O42</f>
        <v>60</v>
      </c>
      <c r="P42">
        <f>[1]Hoja1!P42</f>
        <v>65</v>
      </c>
      <c r="Q42">
        <f>[1]Hoja1!Q42</f>
        <v>80</v>
      </c>
      <c r="R42">
        <f>[1]Hoja1!R42</f>
        <v>100</v>
      </c>
      <c r="S42">
        <f>[1]Hoja1!S42</f>
        <v>100</v>
      </c>
      <c r="T42">
        <f>[1]Hoja1!T42</f>
        <v>0</v>
      </c>
      <c r="U42">
        <f>[1]Hoja1!U42</f>
        <v>0</v>
      </c>
    </row>
    <row r="43" spans="3:21" x14ac:dyDescent="0.35">
      <c r="C43">
        <v>39</v>
      </c>
      <c r="D43">
        <v>202530673</v>
      </c>
      <c r="E43" t="s">
        <v>41</v>
      </c>
      <c r="F43">
        <f>[1]Hoja1!F43</f>
        <v>0</v>
      </c>
      <c r="G43">
        <f>[1]Hoja1!G43</f>
        <v>0</v>
      </c>
      <c r="H43">
        <f>[1]Hoja1!H43</f>
        <v>0</v>
      </c>
      <c r="I43">
        <f>[1]Hoja1!I43</f>
        <v>100</v>
      </c>
      <c r="J43">
        <f>[1]Hoja1!J43</f>
        <v>0</v>
      </c>
      <c r="K43">
        <f>[1]Hoja1!K43</f>
        <v>0</v>
      </c>
      <c r="L43">
        <f>[1]Hoja1!L43</f>
        <v>100</v>
      </c>
      <c r="M43">
        <f>[1]Hoja1!M43</f>
        <v>100</v>
      </c>
      <c r="N43">
        <f>[1]Hoja1!N43</f>
        <v>70</v>
      </c>
      <c r="O43">
        <f>[1]Hoja1!O43</f>
        <v>95</v>
      </c>
      <c r="P43">
        <f>[1]Hoja1!P43</f>
        <v>0</v>
      </c>
      <c r="Q43">
        <f>[1]Hoja1!Q43</f>
        <v>0</v>
      </c>
      <c r="R43">
        <f>[1]Hoja1!R43</f>
        <v>0</v>
      </c>
      <c r="S43">
        <f>[1]Hoja1!S43</f>
        <v>100</v>
      </c>
      <c r="T43">
        <f>[1]Hoja1!T43</f>
        <v>0</v>
      </c>
      <c r="U43">
        <f>[1]Hoja1!U43</f>
        <v>0</v>
      </c>
    </row>
    <row r="44" spans="3:21" x14ac:dyDescent="0.35">
      <c r="C44">
        <v>40</v>
      </c>
      <c r="D44">
        <v>202530674</v>
      </c>
      <c r="E44" t="s">
        <v>42</v>
      </c>
      <c r="F44">
        <f>[1]Hoja1!F44</f>
        <v>0</v>
      </c>
      <c r="G44">
        <f>[1]Hoja1!G44</f>
        <v>0</v>
      </c>
      <c r="H44">
        <f>[1]Hoja1!H44</f>
        <v>50</v>
      </c>
      <c r="I44">
        <f>[1]Hoja1!I44</f>
        <v>0</v>
      </c>
      <c r="J44">
        <f>[1]Hoja1!J44</f>
        <v>100</v>
      </c>
      <c r="K44">
        <f>[1]Hoja1!K44</f>
        <v>100</v>
      </c>
      <c r="L44">
        <f>[1]Hoja1!L44</f>
        <v>90</v>
      </c>
      <c r="M44">
        <f>[1]Hoja1!M44</f>
        <v>100</v>
      </c>
      <c r="N44">
        <f>[1]Hoja1!N44</f>
        <v>50</v>
      </c>
      <c r="O44">
        <f>[1]Hoja1!O44</f>
        <v>85</v>
      </c>
      <c r="P44">
        <f>[1]Hoja1!P44</f>
        <v>70</v>
      </c>
      <c r="Q44">
        <f>[1]Hoja1!Q44</f>
        <v>0</v>
      </c>
      <c r="R44">
        <f>[1]Hoja1!R44</f>
        <v>0</v>
      </c>
      <c r="S44">
        <f>[1]Hoja1!S44</f>
        <v>0</v>
      </c>
      <c r="T44">
        <f>[1]Hoja1!T44</f>
        <v>0</v>
      </c>
      <c r="U44">
        <f>[1]Hoja1!U44</f>
        <v>0</v>
      </c>
    </row>
    <row r="45" spans="3:21" x14ac:dyDescent="0.35">
      <c r="C45">
        <v>41</v>
      </c>
      <c r="D45">
        <v>202530677</v>
      </c>
      <c r="E45" t="s">
        <v>43</v>
      </c>
      <c r="F45">
        <f>[1]Hoja1!F45</f>
        <v>100</v>
      </c>
      <c r="G45">
        <f>[1]Hoja1!G45</f>
        <v>0</v>
      </c>
      <c r="H45">
        <f>[1]Hoja1!H45</f>
        <v>100</v>
      </c>
      <c r="I45">
        <f>[1]Hoja1!I45</f>
        <v>0</v>
      </c>
      <c r="J45">
        <f>[1]Hoja1!J45</f>
        <v>100</v>
      </c>
      <c r="K45">
        <f>[1]Hoja1!K45</f>
        <v>0</v>
      </c>
      <c r="L45">
        <f>[1]Hoja1!L45</f>
        <v>100</v>
      </c>
      <c r="M45">
        <f>[1]Hoja1!M45</f>
        <v>0</v>
      </c>
      <c r="N45">
        <f>[1]Hoja1!N45</f>
        <v>0</v>
      </c>
      <c r="O45">
        <f>[1]Hoja1!O45</f>
        <v>0</v>
      </c>
      <c r="P45">
        <f>[1]Hoja1!P45</f>
        <v>0</v>
      </c>
      <c r="Q45">
        <f>[1]Hoja1!Q45</f>
        <v>0</v>
      </c>
      <c r="R45">
        <f>[1]Hoja1!R45</f>
        <v>0</v>
      </c>
      <c r="S45">
        <f>[1]Hoja1!S45</f>
        <v>0</v>
      </c>
      <c r="T45">
        <f>[1]Hoja1!T45</f>
        <v>0</v>
      </c>
      <c r="U45">
        <f>[1]Hoja1!U45</f>
        <v>0</v>
      </c>
    </row>
    <row r="46" spans="3:21" x14ac:dyDescent="0.35">
      <c r="C46">
        <v>42</v>
      </c>
      <c r="D46">
        <v>202530728</v>
      </c>
      <c r="E46" t="s">
        <v>44</v>
      </c>
      <c r="F46">
        <f>[1]Hoja1!F46</f>
        <v>100</v>
      </c>
      <c r="G46">
        <f>[1]Hoja1!G46</f>
        <v>0</v>
      </c>
      <c r="H46">
        <f>[1]Hoja1!H46</f>
        <v>100</v>
      </c>
      <c r="I46">
        <f>[1]Hoja1!I46</f>
        <v>0</v>
      </c>
      <c r="J46">
        <f>[1]Hoja1!J46</f>
        <v>0</v>
      </c>
      <c r="K46">
        <f>[1]Hoja1!K46</f>
        <v>0</v>
      </c>
      <c r="L46">
        <f>[1]Hoja1!L46</f>
        <v>0</v>
      </c>
      <c r="M46">
        <f>[1]Hoja1!M46</f>
        <v>100</v>
      </c>
      <c r="N46">
        <f>[1]Hoja1!N46</f>
        <v>70</v>
      </c>
      <c r="O46">
        <f>[1]Hoja1!O46</f>
        <v>85</v>
      </c>
      <c r="P46">
        <f>[1]Hoja1!P46</f>
        <v>50</v>
      </c>
      <c r="Q46">
        <f>[1]Hoja1!Q46</f>
        <v>80</v>
      </c>
      <c r="R46">
        <f>[1]Hoja1!R46</f>
        <v>100</v>
      </c>
      <c r="S46">
        <f>[1]Hoja1!S46</f>
        <v>100</v>
      </c>
      <c r="T46">
        <f>[1]Hoja1!T46</f>
        <v>0</v>
      </c>
      <c r="U46">
        <f>[1]Hoja1!U46</f>
        <v>0</v>
      </c>
    </row>
    <row r="47" spans="3:21" x14ac:dyDescent="0.35">
      <c r="C47">
        <v>43</v>
      </c>
      <c r="D47">
        <v>202530843</v>
      </c>
      <c r="E47" t="s">
        <v>45</v>
      </c>
      <c r="F47">
        <f>[1]Hoja1!F47</f>
        <v>0</v>
      </c>
      <c r="G47">
        <f>[1]Hoja1!G47</f>
        <v>0</v>
      </c>
      <c r="H47">
        <f>[1]Hoja1!H47</f>
        <v>0</v>
      </c>
      <c r="I47">
        <f>[1]Hoja1!I47</f>
        <v>0</v>
      </c>
      <c r="J47">
        <f>[1]Hoja1!J47</f>
        <v>0</v>
      </c>
      <c r="K47">
        <f>[1]Hoja1!K47</f>
        <v>0</v>
      </c>
      <c r="L47">
        <f>[1]Hoja1!L47</f>
        <v>0</v>
      </c>
      <c r="M47">
        <f>[1]Hoja1!M47</f>
        <v>100</v>
      </c>
      <c r="N47">
        <f>[1]Hoja1!N47</f>
        <v>70</v>
      </c>
      <c r="O47">
        <f>[1]Hoja1!O47</f>
        <v>85</v>
      </c>
      <c r="P47">
        <f>[1]Hoja1!P47</f>
        <v>85</v>
      </c>
      <c r="Q47">
        <f>[1]Hoja1!Q47</f>
        <v>80</v>
      </c>
      <c r="R47">
        <f>[1]Hoja1!R47</f>
        <v>100</v>
      </c>
      <c r="S47">
        <f>[1]Hoja1!S47</f>
        <v>100</v>
      </c>
      <c r="T47">
        <f>[1]Hoja1!T47</f>
        <v>0</v>
      </c>
      <c r="U47">
        <f>[1]Hoja1!U47</f>
        <v>0</v>
      </c>
    </row>
    <row r="48" spans="3:21" x14ac:dyDescent="0.35">
      <c r="C48">
        <v>44</v>
      </c>
      <c r="D48">
        <v>202530866</v>
      </c>
      <c r="E48" t="s">
        <v>46</v>
      </c>
      <c r="F48">
        <f>[1]Hoja1!F48</f>
        <v>100</v>
      </c>
      <c r="G48">
        <f>[1]Hoja1!G48</f>
        <v>0</v>
      </c>
      <c r="H48">
        <f>[1]Hoja1!H48</f>
        <v>100</v>
      </c>
      <c r="I48">
        <f>[1]Hoja1!I48</f>
        <v>90</v>
      </c>
      <c r="J48">
        <f>[1]Hoja1!J48</f>
        <v>100</v>
      </c>
      <c r="K48">
        <f>[1]Hoja1!K48</f>
        <v>100</v>
      </c>
      <c r="L48">
        <f>[1]Hoja1!L48</f>
        <v>90</v>
      </c>
      <c r="M48">
        <f>[1]Hoja1!M48</f>
        <v>100</v>
      </c>
      <c r="N48">
        <f>[1]Hoja1!N48</f>
        <v>50</v>
      </c>
      <c r="O48">
        <f>[1]Hoja1!O48</f>
        <v>85</v>
      </c>
      <c r="P48">
        <f>[1]Hoja1!P48</f>
        <v>55</v>
      </c>
      <c r="Q48">
        <f>[1]Hoja1!Q48</f>
        <v>100</v>
      </c>
      <c r="R48">
        <f>[1]Hoja1!R48</f>
        <v>100</v>
      </c>
      <c r="S48">
        <f>[1]Hoja1!S48</f>
        <v>100</v>
      </c>
      <c r="T48">
        <f>[1]Hoja1!T48</f>
        <v>0</v>
      </c>
      <c r="U48">
        <f>[1]Hoja1!U48</f>
        <v>0</v>
      </c>
    </row>
    <row r="49" spans="3:21" x14ac:dyDescent="0.35">
      <c r="C49">
        <v>45</v>
      </c>
      <c r="D49">
        <v>202530917</v>
      </c>
      <c r="E49" t="s">
        <v>47</v>
      </c>
      <c r="F49">
        <f>[1]Hoja1!F49</f>
        <v>0</v>
      </c>
      <c r="G49">
        <f>[1]Hoja1!G49</f>
        <v>0</v>
      </c>
      <c r="H49">
        <f>[1]Hoja1!H49</f>
        <v>50</v>
      </c>
      <c r="I49">
        <f>[1]Hoja1!I49</f>
        <v>100</v>
      </c>
      <c r="J49">
        <f>[1]Hoja1!J49</f>
        <v>75</v>
      </c>
      <c r="K49">
        <f>[1]Hoja1!K49</f>
        <v>0</v>
      </c>
      <c r="L49">
        <f>[1]Hoja1!L49</f>
        <v>100</v>
      </c>
      <c r="M49">
        <f>[1]Hoja1!M49</f>
        <v>100</v>
      </c>
      <c r="N49">
        <f>[1]Hoja1!N49</f>
        <v>90</v>
      </c>
      <c r="O49">
        <f>[1]Hoja1!O49</f>
        <v>95</v>
      </c>
      <c r="P49">
        <f>[1]Hoja1!P49</f>
        <v>65</v>
      </c>
      <c r="Q49">
        <f>[1]Hoja1!Q49</f>
        <v>100</v>
      </c>
      <c r="R49">
        <f>[1]Hoja1!R49</f>
        <v>100</v>
      </c>
      <c r="S49">
        <f>[1]Hoja1!S49</f>
        <v>100</v>
      </c>
      <c r="T49">
        <f>[1]Hoja1!T49</f>
        <v>0</v>
      </c>
      <c r="U49">
        <f>[1]Hoja1!U49</f>
        <v>0</v>
      </c>
    </row>
    <row r="50" spans="3:21" x14ac:dyDescent="0.35">
      <c r="C50">
        <v>46</v>
      </c>
      <c r="D50">
        <v>202531013</v>
      </c>
      <c r="E50" t="s">
        <v>48</v>
      </c>
      <c r="F50">
        <f>[1]Hoja1!F50</f>
        <v>100</v>
      </c>
      <c r="G50">
        <f>[1]Hoja1!G50</f>
        <v>0</v>
      </c>
      <c r="H50">
        <f>[1]Hoja1!H50</f>
        <v>100</v>
      </c>
      <c r="I50">
        <f>[1]Hoja1!I50</f>
        <v>90</v>
      </c>
      <c r="J50">
        <f>[1]Hoja1!J50</f>
        <v>100</v>
      </c>
      <c r="K50">
        <f>[1]Hoja1!K50</f>
        <v>75</v>
      </c>
      <c r="L50">
        <f>[1]Hoja1!L50</f>
        <v>100</v>
      </c>
      <c r="M50">
        <f>[1]Hoja1!M50</f>
        <v>100</v>
      </c>
      <c r="N50">
        <f>[1]Hoja1!N50</f>
        <v>100</v>
      </c>
      <c r="O50">
        <f>[1]Hoja1!O50</f>
        <v>90</v>
      </c>
      <c r="P50">
        <f>[1]Hoja1!P50</f>
        <v>70</v>
      </c>
      <c r="Q50">
        <f>[1]Hoja1!Q50</f>
        <v>100</v>
      </c>
      <c r="R50">
        <f>[1]Hoja1!R50</f>
        <v>100</v>
      </c>
      <c r="S50">
        <f>[1]Hoja1!S50</f>
        <v>100</v>
      </c>
      <c r="T50">
        <f>[1]Hoja1!T50</f>
        <v>0</v>
      </c>
      <c r="U50">
        <f>[1]Hoja1!U50</f>
        <v>0</v>
      </c>
    </row>
    <row r="51" spans="3:21" x14ac:dyDescent="0.35">
      <c r="C51">
        <v>47</v>
      </c>
      <c r="D51">
        <v>202531019</v>
      </c>
      <c r="E51" t="s">
        <v>49</v>
      </c>
      <c r="F51">
        <f>[1]Hoja1!F51</f>
        <v>0</v>
      </c>
      <c r="G51">
        <f>[1]Hoja1!G51</f>
        <v>0</v>
      </c>
      <c r="H51">
        <f>[1]Hoja1!H51</f>
        <v>100</v>
      </c>
      <c r="I51">
        <f>[1]Hoja1!I51</f>
        <v>90</v>
      </c>
      <c r="J51">
        <f>[1]Hoja1!J51</f>
        <v>100</v>
      </c>
      <c r="K51">
        <f>[1]Hoja1!K51</f>
        <v>55</v>
      </c>
      <c r="L51">
        <f>[1]Hoja1!L51</f>
        <v>100</v>
      </c>
      <c r="M51">
        <f>[1]Hoja1!M51</f>
        <v>100</v>
      </c>
      <c r="N51">
        <f>[1]Hoja1!N51</f>
        <v>95</v>
      </c>
      <c r="O51">
        <f>[1]Hoja1!O51</f>
        <v>0</v>
      </c>
      <c r="P51">
        <f>[1]Hoja1!P51</f>
        <v>55</v>
      </c>
      <c r="Q51">
        <f>[1]Hoja1!Q51</f>
        <v>100</v>
      </c>
      <c r="R51">
        <f>[1]Hoja1!R51</f>
        <v>100</v>
      </c>
      <c r="S51">
        <f>[1]Hoja1!S51</f>
        <v>100</v>
      </c>
      <c r="T51">
        <f>[1]Hoja1!T51</f>
        <v>0</v>
      </c>
      <c r="U51">
        <f>[1]Hoja1!U51</f>
        <v>100</v>
      </c>
    </row>
    <row r="52" spans="3:21" x14ac:dyDescent="0.35">
      <c r="C52">
        <v>48</v>
      </c>
      <c r="D52">
        <v>202531089</v>
      </c>
      <c r="E52" t="s">
        <v>50</v>
      </c>
      <c r="F52">
        <f>[1]Hoja1!F52</f>
        <v>100</v>
      </c>
      <c r="G52">
        <f>[1]Hoja1!G52</f>
        <v>0</v>
      </c>
      <c r="H52">
        <f>[1]Hoja1!H52</f>
        <v>100</v>
      </c>
      <c r="I52">
        <f>[1]Hoja1!I52</f>
        <v>90</v>
      </c>
      <c r="J52">
        <f>[1]Hoja1!J52</f>
        <v>70</v>
      </c>
      <c r="K52">
        <f>[1]Hoja1!K52</f>
        <v>100</v>
      </c>
      <c r="L52">
        <f>[1]Hoja1!L52</f>
        <v>90</v>
      </c>
      <c r="M52">
        <f>[1]Hoja1!M52</f>
        <v>100</v>
      </c>
      <c r="N52">
        <f>[1]Hoja1!N52</f>
        <v>50</v>
      </c>
      <c r="O52">
        <f>[1]Hoja1!O52</f>
        <v>85</v>
      </c>
      <c r="P52">
        <f>[1]Hoja1!P52</f>
        <v>55</v>
      </c>
      <c r="Q52">
        <f>[1]Hoja1!Q52</f>
        <v>100</v>
      </c>
      <c r="R52">
        <f>[1]Hoja1!R52</f>
        <v>100</v>
      </c>
      <c r="S52">
        <f>[1]Hoja1!S52</f>
        <v>100</v>
      </c>
      <c r="T52">
        <f>[1]Hoja1!T52</f>
        <v>0</v>
      </c>
      <c r="U52">
        <f>[1]Hoja1!U52</f>
        <v>0</v>
      </c>
    </row>
    <row r="53" spans="3:21" x14ac:dyDescent="0.35">
      <c r="C53">
        <v>49</v>
      </c>
      <c r="D53">
        <v>202531127</v>
      </c>
      <c r="E53" t="s">
        <v>51</v>
      </c>
      <c r="F53">
        <f>[1]Hoja1!F53</f>
        <v>0</v>
      </c>
      <c r="G53">
        <f>[1]Hoja1!G53</f>
        <v>0</v>
      </c>
      <c r="H53">
        <f>[1]Hoja1!H53</f>
        <v>100</v>
      </c>
      <c r="I53">
        <f>[1]Hoja1!I53</f>
        <v>0</v>
      </c>
      <c r="J53">
        <f>[1]Hoja1!J53</f>
        <v>0</v>
      </c>
      <c r="K53">
        <f>[1]Hoja1!K53</f>
        <v>0</v>
      </c>
      <c r="L53">
        <f>[1]Hoja1!L53</f>
        <v>0</v>
      </c>
      <c r="M53">
        <f>[1]Hoja1!M53</f>
        <v>100</v>
      </c>
      <c r="N53">
        <f>[1]Hoja1!N53</f>
        <v>70</v>
      </c>
      <c r="O53">
        <f>[1]Hoja1!O53</f>
        <v>85</v>
      </c>
      <c r="P53">
        <f>[1]Hoja1!P53</f>
        <v>85</v>
      </c>
      <c r="Q53">
        <f>[1]Hoja1!Q53</f>
        <v>80</v>
      </c>
      <c r="R53">
        <f>[1]Hoja1!R53</f>
        <v>100</v>
      </c>
      <c r="S53">
        <f>[1]Hoja1!S53</f>
        <v>100</v>
      </c>
      <c r="T53">
        <f>[1]Hoja1!T53</f>
        <v>0</v>
      </c>
      <c r="U53">
        <f>[1]Hoja1!U53</f>
        <v>0</v>
      </c>
    </row>
    <row r="54" spans="3:21" x14ac:dyDescent="0.35">
      <c r="C54">
        <v>50</v>
      </c>
      <c r="D54">
        <v>202531213</v>
      </c>
      <c r="E54" t="s">
        <v>52</v>
      </c>
      <c r="F54">
        <f>[1]Hoja1!F54</f>
        <v>100</v>
      </c>
      <c r="G54">
        <f>[1]Hoja1!G54</f>
        <v>100</v>
      </c>
      <c r="H54">
        <f>[1]Hoja1!H54</f>
        <v>100</v>
      </c>
      <c r="I54">
        <f>[1]Hoja1!I54</f>
        <v>90</v>
      </c>
      <c r="J54">
        <f>[1]Hoja1!J54</f>
        <v>100</v>
      </c>
      <c r="K54">
        <f>[1]Hoja1!K54</f>
        <v>90</v>
      </c>
      <c r="L54">
        <f>[1]Hoja1!L54</f>
        <v>100</v>
      </c>
      <c r="M54">
        <f>[1]Hoja1!M54</f>
        <v>100</v>
      </c>
      <c r="N54">
        <f>[1]Hoja1!N54</f>
        <v>80</v>
      </c>
      <c r="O54">
        <f>[1]Hoja1!O54</f>
        <v>100</v>
      </c>
      <c r="P54">
        <f>[1]Hoja1!P54</f>
        <v>100</v>
      </c>
      <c r="Q54">
        <f>[1]Hoja1!Q54</f>
        <v>90</v>
      </c>
      <c r="R54">
        <f>[1]Hoja1!R54</f>
        <v>100</v>
      </c>
      <c r="S54">
        <f>[1]Hoja1!S54</f>
        <v>100</v>
      </c>
      <c r="T54">
        <f>[1]Hoja1!T54</f>
        <v>0</v>
      </c>
      <c r="U54">
        <f>[1]Hoja1!U54</f>
        <v>0</v>
      </c>
    </row>
    <row r="55" spans="3:21" x14ac:dyDescent="0.35">
      <c r="C55">
        <v>51</v>
      </c>
      <c r="D55">
        <v>202531219</v>
      </c>
      <c r="E55" t="s">
        <v>53</v>
      </c>
      <c r="F55">
        <f>[1]Hoja1!F55</f>
        <v>0</v>
      </c>
      <c r="G55">
        <f>[1]Hoja1!G55</f>
        <v>0</v>
      </c>
      <c r="H55">
        <f>[1]Hoja1!H55</f>
        <v>100</v>
      </c>
      <c r="I55">
        <f>[1]Hoja1!I55</f>
        <v>100</v>
      </c>
      <c r="J55">
        <f>[1]Hoja1!J55</f>
        <v>0</v>
      </c>
      <c r="K55">
        <f>[1]Hoja1!K55</f>
        <v>0</v>
      </c>
      <c r="L55">
        <f>[1]Hoja1!L55</f>
        <v>100</v>
      </c>
      <c r="M55">
        <f>[1]Hoja1!M55</f>
        <v>80</v>
      </c>
      <c r="N55">
        <f>[1]Hoja1!N55</f>
        <v>70</v>
      </c>
      <c r="O55">
        <f>[1]Hoja1!O55</f>
        <v>45</v>
      </c>
      <c r="P55">
        <f>[1]Hoja1!P55</f>
        <v>0</v>
      </c>
      <c r="Q55">
        <f>[1]Hoja1!Q55</f>
        <v>80</v>
      </c>
      <c r="R55">
        <f>[1]Hoja1!R55</f>
        <v>100</v>
      </c>
      <c r="S55">
        <f>[1]Hoja1!S55</f>
        <v>100</v>
      </c>
      <c r="T55">
        <f>[1]Hoja1!T55</f>
        <v>0</v>
      </c>
      <c r="U55">
        <f>[1]Hoja1!U55</f>
        <v>0</v>
      </c>
    </row>
    <row r="56" spans="3:21" x14ac:dyDescent="0.35">
      <c r="C56">
        <v>52</v>
      </c>
      <c r="D56">
        <v>202531289</v>
      </c>
      <c r="E56" t="s">
        <v>54</v>
      </c>
      <c r="F56">
        <f>[1]Hoja1!F56</f>
        <v>100</v>
      </c>
      <c r="G56">
        <f>[1]Hoja1!G56</f>
        <v>0</v>
      </c>
      <c r="H56">
        <f>[1]Hoja1!H56</f>
        <v>100</v>
      </c>
      <c r="I56">
        <f>[1]Hoja1!I56</f>
        <v>100</v>
      </c>
      <c r="J56">
        <f>[1]Hoja1!J56</f>
        <v>85</v>
      </c>
      <c r="K56">
        <f>[1]Hoja1!K56</f>
        <v>100</v>
      </c>
      <c r="L56">
        <f>[1]Hoja1!L56</f>
        <v>100</v>
      </c>
      <c r="M56">
        <f>[1]Hoja1!M56</f>
        <v>100</v>
      </c>
      <c r="N56">
        <f>[1]Hoja1!N56</f>
        <v>100</v>
      </c>
      <c r="O56">
        <f>[1]Hoja1!O56</f>
        <v>95</v>
      </c>
      <c r="P56">
        <f>[1]Hoja1!P56</f>
        <v>85</v>
      </c>
      <c r="Q56">
        <f>[1]Hoja1!Q56</f>
        <v>95</v>
      </c>
      <c r="R56">
        <f>[1]Hoja1!R56</f>
        <v>0</v>
      </c>
      <c r="S56">
        <f>[1]Hoja1!S56</f>
        <v>100</v>
      </c>
      <c r="T56">
        <f>[1]Hoja1!T56</f>
        <v>0</v>
      </c>
      <c r="U56">
        <f>[1]Hoja1!U56</f>
        <v>100</v>
      </c>
    </row>
    <row r="57" spans="3:21" x14ac:dyDescent="0.35">
      <c r="C57">
        <v>53</v>
      </c>
      <c r="D57">
        <v>202531319</v>
      </c>
      <c r="E57" t="s">
        <v>55</v>
      </c>
      <c r="F57">
        <f>[1]Hoja1!F57</f>
        <v>100</v>
      </c>
      <c r="G57">
        <f>[1]Hoja1!G57</f>
        <v>0</v>
      </c>
      <c r="H57">
        <f>[1]Hoja1!H57</f>
        <v>50</v>
      </c>
      <c r="I57">
        <f>[1]Hoja1!I57</f>
        <v>100</v>
      </c>
      <c r="J57">
        <f>[1]Hoja1!J57</f>
        <v>75</v>
      </c>
      <c r="K57">
        <f>[1]Hoja1!K57</f>
        <v>0</v>
      </c>
      <c r="L57">
        <f>[1]Hoja1!L57</f>
        <v>100</v>
      </c>
      <c r="M57">
        <f>[1]Hoja1!M57</f>
        <v>100</v>
      </c>
      <c r="N57">
        <f>[1]Hoja1!N57</f>
        <v>50</v>
      </c>
      <c r="O57">
        <f>[1]Hoja1!O57</f>
        <v>0</v>
      </c>
      <c r="P57">
        <f>[1]Hoja1!P57</f>
        <v>50</v>
      </c>
      <c r="Q57">
        <f>[1]Hoja1!Q57</f>
        <v>100</v>
      </c>
      <c r="R57">
        <f>[1]Hoja1!R57</f>
        <v>100</v>
      </c>
      <c r="S57">
        <f>[1]Hoja1!S57</f>
        <v>100</v>
      </c>
      <c r="T57">
        <f>[1]Hoja1!T57</f>
        <v>0</v>
      </c>
      <c r="U57">
        <f>[1]Hoja1!U57</f>
        <v>0</v>
      </c>
    </row>
    <row r="58" spans="3:21" x14ac:dyDescent="0.35">
      <c r="C58">
        <v>54</v>
      </c>
      <c r="D58">
        <v>202531351</v>
      </c>
      <c r="E58" t="s">
        <v>56</v>
      </c>
      <c r="F58">
        <f>[1]Hoja1!F58</f>
        <v>100</v>
      </c>
      <c r="G58">
        <f>[1]Hoja1!G58</f>
        <v>100</v>
      </c>
      <c r="H58">
        <f>[1]Hoja1!H58</f>
        <v>100</v>
      </c>
      <c r="I58">
        <f>[1]Hoja1!I58</f>
        <v>90</v>
      </c>
      <c r="J58">
        <f>[1]Hoja1!J58</f>
        <v>100</v>
      </c>
      <c r="K58">
        <f>[1]Hoja1!K58</f>
        <v>100</v>
      </c>
      <c r="L58">
        <f>[1]Hoja1!L58</f>
        <v>100</v>
      </c>
      <c r="M58">
        <f>[1]Hoja1!M58</f>
        <v>100</v>
      </c>
      <c r="N58">
        <f>[1]Hoja1!N58</f>
        <v>80</v>
      </c>
      <c r="O58">
        <f>[1]Hoja1!O58</f>
        <v>90</v>
      </c>
      <c r="P58">
        <f>[1]Hoja1!P58</f>
        <v>100</v>
      </c>
      <c r="Q58">
        <f>[1]Hoja1!Q58</f>
        <v>90</v>
      </c>
      <c r="R58">
        <f>[1]Hoja1!R58</f>
        <v>100</v>
      </c>
      <c r="S58">
        <f>[1]Hoja1!S58</f>
        <v>100</v>
      </c>
      <c r="T58">
        <f>[1]Hoja1!T58</f>
        <v>0</v>
      </c>
      <c r="U58">
        <f>[1]Hoja1!U58</f>
        <v>0</v>
      </c>
    </row>
    <row r="59" spans="3:21" x14ac:dyDescent="0.35">
      <c r="C59">
        <v>55</v>
      </c>
      <c r="D59">
        <v>202531352</v>
      </c>
      <c r="E59" t="s">
        <v>57</v>
      </c>
      <c r="F59">
        <f>[1]Hoja1!F59</f>
        <v>100</v>
      </c>
      <c r="G59">
        <f>[1]Hoja1!G59</f>
        <v>0</v>
      </c>
      <c r="H59">
        <f>[1]Hoja1!H59</f>
        <v>100</v>
      </c>
      <c r="I59">
        <f>[1]Hoja1!I59</f>
        <v>100</v>
      </c>
      <c r="J59">
        <f>[1]Hoja1!J59</f>
        <v>100</v>
      </c>
      <c r="K59">
        <f>[1]Hoja1!K59</f>
        <v>100</v>
      </c>
      <c r="L59">
        <f>[1]Hoja1!L59</f>
        <v>100</v>
      </c>
      <c r="M59">
        <f>[1]Hoja1!M59</f>
        <v>100</v>
      </c>
      <c r="N59">
        <f>[1]Hoja1!N59</f>
        <v>70</v>
      </c>
      <c r="O59">
        <f>[1]Hoja1!O59</f>
        <v>0</v>
      </c>
      <c r="P59">
        <f>[1]Hoja1!P59</f>
        <v>75</v>
      </c>
      <c r="Q59">
        <f>[1]Hoja1!Q59</f>
        <v>80</v>
      </c>
      <c r="R59">
        <f>[1]Hoja1!R59</f>
        <v>0</v>
      </c>
      <c r="S59">
        <f>[1]Hoja1!S59</f>
        <v>100</v>
      </c>
      <c r="T59">
        <f>[1]Hoja1!T59</f>
        <v>0</v>
      </c>
      <c r="U59">
        <f>[1]Hoja1!U59</f>
        <v>0</v>
      </c>
    </row>
    <row r="60" spans="3:21" x14ac:dyDescent="0.35">
      <c r="C60">
        <v>56</v>
      </c>
      <c r="D60">
        <v>202531384</v>
      </c>
      <c r="E60" t="s">
        <v>58</v>
      </c>
      <c r="F60">
        <f>[1]Hoja1!F60</f>
        <v>100</v>
      </c>
      <c r="G60">
        <f>[1]Hoja1!G60</f>
        <v>100</v>
      </c>
      <c r="H60">
        <f>[1]Hoja1!H60</f>
        <v>50</v>
      </c>
      <c r="I60">
        <f>[1]Hoja1!I60</f>
        <v>90</v>
      </c>
      <c r="J60">
        <f>[1]Hoja1!J60</f>
        <v>100</v>
      </c>
      <c r="K60">
        <f>[1]Hoja1!K60</f>
        <v>100</v>
      </c>
      <c r="L60">
        <f>[1]Hoja1!L60</f>
        <v>100</v>
      </c>
      <c r="M60">
        <f>[1]Hoja1!M60</f>
        <v>100</v>
      </c>
      <c r="N60">
        <f>[1]Hoja1!N60</f>
        <v>70</v>
      </c>
      <c r="O60">
        <f>[1]Hoja1!O60</f>
        <v>100</v>
      </c>
      <c r="P60">
        <f>[1]Hoja1!P60</f>
        <v>90</v>
      </c>
      <c r="Q60">
        <f>[1]Hoja1!Q60</f>
        <v>80</v>
      </c>
      <c r="R60">
        <f>[1]Hoja1!R60</f>
        <v>100</v>
      </c>
      <c r="S60">
        <f>[1]Hoja1!S60</f>
        <v>100</v>
      </c>
      <c r="T60">
        <f>[1]Hoja1!T60</f>
        <v>0</v>
      </c>
      <c r="U60">
        <f>[1]Hoja1!U60</f>
        <v>100</v>
      </c>
    </row>
    <row r="61" spans="3:21" x14ac:dyDescent="0.35">
      <c r="C61">
        <v>57</v>
      </c>
      <c r="D61">
        <v>202531399</v>
      </c>
      <c r="E61" t="s">
        <v>59</v>
      </c>
      <c r="F61">
        <f>[1]Hoja1!F61</f>
        <v>0</v>
      </c>
      <c r="G61">
        <f>[1]Hoja1!G61</f>
        <v>0</v>
      </c>
      <c r="H61">
        <f>[1]Hoja1!H61</f>
        <v>50</v>
      </c>
      <c r="I61">
        <f>[1]Hoja1!I61</f>
        <v>0</v>
      </c>
      <c r="J61">
        <f>[1]Hoja1!J61</f>
        <v>0</v>
      </c>
      <c r="K61">
        <f>[1]Hoja1!K61</f>
        <v>0</v>
      </c>
      <c r="L61">
        <f>[1]Hoja1!L61</f>
        <v>0</v>
      </c>
      <c r="M61">
        <f>[1]Hoja1!M61</f>
        <v>0</v>
      </c>
      <c r="N61">
        <f>[1]Hoja1!N61</f>
        <v>0</v>
      </c>
      <c r="O61">
        <f>[1]Hoja1!O61</f>
        <v>0</v>
      </c>
      <c r="P61">
        <f>[1]Hoja1!P61</f>
        <v>0</v>
      </c>
      <c r="Q61">
        <f>[1]Hoja1!Q61</f>
        <v>0</v>
      </c>
      <c r="R61">
        <f>[1]Hoja1!R61</f>
        <v>0</v>
      </c>
      <c r="S61">
        <f>[1]Hoja1!S61</f>
        <v>0</v>
      </c>
      <c r="T61">
        <f>[1]Hoja1!T61</f>
        <v>0</v>
      </c>
      <c r="U61">
        <f>[1]Hoja1!U61</f>
        <v>0</v>
      </c>
    </row>
    <row r="62" spans="3:21" x14ac:dyDescent="0.35">
      <c r="C62">
        <v>58</v>
      </c>
      <c r="D62">
        <v>202531441</v>
      </c>
      <c r="E62" t="s">
        <v>60</v>
      </c>
      <c r="F62">
        <f>[1]Hoja1!F62</f>
        <v>0</v>
      </c>
      <c r="G62">
        <f>[1]Hoja1!G62</f>
        <v>0</v>
      </c>
      <c r="H62">
        <f>[1]Hoja1!H62</f>
        <v>0</v>
      </c>
      <c r="I62">
        <f>[1]Hoja1!I62</f>
        <v>0</v>
      </c>
      <c r="J62">
        <f>[1]Hoja1!J62</f>
        <v>0</v>
      </c>
      <c r="K62">
        <f>[1]Hoja1!K62</f>
        <v>0</v>
      </c>
      <c r="L62">
        <f>[1]Hoja1!L62</f>
        <v>0</v>
      </c>
      <c r="M62">
        <f>[1]Hoja1!M62</f>
        <v>0</v>
      </c>
      <c r="N62">
        <f>[1]Hoja1!N62</f>
        <v>0</v>
      </c>
      <c r="O62">
        <f>[1]Hoja1!O62</f>
        <v>0</v>
      </c>
      <c r="P62">
        <f>[1]Hoja1!P62</f>
        <v>0</v>
      </c>
      <c r="Q62">
        <f>[1]Hoja1!Q62</f>
        <v>0</v>
      </c>
      <c r="R62">
        <f>[1]Hoja1!R62</f>
        <v>0</v>
      </c>
      <c r="S62">
        <f>[1]Hoja1!S62</f>
        <v>0</v>
      </c>
      <c r="T62">
        <f>[1]Hoja1!T62</f>
        <v>0</v>
      </c>
      <c r="U62">
        <f>[1]Hoja1!U62</f>
        <v>0</v>
      </c>
    </row>
    <row r="63" spans="3:21" x14ac:dyDescent="0.35">
      <c r="C63">
        <v>59</v>
      </c>
      <c r="D63">
        <v>202531444</v>
      </c>
      <c r="E63" t="s">
        <v>61</v>
      </c>
      <c r="F63">
        <f>[1]Hoja1!F63</f>
        <v>100</v>
      </c>
      <c r="G63">
        <f>[1]Hoja1!G63</f>
        <v>0</v>
      </c>
      <c r="H63">
        <f>[1]Hoja1!H63</f>
        <v>100</v>
      </c>
      <c r="I63">
        <f>[1]Hoja1!I63</f>
        <v>90</v>
      </c>
      <c r="J63">
        <f>[1]Hoja1!J63</f>
        <v>100</v>
      </c>
      <c r="K63">
        <f>[1]Hoja1!K63</f>
        <v>95</v>
      </c>
      <c r="L63">
        <f>[1]Hoja1!L63</f>
        <v>100</v>
      </c>
      <c r="M63">
        <f>[1]Hoja1!M63</f>
        <v>100</v>
      </c>
      <c r="N63">
        <f>[1]Hoja1!N63</f>
        <v>50</v>
      </c>
      <c r="O63">
        <f>[1]Hoja1!O63</f>
        <v>0</v>
      </c>
      <c r="P63">
        <f>[1]Hoja1!P63</f>
        <v>65</v>
      </c>
      <c r="Q63">
        <f>[1]Hoja1!Q63</f>
        <v>100</v>
      </c>
      <c r="R63">
        <f>[1]Hoja1!R63</f>
        <v>100</v>
      </c>
      <c r="S63">
        <f>[1]Hoja1!S63</f>
        <v>100</v>
      </c>
      <c r="T63">
        <f>[1]Hoja1!T63</f>
        <v>0</v>
      </c>
      <c r="U63">
        <f>[1]Hoja1!U63</f>
        <v>0</v>
      </c>
    </row>
    <row r="64" spans="3:21" x14ac:dyDescent="0.35">
      <c r="C64">
        <v>60</v>
      </c>
      <c r="D64">
        <v>202531566</v>
      </c>
      <c r="E64" t="s">
        <v>62</v>
      </c>
      <c r="F64">
        <f>[1]Hoja1!F64</f>
        <v>100</v>
      </c>
      <c r="G64">
        <f>[1]Hoja1!G64</f>
        <v>0</v>
      </c>
      <c r="H64">
        <f>[1]Hoja1!H64</f>
        <v>100</v>
      </c>
      <c r="I64">
        <f>[1]Hoja1!I64</f>
        <v>90</v>
      </c>
      <c r="J64">
        <f>[1]Hoja1!J64</f>
        <v>100</v>
      </c>
      <c r="K64">
        <f>[1]Hoja1!K64</f>
        <v>85</v>
      </c>
      <c r="L64">
        <f>[1]Hoja1!L64</f>
        <v>100</v>
      </c>
      <c r="M64">
        <f>[1]Hoja1!M64</f>
        <v>100</v>
      </c>
      <c r="N64">
        <f>[1]Hoja1!N64</f>
        <v>70</v>
      </c>
      <c r="O64">
        <f>[1]Hoja1!O64</f>
        <v>75</v>
      </c>
      <c r="P64">
        <f>[1]Hoja1!P64</f>
        <v>55</v>
      </c>
      <c r="Q64">
        <f>[1]Hoja1!Q64</f>
        <v>95</v>
      </c>
      <c r="R64">
        <f>[1]Hoja1!R64</f>
        <v>100</v>
      </c>
      <c r="S64">
        <f>[1]Hoja1!S64</f>
        <v>100</v>
      </c>
      <c r="T64">
        <f>[1]Hoja1!T64</f>
        <v>0</v>
      </c>
      <c r="U64">
        <f>[1]Hoja1!U64</f>
        <v>0</v>
      </c>
    </row>
    <row r="65" spans="3:21" x14ac:dyDescent="0.35">
      <c r="C65">
        <v>61</v>
      </c>
      <c r="D65">
        <v>202531611</v>
      </c>
      <c r="E65" t="s">
        <v>63</v>
      </c>
      <c r="F65">
        <f>[1]Hoja1!F65</f>
        <v>100</v>
      </c>
      <c r="G65">
        <f>[1]Hoja1!G65</f>
        <v>0</v>
      </c>
      <c r="H65">
        <f>[1]Hoja1!H65</f>
        <v>100</v>
      </c>
      <c r="I65">
        <f>[1]Hoja1!I65</f>
        <v>0</v>
      </c>
      <c r="J65">
        <f>[1]Hoja1!J65</f>
        <v>0</v>
      </c>
      <c r="K65">
        <f>[1]Hoja1!K65</f>
        <v>0</v>
      </c>
      <c r="L65">
        <f>[1]Hoja1!L65</f>
        <v>100</v>
      </c>
      <c r="M65">
        <f>[1]Hoja1!M65</f>
        <v>100</v>
      </c>
      <c r="N65">
        <f>[1]Hoja1!N65</f>
        <v>70</v>
      </c>
      <c r="O65">
        <f>[1]Hoja1!O65</f>
        <v>45</v>
      </c>
      <c r="P65">
        <f>[1]Hoja1!P65</f>
        <v>75</v>
      </c>
      <c r="Q65">
        <f>[1]Hoja1!Q65</f>
        <v>0</v>
      </c>
      <c r="R65">
        <f>[1]Hoja1!R65</f>
        <v>0</v>
      </c>
      <c r="S65">
        <f>[1]Hoja1!S65</f>
        <v>100</v>
      </c>
      <c r="T65">
        <f>[1]Hoja1!T65</f>
        <v>0</v>
      </c>
      <c r="U65">
        <f>[1]Hoja1!U65</f>
        <v>0</v>
      </c>
    </row>
    <row r="66" spans="3:21" x14ac:dyDescent="0.35">
      <c r="C66">
        <v>62</v>
      </c>
      <c r="D66">
        <v>202531645</v>
      </c>
      <c r="E66" t="s">
        <v>64</v>
      </c>
      <c r="F66">
        <f>[1]Hoja1!F66</f>
        <v>100</v>
      </c>
      <c r="G66">
        <f>[1]Hoja1!G66</f>
        <v>100</v>
      </c>
      <c r="H66">
        <f>[1]Hoja1!H66</f>
        <v>100</v>
      </c>
      <c r="I66">
        <f>[1]Hoja1!I66</f>
        <v>90</v>
      </c>
      <c r="J66">
        <f>[1]Hoja1!J66</f>
        <v>100</v>
      </c>
      <c r="K66">
        <f>[1]Hoja1!K66</f>
        <v>100</v>
      </c>
      <c r="L66">
        <f>[1]Hoja1!L66</f>
        <v>100</v>
      </c>
      <c r="M66">
        <f>[1]Hoja1!M66</f>
        <v>0</v>
      </c>
      <c r="N66">
        <f>[1]Hoja1!N66</f>
        <v>0</v>
      </c>
      <c r="O66">
        <f>[1]Hoja1!O66</f>
        <v>90</v>
      </c>
      <c r="P66">
        <f>[1]Hoja1!P66</f>
        <v>100</v>
      </c>
      <c r="Q66">
        <f>[1]Hoja1!Q66</f>
        <v>90</v>
      </c>
      <c r="R66">
        <f>[1]Hoja1!R66</f>
        <v>100</v>
      </c>
      <c r="S66">
        <f>[1]Hoja1!S66</f>
        <v>100</v>
      </c>
      <c r="T66">
        <f>[1]Hoja1!T66</f>
        <v>0</v>
      </c>
      <c r="U66">
        <f>[1]Hoja1!U66</f>
        <v>0</v>
      </c>
    </row>
    <row r="67" spans="3:21" x14ac:dyDescent="0.35">
      <c r="C67">
        <v>63</v>
      </c>
      <c r="D67">
        <v>202531663</v>
      </c>
      <c r="E67" t="s">
        <v>65</v>
      </c>
      <c r="F67">
        <f>[1]Hoja1!F67</f>
        <v>100</v>
      </c>
      <c r="G67">
        <f>[1]Hoja1!G67</f>
        <v>0</v>
      </c>
      <c r="H67">
        <f>[1]Hoja1!H67</f>
        <v>0</v>
      </c>
      <c r="I67">
        <f>[1]Hoja1!I67</f>
        <v>0</v>
      </c>
      <c r="J67">
        <f>[1]Hoja1!J67</f>
        <v>0</v>
      </c>
      <c r="K67">
        <f>[1]Hoja1!K67</f>
        <v>0</v>
      </c>
      <c r="L67">
        <f>[1]Hoja1!L67</f>
        <v>0</v>
      </c>
      <c r="M67">
        <f>[1]Hoja1!M67</f>
        <v>0</v>
      </c>
      <c r="N67">
        <f>[1]Hoja1!N67</f>
        <v>0</v>
      </c>
      <c r="O67">
        <f>[1]Hoja1!O67</f>
        <v>0</v>
      </c>
      <c r="P67">
        <f>[1]Hoja1!P67</f>
        <v>0</v>
      </c>
      <c r="Q67">
        <f>[1]Hoja1!Q67</f>
        <v>0</v>
      </c>
      <c r="R67">
        <f>[1]Hoja1!R67</f>
        <v>0</v>
      </c>
      <c r="S67">
        <f>[1]Hoja1!S67</f>
        <v>0</v>
      </c>
      <c r="T67">
        <f>[1]Hoja1!T67</f>
        <v>0</v>
      </c>
      <c r="U67">
        <f>[1]Hoja1!U67</f>
        <v>0</v>
      </c>
    </row>
    <row r="68" spans="3:21" x14ac:dyDescent="0.35">
      <c r="C68">
        <v>64</v>
      </c>
      <c r="D68">
        <v>202531724</v>
      </c>
      <c r="E68" t="s">
        <v>66</v>
      </c>
      <c r="F68">
        <f>[1]Hoja1!F68</f>
        <v>100</v>
      </c>
      <c r="G68">
        <f>[1]Hoja1!G68</f>
        <v>0</v>
      </c>
      <c r="H68">
        <f>[1]Hoja1!H68</f>
        <v>50</v>
      </c>
      <c r="I68">
        <f>[1]Hoja1!I68</f>
        <v>90</v>
      </c>
      <c r="J68">
        <f>[1]Hoja1!J68</f>
        <v>40</v>
      </c>
      <c r="K68">
        <f>[1]Hoja1!K68</f>
        <v>85</v>
      </c>
      <c r="L68">
        <f>[1]Hoja1!L68</f>
        <v>100</v>
      </c>
      <c r="M68">
        <f>[1]Hoja1!M68</f>
        <v>100</v>
      </c>
      <c r="N68">
        <f>[1]Hoja1!N68</f>
        <v>70</v>
      </c>
      <c r="O68">
        <f>[1]Hoja1!O68</f>
        <v>75</v>
      </c>
      <c r="P68">
        <f>[1]Hoja1!P68</f>
        <v>70</v>
      </c>
      <c r="Q68">
        <f>[1]Hoja1!Q68</f>
        <v>100</v>
      </c>
      <c r="R68">
        <f>[1]Hoja1!R68</f>
        <v>100</v>
      </c>
      <c r="S68">
        <f>[1]Hoja1!S68</f>
        <v>100</v>
      </c>
      <c r="T68">
        <f>[1]Hoja1!T68</f>
        <v>0</v>
      </c>
      <c r="U68">
        <f>[1]Hoja1!U68</f>
        <v>0</v>
      </c>
    </row>
    <row r="69" spans="3:21" x14ac:dyDescent="0.35">
      <c r="C69">
        <v>65</v>
      </c>
      <c r="D69">
        <v>202531736</v>
      </c>
      <c r="E69" t="s">
        <v>67</v>
      </c>
      <c r="F69">
        <f>[1]Hoja1!F69</f>
        <v>100</v>
      </c>
      <c r="G69">
        <f>[1]Hoja1!G69</f>
        <v>0</v>
      </c>
      <c r="H69">
        <f>[1]Hoja1!H69</f>
        <v>100</v>
      </c>
      <c r="I69">
        <f>[1]Hoja1!I69</f>
        <v>0</v>
      </c>
      <c r="J69">
        <f>[1]Hoja1!J69</f>
        <v>0</v>
      </c>
      <c r="K69">
        <f>[1]Hoja1!K69</f>
        <v>100</v>
      </c>
      <c r="L69">
        <f>[1]Hoja1!L69</f>
        <v>100</v>
      </c>
      <c r="M69">
        <f>[1]Hoja1!M69</f>
        <v>100</v>
      </c>
      <c r="N69">
        <f>[1]Hoja1!N69</f>
        <v>0</v>
      </c>
      <c r="O69">
        <f>[1]Hoja1!O69</f>
        <v>60</v>
      </c>
      <c r="P69">
        <f>[1]Hoja1!P69</f>
        <v>65</v>
      </c>
      <c r="Q69">
        <f>[1]Hoja1!Q69</f>
        <v>80</v>
      </c>
      <c r="R69">
        <f>[1]Hoja1!R69</f>
        <v>100</v>
      </c>
      <c r="S69">
        <f>[1]Hoja1!S69</f>
        <v>100</v>
      </c>
      <c r="T69">
        <f>[1]Hoja1!T69</f>
        <v>0</v>
      </c>
      <c r="U69">
        <f>[1]Hoja1!U69</f>
        <v>0</v>
      </c>
    </row>
    <row r="70" spans="3:21" x14ac:dyDescent="0.35">
      <c r="C70">
        <v>66</v>
      </c>
      <c r="D70">
        <v>202531778</v>
      </c>
      <c r="E70" t="s">
        <v>68</v>
      </c>
      <c r="F70">
        <f>[1]Hoja1!F70</f>
        <v>100</v>
      </c>
      <c r="G70">
        <f>[1]Hoja1!G70</f>
        <v>0</v>
      </c>
      <c r="H70">
        <f>[1]Hoja1!H70</f>
        <v>100</v>
      </c>
      <c r="I70">
        <f>[1]Hoja1!I70</f>
        <v>90</v>
      </c>
      <c r="J70">
        <f>[1]Hoja1!J70</f>
        <v>75</v>
      </c>
      <c r="K70">
        <f>[1]Hoja1!K70</f>
        <v>85</v>
      </c>
      <c r="L70">
        <f>[1]Hoja1!L70</f>
        <v>100</v>
      </c>
      <c r="M70">
        <f>[1]Hoja1!M70</f>
        <v>100</v>
      </c>
      <c r="N70">
        <f>[1]Hoja1!N70</f>
        <v>70</v>
      </c>
      <c r="O70">
        <f>[1]Hoja1!O70</f>
        <v>90</v>
      </c>
      <c r="P70">
        <f>[1]Hoja1!P70</f>
        <v>100</v>
      </c>
      <c r="Q70">
        <f>[1]Hoja1!Q70</f>
        <v>100</v>
      </c>
      <c r="R70">
        <f>[1]Hoja1!R70</f>
        <v>100</v>
      </c>
      <c r="S70">
        <f>[1]Hoja1!S70</f>
        <v>100</v>
      </c>
      <c r="T70">
        <f>[1]Hoja1!T70</f>
        <v>0</v>
      </c>
      <c r="U70">
        <f>[1]Hoja1!U70</f>
        <v>0</v>
      </c>
    </row>
    <row r="71" spans="3:21" x14ac:dyDescent="0.35">
      <c r="C71">
        <v>67</v>
      </c>
      <c r="D71">
        <v>202531844</v>
      </c>
      <c r="E71" t="s">
        <v>69</v>
      </c>
      <c r="F71">
        <f>[1]Hoja1!F71</f>
        <v>100</v>
      </c>
      <c r="G71">
        <f>[1]Hoja1!G71</f>
        <v>0</v>
      </c>
      <c r="H71">
        <f>[1]Hoja1!H71</f>
        <v>100</v>
      </c>
      <c r="I71">
        <f>[1]Hoja1!I71</f>
        <v>100</v>
      </c>
      <c r="J71">
        <f>[1]Hoja1!J71</f>
        <v>100</v>
      </c>
      <c r="K71">
        <f>[1]Hoja1!K71</f>
        <v>100</v>
      </c>
      <c r="L71">
        <f>[1]Hoja1!L71</f>
        <v>100</v>
      </c>
      <c r="M71">
        <f>[1]Hoja1!M71</f>
        <v>100</v>
      </c>
      <c r="N71">
        <f>[1]Hoja1!N71</f>
        <v>100</v>
      </c>
      <c r="O71">
        <f>[1]Hoja1!O71</f>
        <v>0</v>
      </c>
      <c r="P71">
        <f>[1]Hoja1!P71</f>
        <v>100</v>
      </c>
      <c r="Q71">
        <f>[1]Hoja1!Q71</f>
        <v>0</v>
      </c>
      <c r="R71">
        <f>[1]Hoja1!R71</f>
        <v>0</v>
      </c>
      <c r="S71">
        <f>[1]Hoja1!S71</f>
        <v>0</v>
      </c>
      <c r="T71">
        <f>[1]Hoja1!T71</f>
        <v>0</v>
      </c>
      <c r="U71">
        <f>[1]Hoja1!U71</f>
        <v>0</v>
      </c>
    </row>
    <row r="72" spans="3:21" x14ac:dyDescent="0.35">
      <c r="C72">
        <v>68</v>
      </c>
      <c r="D72">
        <v>202531883</v>
      </c>
      <c r="E72" t="s">
        <v>70</v>
      </c>
      <c r="F72">
        <f>[1]Hoja1!F72</f>
        <v>100</v>
      </c>
      <c r="G72">
        <f>[1]Hoja1!G72</f>
        <v>0</v>
      </c>
      <c r="H72">
        <f>[1]Hoja1!H72</f>
        <v>100</v>
      </c>
      <c r="I72">
        <f>[1]Hoja1!I72</f>
        <v>100</v>
      </c>
      <c r="J72">
        <f>[1]Hoja1!J72</f>
        <v>85</v>
      </c>
      <c r="K72">
        <f>[1]Hoja1!K72</f>
        <v>100</v>
      </c>
      <c r="L72">
        <f>[1]Hoja1!L72</f>
        <v>100</v>
      </c>
      <c r="M72">
        <f>[1]Hoja1!M72</f>
        <v>100</v>
      </c>
      <c r="N72">
        <f>[1]Hoja1!N72</f>
        <v>90</v>
      </c>
      <c r="O72">
        <f>[1]Hoja1!O72</f>
        <v>95</v>
      </c>
      <c r="P72">
        <f>[1]Hoja1!P72</f>
        <v>85</v>
      </c>
      <c r="Q72">
        <f>[1]Hoja1!Q72</f>
        <v>95</v>
      </c>
      <c r="R72">
        <f>[1]Hoja1!R72</f>
        <v>0</v>
      </c>
      <c r="S72">
        <f>[1]Hoja1!S72</f>
        <v>100</v>
      </c>
      <c r="T72">
        <f>[1]Hoja1!T72</f>
        <v>0</v>
      </c>
      <c r="U72">
        <f>[1]Hoja1!U72</f>
        <v>100</v>
      </c>
    </row>
    <row r="73" spans="3:21" x14ac:dyDescent="0.35">
      <c r="C73">
        <v>69</v>
      </c>
      <c r="D73">
        <v>202531947</v>
      </c>
      <c r="E73" t="s">
        <v>71</v>
      </c>
      <c r="F73">
        <f>[1]Hoja1!F73</f>
        <v>100</v>
      </c>
      <c r="G73">
        <f>[1]Hoja1!G73</f>
        <v>0</v>
      </c>
      <c r="H73">
        <f>[1]Hoja1!H73</f>
        <v>100</v>
      </c>
      <c r="I73">
        <f>[1]Hoja1!I73</f>
        <v>0</v>
      </c>
      <c r="J73">
        <f>[1]Hoja1!J73</f>
        <v>85</v>
      </c>
      <c r="K73">
        <f>[1]Hoja1!K73</f>
        <v>75</v>
      </c>
      <c r="L73">
        <f>[1]Hoja1!L73</f>
        <v>100</v>
      </c>
      <c r="M73">
        <f>[1]Hoja1!M73</f>
        <v>100</v>
      </c>
      <c r="N73">
        <f>[1]Hoja1!N73</f>
        <v>50</v>
      </c>
      <c r="O73">
        <f>[1]Hoja1!O73</f>
        <v>90</v>
      </c>
      <c r="P73">
        <f>[1]Hoja1!P73</f>
        <v>70</v>
      </c>
      <c r="Q73">
        <f>[1]Hoja1!Q73</f>
        <v>0</v>
      </c>
      <c r="R73">
        <f>[1]Hoja1!R73</f>
        <v>0</v>
      </c>
      <c r="S73">
        <f>[1]Hoja1!S73</f>
        <v>0</v>
      </c>
      <c r="T73">
        <f>[1]Hoja1!T73</f>
        <v>0</v>
      </c>
      <c r="U73">
        <f>[1]Hoja1!U73</f>
        <v>0</v>
      </c>
    </row>
    <row r="74" spans="3:21" x14ac:dyDescent="0.35">
      <c r="C74">
        <v>70</v>
      </c>
      <c r="D74">
        <v>202532062</v>
      </c>
      <c r="E74" t="s">
        <v>72</v>
      </c>
      <c r="F74">
        <f>[1]Hoja1!F74</f>
        <v>0</v>
      </c>
      <c r="G74">
        <f>[1]Hoja1!G74</f>
        <v>0</v>
      </c>
      <c r="H74">
        <f>[1]Hoja1!H74</f>
        <v>100</v>
      </c>
      <c r="I74">
        <f>[1]Hoja1!I74</f>
        <v>0</v>
      </c>
      <c r="J74">
        <f>[1]Hoja1!J74</f>
        <v>85</v>
      </c>
      <c r="K74">
        <f>[1]Hoja1!K74</f>
        <v>0</v>
      </c>
      <c r="L74">
        <f>[1]Hoja1!L74</f>
        <v>100</v>
      </c>
      <c r="M74">
        <f>[1]Hoja1!M74</f>
        <v>100</v>
      </c>
      <c r="N74">
        <f>[1]Hoja1!N74</f>
        <v>50</v>
      </c>
      <c r="O74">
        <f>[1]Hoja1!O74</f>
        <v>0</v>
      </c>
      <c r="P74">
        <f>[1]Hoja1!P74</f>
        <v>20</v>
      </c>
      <c r="Q74">
        <f>[1]Hoja1!Q74</f>
        <v>100</v>
      </c>
      <c r="R74">
        <f>[1]Hoja1!R74</f>
        <v>100</v>
      </c>
      <c r="S74">
        <f>[1]Hoja1!S74</f>
        <v>100</v>
      </c>
      <c r="T74">
        <f>[1]Hoja1!T74</f>
        <v>0</v>
      </c>
      <c r="U74">
        <f>[1]Hoja1!U74</f>
        <v>0</v>
      </c>
    </row>
    <row r="75" spans="3:21" x14ac:dyDescent="0.35">
      <c r="C75">
        <v>71</v>
      </c>
      <c r="D75">
        <v>202532079</v>
      </c>
      <c r="E75" t="s">
        <v>73</v>
      </c>
      <c r="F75">
        <f>[1]Hoja1!F75</f>
        <v>0</v>
      </c>
      <c r="G75">
        <f>[1]Hoja1!G75</f>
        <v>0</v>
      </c>
      <c r="H75">
        <f>[1]Hoja1!H75</f>
        <v>100</v>
      </c>
      <c r="I75">
        <f>[1]Hoja1!I75</f>
        <v>0</v>
      </c>
      <c r="J75">
        <f>[1]Hoja1!J75</f>
        <v>0</v>
      </c>
      <c r="K75">
        <f>[1]Hoja1!K75</f>
        <v>50</v>
      </c>
      <c r="L75">
        <f>[1]Hoja1!L75</f>
        <v>0</v>
      </c>
      <c r="M75">
        <f>[1]Hoja1!M75</f>
        <v>0</v>
      </c>
      <c r="N75">
        <f>[1]Hoja1!N75</f>
        <v>0</v>
      </c>
      <c r="O75">
        <f>[1]Hoja1!O75</f>
        <v>0</v>
      </c>
      <c r="P75">
        <f>[1]Hoja1!P75</f>
        <v>0</v>
      </c>
      <c r="Q75">
        <f>[1]Hoja1!Q75</f>
        <v>0</v>
      </c>
      <c r="R75">
        <f>[1]Hoja1!R75</f>
        <v>0</v>
      </c>
      <c r="S75">
        <f>[1]Hoja1!S75</f>
        <v>0</v>
      </c>
      <c r="T75">
        <f>[1]Hoja1!T75</f>
        <v>0</v>
      </c>
      <c r="U75">
        <f>[1]Hoja1!U75</f>
        <v>0</v>
      </c>
    </row>
    <row r="76" spans="3:21" x14ac:dyDescent="0.35">
      <c r="C76">
        <v>72</v>
      </c>
      <c r="D76">
        <v>202530466</v>
      </c>
      <c r="E76" t="s">
        <v>74</v>
      </c>
      <c r="F76">
        <f>[1]Hoja1!F76</f>
        <v>100</v>
      </c>
      <c r="G76">
        <f>[1]Hoja1!G76</f>
        <v>0</v>
      </c>
      <c r="H76">
        <f>[1]Hoja1!H76</f>
        <v>100</v>
      </c>
      <c r="I76">
        <f>[1]Hoja1!I76</f>
        <v>100</v>
      </c>
      <c r="J76">
        <f>[1]Hoja1!J76</f>
        <v>100</v>
      </c>
      <c r="K76">
        <f>[1]Hoja1!K76</f>
        <v>100</v>
      </c>
      <c r="L76">
        <f>[1]Hoja1!L76</f>
        <v>100</v>
      </c>
      <c r="M76">
        <f>[1]Hoja1!M76</f>
        <v>100</v>
      </c>
      <c r="N76">
        <f>[1]Hoja1!N76</f>
        <v>100</v>
      </c>
      <c r="O76">
        <f>[1]Hoja1!O76</f>
        <v>100</v>
      </c>
      <c r="P76">
        <f>[1]Hoja1!P76</f>
        <v>100</v>
      </c>
      <c r="Q76">
        <f>[1]Hoja1!Q76</f>
        <v>100</v>
      </c>
      <c r="R76">
        <f>[1]Hoja1!R76</f>
        <v>100</v>
      </c>
      <c r="S76">
        <f>[1]Hoja1!S76</f>
        <v>100</v>
      </c>
      <c r="T76">
        <f>[1]Hoja1!T76</f>
        <v>0</v>
      </c>
      <c r="U76">
        <f>[1]Hoja1!U76</f>
        <v>0</v>
      </c>
    </row>
    <row r="77" spans="3:21" x14ac:dyDescent="0.35">
      <c r="C77">
        <v>73</v>
      </c>
      <c r="D77">
        <v>202030192</v>
      </c>
      <c r="E77" t="s">
        <v>75</v>
      </c>
      <c r="F77">
        <f>[1]Hoja1!F77</f>
        <v>0</v>
      </c>
      <c r="G77">
        <f>[1]Hoja1!G77</f>
        <v>0</v>
      </c>
      <c r="H77">
        <f>[1]Hoja1!H77</f>
        <v>50</v>
      </c>
      <c r="I77">
        <f>[1]Hoja1!I77</f>
        <v>75</v>
      </c>
      <c r="J77">
        <f>[1]Hoja1!J77</f>
        <v>0</v>
      </c>
      <c r="K77">
        <f>[1]Hoja1!K77</f>
        <v>100</v>
      </c>
      <c r="L77">
        <f>[1]Hoja1!L77</f>
        <v>100</v>
      </c>
      <c r="M77">
        <f>[1]Hoja1!M77</f>
        <v>100</v>
      </c>
      <c r="N77">
        <f>[1]Hoja1!N77</f>
        <v>100</v>
      </c>
      <c r="O77">
        <f>[1]Hoja1!O77</f>
        <v>85</v>
      </c>
      <c r="P77">
        <f>[1]Hoja1!P77</f>
        <v>0</v>
      </c>
      <c r="Q77">
        <f>[1]Hoja1!Q77</f>
        <v>0</v>
      </c>
      <c r="R77">
        <f>[1]Hoja1!R77</f>
        <v>0</v>
      </c>
      <c r="S77">
        <f>[1]Hoja1!S77</f>
        <v>0</v>
      </c>
      <c r="T77">
        <f>[1]Hoja1!T77</f>
        <v>0</v>
      </c>
      <c r="U77">
        <f>[1]Hoja1!U77</f>
        <v>0</v>
      </c>
    </row>
    <row r="79" spans="3:21" x14ac:dyDescent="0.35">
      <c r="C79" t="s">
        <v>79</v>
      </c>
      <c r="F79">
        <v>49</v>
      </c>
      <c r="G79">
        <v>11</v>
      </c>
      <c r="H79">
        <v>59</v>
      </c>
      <c r="I79">
        <v>46</v>
      </c>
      <c r="J79">
        <v>50</v>
      </c>
      <c r="K79">
        <v>50</v>
      </c>
      <c r="L79">
        <v>58</v>
      </c>
      <c r="M79">
        <v>60</v>
      </c>
      <c r="N79">
        <v>54</v>
      </c>
      <c r="O79">
        <v>50</v>
      </c>
      <c r="P79">
        <v>60</v>
      </c>
      <c r="Q79">
        <v>47</v>
      </c>
      <c r="R79">
        <v>39</v>
      </c>
      <c r="S79">
        <v>50</v>
      </c>
      <c r="U79">
        <f>SUM(F79:S79)</f>
        <v>683</v>
      </c>
    </row>
    <row r="80" spans="3:21" x14ac:dyDescent="0.35">
      <c r="C80" t="s">
        <v>76</v>
      </c>
      <c r="F80">
        <f>COUNTIF(F5:F77,100)</f>
        <v>49</v>
      </c>
      <c r="G80">
        <f t="shared" ref="G80:S80" si="0">COUNTIF(G5:G77,100)</f>
        <v>11</v>
      </c>
      <c r="H80">
        <f t="shared" si="0"/>
        <v>47</v>
      </c>
      <c r="I80">
        <f t="shared" si="0"/>
        <v>28</v>
      </c>
      <c r="J80">
        <f t="shared" si="0"/>
        <v>31</v>
      </c>
      <c r="K80">
        <f t="shared" si="0"/>
        <v>34</v>
      </c>
      <c r="L80">
        <f t="shared" si="0"/>
        <v>51</v>
      </c>
      <c r="M80">
        <f t="shared" si="0"/>
        <v>58</v>
      </c>
      <c r="N80">
        <f t="shared" si="0"/>
        <v>7</v>
      </c>
      <c r="O80">
        <f t="shared" si="0"/>
        <v>11</v>
      </c>
      <c r="P80">
        <f t="shared" si="0"/>
        <v>17</v>
      </c>
      <c r="Q80">
        <f t="shared" si="0"/>
        <v>21</v>
      </c>
      <c r="R80">
        <f t="shared" si="0"/>
        <v>41</v>
      </c>
      <c r="S80">
        <f t="shared" si="0"/>
        <v>52</v>
      </c>
      <c r="U80">
        <f t="shared" ref="U80:U82" si="1">SUM(F80:S80)</f>
        <v>458</v>
      </c>
    </row>
    <row r="81" spans="3:21" x14ac:dyDescent="0.35">
      <c r="C81" t="s">
        <v>78</v>
      </c>
      <c r="F81">
        <f>COUNTIFS(F5:F77,"&gt;0",F5:F77,"&lt;100")</f>
        <v>0</v>
      </c>
      <c r="G81">
        <f t="shared" ref="G81:S81" si="2">COUNTIFS(G5:G77,"&gt;0",G5:G77,"&lt;100")</f>
        <v>0</v>
      </c>
      <c r="H81">
        <f t="shared" si="2"/>
        <v>12</v>
      </c>
      <c r="I81">
        <f t="shared" si="2"/>
        <v>18</v>
      </c>
      <c r="J81">
        <f t="shared" si="2"/>
        <v>21</v>
      </c>
      <c r="K81">
        <f t="shared" si="2"/>
        <v>18</v>
      </c>
      <c r="L81">
        <f t="shared" si="2"/>
        <v>9</v>
      </c>
      <c r="M81">
        <f t="shared" si="2"/>
        <v>3</v>
      </c>
      <c r="N81">
        <f t="shared" si="2"/>
        <v>50</v>
      </c>
      <c r="O81">
        <f t="shared" si="2"/>
        <v>41</v>
      </c>
      <c r="P81">
        <f t="shared" si="2"/>
        <v>43</v>
      </c>
      <c r="Q81">
        <f t="shared" si="2"/>
        <v>28</v>
      </c>
      <c r="R81">
        <f t="shared" si="2"/>
        <v>0</v>
      </c>
      <c r="S81">
        <f t="shared" si="2"/>
        <v>0</v>
      </c>
      <c r="U81">
        <f t="shared" si="1"/>
        <v>243</v>
      </c>
    </row>
    <row r="82" spans="3:21" x14ac:dyDescent="0.35">
      <c r="C82" t="s">
        <v>77</v>
      </c>
      <c r="F82">
        <f t="shared" ref="F82:S82" si="3">COUNTIF(F5:F77,"&lt;&gt;100")</f>
        <v>24</v>
      </c>
      <c r="G82">
        <f t="shared" si="3"/>
        <v>62</v>
      </c>
      <c r="H82">
        <f t="shared" si="3"/>
        <v>26</v>
      </c>
      <c r="I82">
        <f t="shared" si="3"/>
        <v>45</v>
      </c>
      <c r="J82">
        <f t="shared" si="3"/>
        <v>42</v>
      </c>
      <c r="K82">
        <f t="shared" si="3"/>
        <v>39</v>
      </c>
      <c r="L82">
        <f t="shared" si="3"/>
        <v>22</v>
      </c>
      <c r="M82">
        <f t="shared" si="3"/>
        <v>15</v>
      </c>
      <c r="N82">
        <f t="shared" si="3"/>
        <v>66</v>
      </c>
      <c r="O82">
        <f t="shared" si="3"/>
        <v>62</v>
      </c>
      <c r="P82">
        <f t="shared" si="3"/>
        <v>56</v>
      </c>
      <c r="Q82">
        <f t="shared" si="3"/>
        <v>52</v>
      </c>
      <c r="R82">
        <f t="shared" si="3"/>
        <v>32</v>
      </c>
      <c r="S82">
        <f t="shared" si="3"/>
        <v>21</v>
      </c>
      <c r="U82">
        <f t="shared" si="1"/>
        <v>564</v>
      </c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75CC2-11E2-4B97-8653-2071B7EFBC48}">
  <dimension ref="C1:Z77"/>
  <sheetViews>
    <sheetView tabSelected="1" topLeftCell="A43" zoomScale="85" zoomScaleNormal="85" workbookViewId="0">
      <selection activeCell="R13" sqref="R13"/>
    </sheetView>
  </sheetViews>
  <sheetFormatPr baseColWidth="10" defaultRowHeight="14.5" x14ac:dyDescent="0.35"/>
  <cols>
    <col min="3" max="3" width="4.90625" customWidth="1"/>
    <col min="4" max="4" width="12.6328125" customWidth="1"/>
    <col min="5" max="5" width="33.90625" customWidth="1"/>
    <col min="6" max="9" width="7.453125" customWidth="1"/>
    <col min="10" max="19" width="9.6328125" customWidth="1"/>
    <col min="20" max="20" width="9.6328125" style="1" customWidth="1"/>
    <col min="21" max="22" width="9.6328125" customWidth="1"/>
  </cols>
  <sheetData>
    <row r="1" spans="3:26" ht="15" thickBot="1" x14ac:dyDescent="0.4"/>
    <row r="2" spans="3:26" ht="73.5" customHeight="1" x14ac:dyDescent="0.35">
      <c r="C2" s="7"/>
      <c r="D2" s="8"/>
      <c r="E2" s="12"/>
      <c r="F2" s="18" t="s">
        <v>89</v>
      </c>
      <c r="G2" s="19" t="s">
        <v>90</v>
      </c>
      <c r="H2" s="19" t="s">
        <v>91</v>
      </c>
      <c r="I2" s="20" t="s">
        <v>92</v>
      </c>
      <c r="J2" s="18" t="s">
        <v>93</v>
      </c>
      <c r="K2" s="19" t="s">
        <v>94</v>
      </c>
      <c r="L2" s="19" t="s">
        <v>95</v>
      </c>
      <c r="M2" s="19" t="s">
        <v>106</v>
      </c>
      <c r="N2" s="19" t="s">
        <v>96</v>
      </c>
      <c r="O2" s="19" t="s">
        <v>97</v>
      </c>
      <c r="P2" s="19" t="s">
        <v>98</v>
      </c>
      <c r="Q2" s="19" t="s">
        <v>99</v>
      </c>
      <c r="R2" s="19" t="s">
        <v>100</v>
      </c>
      <c r="S2" s="19" t="s">
        <v>102</v>
      </c>
      <c r="T2" s="59" t="s">
        <v>105</v>
      </c>
      <c r="U2" s="14" t="s">
        <v>101</v>
      </c>
      <c r="V2" s="5"/>
      <c r="W2" s="2"/>
      <c r="X2" s="2"/>
      <c r="Y2" s="3"/>
      <c r="Z2" s="3"/>
    </row>
    <row r="3" spans="3:26" s="2" customFormat="1" x14ac:dyDescent="0.35">
      <c r="C3" s="9"/>
      <c r="D3" s="9"/>
      <c r="E3" s="13" t="s">
        <v>107</v>
      </c>
      <c r="F3" s="21">
        <v>0.5</v>
      </c>
      <c r="G3" s="10">
        <v>0.5</v>
      </c>
      <c r="H3" s="10">
        <v>0.5</v>
      </c>
      <c r="I3" s="22">
        <v>0.5</v>
      </c>
      <c r="J3" s="21">
        <v>1</v>
      </c>
      <c r="K3" s="10">
        <v>1</v>
      </c>
      <c r="L3" s="10">
        <v>1</v>
      </c>
      <c r="M3" s="10">
        <v>1.5</v>
      </c>
      <c r="N3" s="10">
        <v>2</v>
      </c>
      <c r="O3" s="10">
        <v>2</v>
      </c>
      <c r="P3" s="10">
        <v>2</v>
      </c>
      <c r="Q3" s="10">
        <v>1</v>
      </c>
      <c r="R3" s="10">
        <v>1.5</v>
      </c>
      <c r="S3" s="10">
        <v>5</v>
      </c>
      <c r="T3" s="22">
        <f>SUM(F3:S3)</f>
        <v>20</v>
      </c>
      <c r="U3" s="15">
        <v>1</v>
      </c>
      <c r="V3" s="6"/>
    </row>
    <row r="4" spans="3:26" x14ac:dyDescent="0.35">
      <c r="C4" s="8" t="s">
        <v>0</v>
      </c>
      <c r="D4" s="8" t="s">
        <v>1</v>
      </c>
      <c r="E4" s="12" t="s">
        <v>2</v>
      </c>
      <c r="F4" s="23" t="s">
        <v>81</v>
      </c>
      <c r="G4" s="11" t="s">
        <v>82</v>
      </c>
      <c r="H4" s="11" t="s">
        <v>83</v>
      </c>
      <c r="I4" s="24" t="s">
        <v>84</v>
      </c>
      <c r="J4" s="23" t="s">
        <v>85</v>
      </c>
      <c r="K4" s="11" t="s">
        <v>85</v>
      </c>
      <c r="L4" s="11" t="s">
        <v>86</v>
      </c>
      <c r="M4" s="11" t="s">
        <v>86</v>
      </c>
      <c r="N4" s="11" t="s">
        <v>87</v>
      </c>
      <c r="O4" s="11" t="s">
        <v>88</v>
      </c>
      <c r="P4" s="11" t="s">
        <v>86</v>
      </c>
      <c r="Q4" s="11" t="s">
        <v>86</v>
      </c>
      <c r="R4" s="11" t="s">
        <v>86</v>
      </c>
      <c r="S4" s="11" t="s">
        <v>103</v>
      </c>
      <c r="T4" s="60" t="s">
        <v>104</v>
      </c>
      <c r="U4" s="16" t="s">
        <v>80</v>
      </c>
      <c r="V4" s="4"/>
    </row>
    <row r="5" spans="3:26" x14ac:dyDescent="0.35">
      <c r="C5" s="8">
        <v>1</v>
      </c>
      <c r="D5" s="8">
        <v>202030174</v>
      </c>
      <c r="E5" s="12" t="s">
        <v>3</v>
      </c>
      <c r="F5" s="25">
        <f>IF(Hoja1!F5="","",(Hoja1!F5/100)*$F$3)</f>
        <v>0</v>
      </c>
      <c r="G5" s="8">
        <f>IF(Hoja1!G5="","",(Hoja1!G5/100)*$G$3)</f>
        <v>0</v>
      </c>
      <c r="H5" s="8">
        <f>IF(Hoja1!H5="","",(Hoja1!H5/100)*$H$3)</f>
        <v>0.25</v>
      </c>
      <c r="I5" s="26">
        <f>IF(Hoja1!I5="","",(Hoja1!I5/100)*$I$3)</f>
        <v>0</v>
      </c>
      <c r="J5" s="25">
        <f>IF(Hoja1!J5="","",(Hoja1!J5/100)*$J$3)</f>
        <v>0</v>
      </c>
      <c r="K5" s="8">
        <f>IF(Hoja1!K5="","",(Hoja1!K5/100)*$K$3)</f>
        <v>0</v>
      </c>
      <c r="L5" s="8">
        <f>IF(Hoja1!L5="","",(Hoja1!L5/100)*$L$3)</f>
        <v>0</v>
      </c>
      <c r="M5" s="8">
        <f>IF(Hoja1!M5="","",(Hoja1!M5/100)*$M$3)</f>
        <v>1.5</v>
      </c>
      <c r="N5" s="8">
        <f>IF(Hoja1!N5="","",(Hoja1!N5/100)*$N$3)</f>
        <v>0</v>
      </c>
      <c r="O5" s="8">
        <f>IF(Hoja1!O5="","",(Hoja1!O5/100)*$O$3)</f>
        <v>0</v>
      </c>
      <c r="P5" s="8">
        <f>IF(Hoja1!P5="","",(Hoja1!P5/100)*$P$3)</f>
        <v>2</v>
      </c>
      <c r="Q5" s="8">
        <f>IF(Hoja1!Q5="","",(Hoja1!Q5/100)*$Q$3)</f>
        <v>0</v>
      </c>
      <c r="R5" s="8">
        <f>IF(Hoja1!R5="","",(Hoja1!R5/100)*$R$3)</f>
        <v>0</v>
      </c>
      <c r="S5" s="8">
        <f>IF(Hoja1!S5="","",(Hoja1!S5/100)*$S$3)</f>
        <v>0</v>
      </c>
      <c r="T5" s="61">
        <f>SUM(F5:S5)+U5</f>
        <v>3.75</v>
      </c>
      <c r="U5" s="17">
        <f>IF(Hoja1!U5="","",(Hoja1!U5/100)*$U$3)</f>
        <v>0</v>
      </c>
      <c r="W5" t="str">
        <f>IF(T5="","",IF(T5&gt;12.5,"APROBADO","REPROBADO"))</f>
        <v>REPROBADO</v>
      </c>
    </row>
    <row r="6" spans="3:26" x14ac:dyDescent="0.35">
      <c r="C6" s="8">
        <v>2</v>
      </c>
      <c r="D6" s="8">
        <v>202032032</v>
      </c>
      <c r="E6" s="12" t="s">
        <v>4</v>
      </c>
      <c r="F6" s="25">
        <f>IF(Hoja1!F6="","",(Hoja1!F6/100)*$F$3)</f>
        <v>0.5</v>
      </c>
      <c r="G6" s="8">
        <f>IF(Hoja1!G6="","",(Hoja1!G6/100)*$G$3)</f>
        <v>0</v>
      </c>
      <c r="H6" s="8">
        <f>IF(Hoja1!H6="","",(Hoja1!H6/100)*$H$3)</f>
        <v>0.25</v>
      </c>
      <c r="I6" s="26">
        <f>IF(Hoja1!I6="","",(Hoja1!I6/100)*$I$3)</f>
        <v>0.5</v>
      </c>
      <c r="J6" s="25">
        <f>IF(Hoja1!J6="","",(Hoja1!J6/100)*$J$3)</f>
        <v>1</v>
      </c>
      <c r="K6" s="8">
        <f>IF(Hoja1!K6="","",(Hoja1!K6/100)*$K$3)</f>
        <v>1</v>
      </c>
      <c r="L6" s="8">
        <f>IF(Hoja1!L6="","",(Hoja1!L6/100)*$L$3)</f>
        <v>1</v>
      </c>
      <c r="M6" s="8">
        <f>IF(Hoja1!M6="","",(Hoja1!M6/100)*$M$3)</f>
        <v>1.5</v>
      </c>
      <c r="N6" s="8">
        <f>IF(Hoja1!N6="","",(Hoja1!N6/100)*$N$3)</f>
        <v>1.6</v>
      </c>
      <c r="O6" s="8">
        <f>IF(Hoja1!O6="","",(Hoja1!O6/100)*$O$3)</f>
        <v>2</v>
      </c>
      <c r="P6" s="8">
        <f>IF(Hoja1!P6="","",(Hoja1!P6/100)*$P$3)</f>
        <v>2</v>
      </c>
      <c r="Q6" s="8">
        <f>IF(Hoja1!Q6="","",(Hoja1!Q6/100)*$Q$3)</f>
        <v>1</v>
      </c>
      <c r="R6" s="8">
        <f>IF(Hoja1!R6="","",(Hoja1!R6/100)*$R$3)</f>
        <v>1.5</v>
      </c>
      <c r="S6" s="8">
        <f>IF(Hoja1!S6="","",(Hoja1!S6/100)*$S$3)</f>
        <v>5</v>
      </c>
      <c r="T6" s="61">
        <f t="shared" ref="T6:T69" si="0">SUM(F6:S6)+U6</f>
        <v>18.850000000000001</v>
      </c>
      <c r="U6" s="17">
        <f>IF(Hoja1!U6="","",(Hoja1!U6/100)*$U$3)</f>
        <v>0</v>
      </c>
      <c r="W6" t="str">
        <f t="shared" ref="W6:W69" si="1">IF(T6="","",IF(T6&gt;12.5,"APROBADO","REPROBADO"))</f>
        <v>APROBADO</v>
      </c>
    </row>
    <row r="7" spans="3:26" x14ac:dyDescent="0.35">
      <c r="C7" s="8">
        <v>3</v>
      </c>
      <c r="D7" s="8">
        <v>202231116</v>
      </c>
      <c r="E7" s="12" t="s">
        <v>5</v>
      </c>
      <c r="F7" s="25">
        <f>IF(Hoja1!F7="","",(Hoja1!F7/100)*$F$3)</f>
        <v>0.5</v>
      </c>
      <c r="G7" s="8">
        <f>IF(Hoja1!G7="","",(Hoja1!G7/100)*$G$3)</f>
        <v>0</v>
      </c>
      <c r="H7" s="8">
        <f>IF(Hoja1!H7="","",(Hoja1!H7/100)*$H$3)</f>
        <v>0.5</v>
      </c>
      <c r="I7" s="26">
        <f>IF(Hoja1!I7="","",(Hoja1!I7/100)*$I$3)</f>
        <v>0</v>
      </c>
      <c r="J7" s="25">
        <f>IF(Hoja1!J7="","",(Hoja1!J7/100)*$J$3)</f>
        <v>0.85</v>
      </c>
      <c r="K7" s="8">
        <f>IF(Hoja1!K7="","",(Hoja1!K7/100)*$K$3)</f>
        <v>1</v>
      </c>
      <c r="L7" s="8">
        <f>IF(Hoja1!L7="","",(Hoja1!L7/100)*$L$3)</f>
        <v>1</v>
      </c>
      <c r="M7" s="8">
        <f>IF(Hoja1!M7="","",(Hoja1!M7/100)*$M$3)</f>
        <v>1.5</v>
      </c>
      <c r="N7" s="8">
        <f>IF(Hoja1!N7="","",(Hoja1!N7/100)*$N$3)</f>
        <v>1.4</v>
      </c>
      <c r="O7" s="8">
        <f>IF(Hoja1!O7="","",(Hoja1!O7/100)*$O$3)</f>
        <v>0</v>
      </c>
      <c r="P7" s="8">
        <f>IF(Hoja1!P7="","",(Hoja1!P7/100)*$P$3)</f>
        <v>1.7</v>
      </c>
      <c r="Q7" s="8">
        <f>IF(Hoja1!Q7="","",(Hoja1!Q7/100)*$Q$3)</f>
        <v>0.8</v>
      </c>
      <c r="R7" s="8">
        <f>IF(Hoja1!R7="","",(Hoja1!R7/100)*$R$3)</f>
        <v>0</v>
      </c>
      <c r="S7" s="8">
        <f>IF(Hoja1!S7="","",(Hoja1!S7/100)*$S$3)</f>
        <v>5</v>
      </c>
      <c r="T7" s="61">
        <f t="shared" si="0"/>
        <v>15.25</v>
      </c>
      <c r="U7" s="17">
        <f>IF(Hoja1!U7="","",(Hoja1!U7/100)*$U$3)</f>
        <v>1</v>
      </c>
      <c r="W7" t="str">
        <f t="shared" si="1"/>
        <v>APROBADO</v>
      </c>
    </row>
    <row r="8" spans="3:26" x14ac:dyDescent="0.35">
      <c r="C8" s="8">
        <v>4</v>
      </c>
      <c r="D8" s="8">
        <v>202330276</v>
      </c>
      <c r="E8" s="12" t="s">
        <v>6</v>
      </c>
      <c r="F8" s="25">
        <f>IF(Hoja1!F8="","",(Hoja1!F8/100)*$F$3)</f>
        <v>0</v>
      </c>
      <c r="G8" s="8">
        <f>IF(Hoja1!G8="","",(Hoja1!G8/100)*$G$3)</f>
        <v>0</v>
      </c>
      <c r="H8" s="8">
        <f>IF(Hoja1!H8="","",(Hoja1!H8/100)*$H$3)</f>
        <v>0</v>
      </c>
      <c r="I8" s="26">
        <f>IF(Hoja1!I8="","",(Hoja1!I8/100)*$I$3)</f>
        <v>0</v>
      </c>
      <c r="J8" s="25">
        <f>IF(Hoja1!J8="","",(Hoja1!J8/100)*$J$3)</f>
        <v>0</v>
      </c>
      <c r="K8" s="8">
        <f>IF(Hoja1!K8="","",(Hoja1!K8/100)*$K$3)</f>
        <v>0</v>
      </c>
      <c r="L8" s="8">
        <f>IF(Hoja1!L8="","",(Hoja1!L8/100)*$L$3)</f>
        <v>0</v>
      </c>
      <c r="M8" s="8">
        <f>IF(Hoja1!M8="","",(Hoja1!M8/100)*$M$3)</f>
        <v>0</v>
      </c>
      <c r="N8" s="8">
        <f>IF(Hoja1!N8="","",(Hoja1!N8/100)*$N$3)</f>
        <v>0</v>
      </c>
      <c r="O8" s="8">
        <f>IF(Hoja1!O8="","",(Hoja1!O8/100)*$O$3)</f>
        <v>0</v>
      </c>
      <c r="P8" s="8">
        <f>IF(Hoja1!P8="","",(Hoja1!P8/100)*$P$3)</f>
        <v>0</v>
      </c>
      <c r="Q8" s="8">
        <f>IF(Hoja1!Q8="","",(Hoja1!Q8/100)*$Q$3)</f>
        <v>0</v>
      </c>
      <c r="R8" s="8">
        <f>IF(Hoja1!R8="","",(Hoja1!R8/100)*$R$3)</f>
        <v>0</v>
      </c>
      <c r="S8" s="8">
        <f>IF(Hoja1!S8="","",(Hoja1!S8/100)*$S$3)</f>
        <v>0</v>
      </c>
      <c r="T8" s="61">
        <f t="shared" si="0"/>
        <v>0</v>
      </c>
      <c r="U8" s="17">
        <f>IF(Hoja1!U8="","",(Hoja1!U8/100)*$U$3)</f>
        <v>0</v>
      </c>
      <c r="W8" t="str">
        <f t="shared" si="1"/>
        <v>REPROBADO</v>
      </c>
    </row>
    <row r="9" spans="3:26" x14ac:dyDescent="0.35">
      <c r="C9" s="8">
        <v>5</v>
      </c>
      <c r="D9" s="8">
        <v>202331587</v>
      </c>
      <c r="E9" s="12" t="s">
        <v>7</v>
      </c>
      <c r="F9" s="25">
        <f>IF(Hoja1!F9="","",(Hoja1!F9/100)*$F$3)</f>
        <v>0</v>
      </c>
      <c r="G9" s="8">
        <f>IF(Hoja1!G9="","",(Hoja1!G9/100)*$G$3)</f>
        <v>0</v>
      </c>
      <c r="H9" s="8">
        <f>IF(Hoja1!H9="","",(Hoja1!H9/100)*$H$3)</f>
        <v>0.5</v>
      </c>
      <c r="I9" s="26">
        <f>IF(Hoja1!I9="","",(Hoja1!I9/100)*$I$3)</f>
        <v>0.45</v>
      </c>
      <c r="J9" s="25">
        <f>IF(Hoja1!J9="","",(Hoja1!J9/100)*$J$3)</f>
        <v>0</v>
      </c>
      <c r="K9" s="8">
        <f>IF(Hoja1!K9="","",(Hoja1!K9/100)*$K$3)</f>
        <v>0.5</v>
      </c>
      <c r="L9" s="8">
        <f>IF(Hoja1!L9="","",(Hoja1!L9/100)*$L$3)</f>
        <v>0.9</v>
      </c>
      <c r="M9" s="8">
        <f>IF(Hoja1!M9="","",(Hoja1!M9/100)*$M$3)</f>
        <v>1.2000000000000002</v>
      </c>
      <c r="N9" s="8">
        <f>IF(Hoja1!N9="","",(Hoja1!N9/100)*$N$3)</f>
        <v>1.5</v>
      </c>
      <c r="O9" s="8">
        <f>IF(Hoja1!O9="","",(Hoja1!O9/100)*$O$3)</f>
        <v>1.7</v>
      </c>
      <c r="P9" s="8">
        <f>IF(Hoja1!P9="","",(Hoja1!P9/100)*$P$3)</f>
        <v>0</v>
      </c>
      <c r="Q9" s="8">
        <f>IF(Hoja1!Q9="","",(Hoja1!Q9/100)*$Q$3)</f>
        <v>1</v>
      </c>
      <c r="R9" s="8">
        <f>IF(Hoja1!R9="","",(Hoja1!R9/100)*$R$3)</f>
        <v>1.5</v>
      </c>
      <c r="S9" s="8">
        <f>IF(Hoja1!S9="","",(Hoja1!S9/100)*$S$3)</f>
        <v>5</v>
      </c>
      <c r="T9" s="61">
        <f t="shared" si="0"/>
        <v>15.25</v>
      </c>
      <c r="U9" s="17">
        <f>IF(Hoja1!U9="","",(Hoja1!U9/100)*$U$3)</f>
        <v>1</v>
      </c>
      <c r="W9" t="str">
        <f t="shared" si="1"/>
        <v>APROBADO</v>
      </c>
    </row>
    <row r="10" spans="3:26" x14ac:dyDescent="0.35">
      <c r="C10" s="8">
        <v>6</v>
      </c>
      <c r="D10" s="8">
        <v>202332049</v>
      </c>
      <c r="E10" s="12" t="s">
        <v>8</v>
      </c>
      <c r="F10" s="25">
        <f>IF(Hoja1!F10="","",(Hoja1!F10/100)*$F$3)</f>
        <v>0</v>
      </c>
      <c r="G10" s="8">
        <f>IF(Hoja1!G10="","",(Hoja1!G10/100)*$G$3)</f>
        <v>0</v>
      </c>
      <c r="H10" s="8">
        <f>IF(Hoja1!H10="","",(Hoja1!H10/100)*$H$3)</f>
        <v>0</v>
      </c>
      <c r="I10" s="26">
        <f>IF(Hoja1!I10="","",(Hoja1!I10/100)*$I$3)</f>
        <v>0</v>
      </c>
      <c r="J10" s="25">
        <f>IF(Hoja1!J10="","",(Hoja1!J10/100)*$J$3)</f>
        <v>0</v>
      </c>
      <c r="K10" s="8">
        <f>IF(Hoja1!K10="","",(Hoja1!K10/100)*$K$3)</f>
        <v>0</v>
      </c>
      <c r="L10" s="8">
        <f>IF(Hoja1!L10="","",(Hoja1!L10/100)*$L$3)</f>
        <v>0</v>
      </c>
      <c r="M10" s="8">
        <f>IF(Hoja1!M10="","",(Hoja1!M10/100)*$M$3)</f>
        <v>0</v>
      </c>
      <c r="N10" s="8">
        <f>IF(Hoja1!N10="","",(Hoja1!N10/100)*$N$3)</f>
        <v>0</v>
      </c>
      <c r="O10" s="8">
        <f>IF(Hoja1!O10="","",(Hoja1!O10/100)*$O$3)</f>
        <v>0</v>
      </c>
      <c r="P10" s="8">
        <f>IF(Hoja1!P10="","",(Hoja1!P10/100)*$P$3)</f>
        <v>0</v>
      </c>
      <c r="Q10" s="8">
        <f>IF(Hoja1!Q10="","",(Hoja1!Q10/100)*$Q$3)</f>
        <v>0</v>
      </c>
      <c r="R10" s="8">
        <f>IF(Hoja1!R10="","",(Hoja1!R10/100)*$R$3)</f>
        <v>0</v>
      </c>
      <c r="S10" s="8">
        <f>IF(Hoja1!S10="","",(Hoja1!S10/100)*$S$3)</f>
        <v>0</v>
      </c>
      <c r="T10" s="61">
        <f t="shared" si="0"/>
        <v>0</v>
      </c>
      <c r="U10" s="17">
        <f>IF(Hoja1!U10="","",(Hoja1!U10/100)*$U$3)</f>
        <v>0</v>
      </c>
      <c r="W10" t="str">
        <f t="shared" si="1"/>
        <v>REPROBADO</v>
      </c>
    </row>
    <row r="11" spans="3:26" x14ac:dyDescent="0.35">
      <c r="C11" s="8">
        <v>7</v>
      </c>
      <c r="D11" s="8">
        <v>202402553</v>
      </c>
      <c r="E11" s="12" t="s">
        <v>9</v>
      </c>
      <c r="F11" s="25">
        <f>IF(Hoja1!F11="","",(Hoja1!F11/100)*$F$3)</f>
        <v>0.5</v>
      </c>
      <c r="G11" s="8">
        <f>IF(Hoja1!G11="","",(Hoja1!G11/100)*$G$3)</f>
        <v>0</v>
      </c>
      <c r="H11" s="8">
        <f>IF(Hoja1!H11="","",(Hoja1!H11/100)*$H$3)</f>
        <v>0.5</v>
      </c>
      <c r="I11" s="26">
        <f>IF(Hoja1!I11="","",(Hoja1!I11/100)*$I$3)</f>
        <v>0.45</v>
      </c>
      <c r="J11" s="25">
        <f>IF(Hoja1!J11="","",(Hoja1!J11/100)*$J$3)</f>
        <v>0.6</v>
      </c>
      <c r="K11" s="8">
        <f>IF(Hoja1!K11="","",(Hoja1!K11/100)*$K$3)</f>
        <v>0</v>
      </c>
      <c r="L11" s="8">
        <f>IF(Hoja1!L11="","",(Hoja1!L11/100)*$L$3)</f>
        <v>1</v>
      </c>
      <c r="M11" s="8">
        <f>IF(Hoja1!M11="","",(Hoja1!M11/100)*$M$3)</f>
        <v>1.5</v>
      </c>
      <c r="N11" s="8">
        <f>IF(Hoja1!N11="","",(Hoja1!N11/100)*$N$3)</f>
        <v>1</v>
      </c>
      <c r="O11" s="8">
        <f>IF(Hoja1!O11="","",(Hoja1!O11/100)*$O$3)</f>
        <v>0</v>
      </c>
      <c r="P11" s="8">
        <f>IF(Hoja1!P11="","",(Hoja1!P11/100)*$P$3)</f>
        <v>1.3</v>
      </c>
      <c r="Q11" s="8">
        <f>IF(Hoja1!Q11="","",(Hoja1!Q11/100)*$Q$3)</f>
        <v>0.8</v>
      </c>
      <c r="R11" s="8">
        <f>IF(Hoja1!R11="","",(Hoja1!R11/100)*$R$3)</f>
        <v>1.5</v>
      </c>
      <c r="S11" s="8">
        <f>IF(Hoja1!S11="","",(Hoja1!S11/100)*$S$3)</f>
        <v>0</v>
      </c>
      <c r="T11" s="61">
        <f t="shared" si="0"/>
        <v>9.1499999999999986</v>
      </c>
      <c r="U11" s="17">
        <f>IF(Hoja1!U11="","",(Hoja1!U11/100)*$U$3)</f>
        <v>0</v>
      </c>
      <c r="W11" t="str">
        <f t="shared" si="1"/>
        <v>REPROBADO</v>
      </c>
    </row>
    <row r="12" spans="3:26" x14ac:dyDescent="0.35">
      <c r="C12" s="8">
        <v>8</v>
      </c>
      <c r="D12" s="8">
        <v>202430271</v>
      </c>
      <c r="E12" s="12" t="s">
        <v>10</v>
      </c>
      <c r="F12" s="25">
        <f>IF(Hoja1!F12="","",(Hoja1!F12/100)*$F$3)</f>
        <v>0</v>
      </c>
      <c r="G12" s="8">
        <f>IF(Hoja1!G12="","",(Hoja1!G12/100)*$G$3)</f>
        <v>0.5</v>
      </c>
      <c r="H12" s="8">
        <f>IF(Hoja1!H12="","",(Hoja1!H12/100)*$H$3)</f>
        <v>0</v>
      </c>
      <c r="I12" s="26">
        <f>IF(Hoja1!I12="","",(Hoja1!I12/100)*$I$3)</f>
        <v>0</v>
      </c>
      <c r="J12" s="25">
        <f>IF(Hoja1!J12="","",(Hoja1!J12/100)*$J$3)</f>
        <v>1</v>
      </c>
      <c r="K12" s="8">
        <f>IF(Hoja1!K12="","",(Hoja1!K12/100)*$K$3)</f>
        <v>1</v>
      </c>
      <c r="L12" s="8">
        <f>IF(Hoja1!L12="","",(Hoja1!L12/100)*$L$3)</f>
        <v>0</v>
      </c>
      <c r="M12" s="8">
        <f>IF(Hoja1!M12="","",(Hoja1!M12/100)*$M$3)</f>
        <v>0</v>
      </c>
      <c r="N12" s="8">
        <f>IF(Hoja1!N12="","",(Hoja1!N12/100)*$N$3)</f>
        <v>0</v>
      </c>
      <c r="O12" s="8">
        <f>IF(Hoja1!O12="","",(Hoja1!O12/100)*$O$3)</f>
        <v>0</v>
      </c>
      <c r="P12" s="8">
        <f>IF(Hoja1!P12="","",(Hoja1!P12/100)*$P$3)</f>
        <v>1.4</v>
      </c>
      <c r="Q12" s="8">
        <f>IF(Hoja1!Q12="","",(Hoja1!Q12/100)*$Q$3)</f>
        <v>0.8</v>
      </c>
      <c r="R12" s="8">
        <f>IF(Hoja1!R12="","",(Hoja1!R12/100)*$R$3)</f>
        <v>0</v>
      </c>
      <c r="S12" s="8">
        <f>IF(Hoja1!S12="","",(Hoja1!S12/100)*$S$3)</f>
        <v>5</v>
      </c>
      <c r="T12" s="61">
        <f t="shared" si="0"/>
        <v>9.6999999999999993</v>
      </c>
      <c r="U12" s="17">
        <f>IF(Hoja1!U12="","",(Hoja1!U12/100)*$U$3)</f>
        <v>0</v>
      </c>
      <c r="W12" t="str">
        <f t="shared" si="1"/>
        <v>REPROBADO</v>
      </c>
    </row>
    <row r="13" spans="3:26" x14ac:dyDescent="0.35">
      <c r="C13" s="8">
        <v>9</v>
      </c>
      <c r="D13" s="8">
        <v>202430532</v>
      </c>
      <c r="E13" s="12" t="s">
        <v>11</v>
      </c>
      <c r="F13" s="25">
        <f>IF(Hoja1!F13="","",(Hoja1!F13/100)*$F$3)</f>
        <v>0.5</v>
      </c>
      <c r="G13" s="8">
        <f>IF(Hoja1!G13="","",(Hoja1!G13/100)*$G$3)</f>
        <v>0</v>
      </c>
      <c r="H13" s="8">
        <f>IF(Hoja1!H13="","",(Hoja1!H13/100)*$H$3)</f>
        <v>0.5</v>
      </c>
      <c r="I13" s="26">
        <f>IF(Hoja1!I13="","",(Hoja1!I13/100)*$I$3)</f>
        <v>0.5</v>
      </c>
      <c r="J13" s="25">
        <f>IF(Hoja1!J13="","",(Hoja1!J13/100)*$J$3)</f>
        <v>1</v>
      </c>
      <c r="K13" s="8">
        <f>IF(Hoja1!K13="","",(Hoja1!K13/100)*$K$3)</f>
        <v>1</v>
      </c>
      <c r="L13" s="8">
        <f>IF(Hoja1!L13="","",(Hoja1!L13/100)*$L$3)</f>
        <v>1</v>
      </c>
      <c r="M13" s="8">
        <f>IF(Hoja1!M13="","",(Hoja1!M13/100)*$M$3)</f>
        <v>1.5</v>
      </c>
      <c r="N13" s="8">
        <f>IF(Hoja1!N13="","",(Hoja1!N13/100)*$N$3)</f>
        <v>2</v>
      </c>
      <c r="O13" s="8">
        <f>IF(Hoja1!O13="","",(Hoja1!O13/100)*$O$3)</f>
        <v>1.3</v>
      </c>
      <c r="P13" s="8">
        <f>IF(Hoja1!P13="","",(Hoja1!P13/100)*$P$3)</f>
        <v>1.6</v>
      </c>
      <c r="Q13" s="8">
        <f>IF(Hoja1!Q13="","",(Hoja1!Q13/100)*$Q$3)</f>
        <v>1</v>
      </c>
      <c r="R13" s="8">
        <f>IF(Hoja1!R13="","",(Hoja1!R13/100)*$R$3)</f>
        <v>1.5</v>
      </c>
      <c r="S13" s="8">
        <f>IF(Hoja1!S13="","",(Hoja1!S13/100)*$S$3)</f>
        <v>5</v>
      </c>
      <c r="T13" s="61">
        <f t="shared" si="0"/>
        <v>18.399999999999999</v>
      </c>
      <c r="U13" s="17">
        <f>IF(Hoja1!U13="","",(Hoja1!U13/100)*$U$3)</f>
        <v>0</v>
      </c>
      <c r="W13" t="str">
        <f t="shared" si="1"/>
        <v>APROBADO</v>
      </c>
    </row>
    <row r="14" spans="3:26" x14ac:dyDescent="0.35">
      <c r="C14" s="8">
        <v>10</v>
      </c>
      <c r="D14" s="8">
        <v>202430589</v>
      </c>
      <c r="E14" s="12" t="s">
        <v>12</v>
      </c>
      <c r="F14" s="25">
        <f>IF(Hoja1!F14="","",(Hoja1!F14/100)*$F$3)</f>
        <v>0</v>
      </c>
      <c r="G14" s="8">
        <f>IF(Hoja1!G14="","",(Hoja1!G14/100)*$G$3)</f>
        <v>0</v>
      </c>
      <c r="H14" s="8">
        <f>IF(Hoja1!H14="","",(Hoja1!H14/100)*$H$3)</f>
        <v>0</v>
      </c>
      <c r="I14" s="26">
        <f>IF(Hoja1!I14="","",(Hoja1!I14/100)*$I$3)</f>
        <v>0.5</v>
      </c>
      <c r="J14" s="25">
        <f>IF(Hoja1!J14="","",(Hoja1!J14/100)*$J$3)</f>
        <v>0</v>
      </c>
      <c r="K14" s="8">
        <f>IF(Hoja1!K14="","",(Hoja1!K14/100)*$K$3)</f>
        <v>0</v>
      </c>
      <c r="L14" s="8">
        <f>IF(Hoja1!L14="","",(Hoja1!L14/100)*$L$3)</f>
        <v>1</v>
      </c>
      <c r="M14" s="8">
        <f>IF(Hoja1!M14="","",(Hoja1!M14/100)*$M$3)</f>
        <v>1.2000000000000002</v>
      </c>
      <c r="N14" s="8">
        <f>IF(Hoja1!N14="","",(Hoja1!N14/100)*$N$3)</f>
        <v>1.4</v>
      </c>
      <c r="O14" s="8">
        <f>IF(Hoja1!O14="","",(Hoja1!O14/100)*$O$3)</f>
        <v>0</v>
      </c>
      <c r="P14" s="8">
        <f>IF(Hoja1!P14="","",(Hoja1!P14/100)*$P$3)</f>
        <v>0</v>
      </c>
      <c r="Q14" s="8">
        <f>IF(Hoja1!Q14="","",(Hoja1!Q14/100)*$Q$3)</f>
        <v>0</v>
      </c>
      <c r="R14" s="8">
        <f>IF(Hoja1!R14="","",(Hoja1!R14/100)*$R$3)</f>
        <v>0</v>
      </c>
      <c r="S14" s="8">
        <f>IF(Hoja1!S14="","",(Hoja1!S14/100)*$S$3)</f>
        <v>5</v>
      </c>
      <c r="T14" s="61">
        <f t="shared" si="0"/>
        <v>9.1</v>
      </c>
      <c r="U14" s="17">
        <f>IF(Hoja1!U14="","",(Hoja1!U14/100)*$U$3)</f>
        <v>0</v>
      </c>
      <c r="W14" t="str">
        <f t="shared" si="1"/>
        <v>REPROBADO</v>
      </c>
    </row>
    <row r="15" spans="3:26" x14ac:dyDescent="0.35">
      <c r="C15" s="8">
        <v>11</v>
      </c>
      <c r="D15" s="8">
        <v>202430602</v>
      </c>
      <c r="E15" s="12" t="s">
        <v>13</v>
      </c>
      <c r="F15" s="25">
        <f>IF(Hoja1!F15="","",(Hoja1!F15/100)*$F$3)</f>
        <v>0</v>
      </c>
      <c r="G15" s="8">
        <f>IF(Hoja1!G15="","",(Hoja1!G15/100)*$G$3)</f>
        <v>0</v>
      </c>
      <c r="H15" s="8">
        <f>IF(Hoja1!H15="","",(Hoja1!H15/100)*$H$3)</f>
        <v>0.5</v>
      </c>
      <c r="I15" s="26">
        <f>IF(Hoja1!I15="","",(Hoja1!I15/100)*$I$3)</f>
        <v>0</v>
      </c>
      <c r="J15" s="25">
        <f>IF(Hoja1!J15="","",(Hoja1!J15/100)*$J$3)</f>
        <v>0.6</v>
      </c>
      <c r="K15" s="8">
        <f>IF(Hoja1!K15="","",(Hoja1!K15/100)*$K$3)</f>
        <v>0</v>
      </c>
      <c r="L15" s="8">
        <f>IF(Hoja1!L15="","",(Hoja1!L15/100)*$L$3)</f>
        <v>0.9</v>
      </c>
      <c r="M15" s="8">
        <f>IF(Hoja1!M15="","",(Hoja1!M15/100)*$M$3)</f>
        <v>1.5</v>
      </c>
      <c r="N15" s="8">
        <f>IF(Hoja1!N15="","",(Hoja1!N15/100)*$N$3)</f>
        <v>0</v>
      </c>
      <c r="O15" s="8">
        <f>IF(Hoja1!O15="","",(Hoja1!O15/100)*$O$3)</f>
        <v>0</v>
      </c>
      <c r="P15" s="8">
        <f>IF(Hoja1!P15="","",(Hoja1!P15/100)*$P$3)</f>
        <v>0.6</v>
      </c>
      <c r="Q15" s="8">
        <f>IF(Hoja1!Q15="","",(Hoja1!Q15/100)*$Q$3)</f>
        <v>0</v>
      </c>
      <c r="R15" s="8">
        <f>IF(Hoja1!R15="","",(Hoja1!R15/100)*$R$3)</f>
        <v>0</v>
      </c>
      <c r="S15" s="8">
        <f>IF(Hoja1!S15="","",(Hoja1!S15/100)*$S$3)</f>
        <v>0</v>
      </c>
      <c r="T15" s="61">
        <f t="shared" si="0"/>
        <v>4.0999999999999996</v>
      </c>
      <c r="U15" s="17">
        <f>IF(Hoja1!U15="","",(Hoja1!U15/100)*$U$3)</f>
        <v>0</v>
      </c>
      <c r="W15" t="str">
        <f t="shared" si="1"/>
        <v>REPROBADO</v>
      </c>
    </row>
    <row r="16" spans="3:26" x14ac:dyDescent="0.35">
      <c r="C16" s="8">
        <v>12</v>
      </c>
      <c r="D16" s="8">
        <v>202430633</v>
      </c>
      <c r="E16" s="12" t="s">
        <v>14</v>
      </c>
      <c r="F16" s="25">
        <f>IF(Hoja1!F16="","",(Hoja1!F16/100)*$F$3)</f>
        <v>0.5</v>
      </c>
      <c r="G16" s="8">
        <f>IF(Hoja1!G16="","",(Hoja1!G16/100)*$G$3)</f>
        <v>0</v>
      </c>
      <c r="H16" s="8">
        <f>IF(Hoja1!H16="","",(Hoja1!H16/100)*$H$3)</f>
        <v>0.5</v>
      </c>
      <c r="I16" s="26">
        <f>IF(Hoja1!I16="","",(Hoja1!I16/100)*$I$3)</f>
        <v>0.5</v>
      </c>
      <c r="J16" s="25">
        <f>IF(Hoja1!J16="","",(Hoja1!J16/100)*$J$3)</f>
        <v>1</v>
      </c>
      <c r="K16" s="8">
        <f>IF(Hoja1!K16="","",(Hoja1!K16/100)*$K$3)</f>
        <v>1</v>
      </c>
      <c r="L16" s="8">
        <f>IF(Hoja1!L16="","",(Hoja1!L16/100)*$L$3)</f>
        <v>1</v>
      </c>
      <c r="M16" s="8">
        <f>IF(Hoja1!M16="","",(Hoja1!M16/100)*$M$3)</f>
        <v>1.5</v>
      </c>
      <c r="N16" s="8">
        <f>IF(Hoja1!N16="","",(Hoja1!N16/100)*$N$3)</f>
        <v>1</v>
      </c>
      <c r="O16" s="8">
        <f>IF(Hoja1!O16="","",(Hoja1!O16/100)*$O$3)</f>
        <v>2</v>
      </c>
      <c r="P16" s="8">
        <f>IF(Hoja1!P16="","",(Hoja1!P16/100)*$P$3)</f>
        <v>1</v>
      </c>
      <c r="Q16" s="8">
        <f>IF(Hoja1!Q16="","",(Hoja1!Q16/100)*$Q$3)</f>
        <v>0</v>
      </c>
      <c r="R16" s="8">
        <f>IF(Hoja1!R16="","",(Hoja1!R16/100)*$R$3)</f>
        <v>0</v>
      </c>
      <c r="S16" s="8">
        <f>IF(Hoja1!S16="","",(Hoja1!S16/100)*$S$3)</f>
        <v>5</v>
      </c>
      <c r="T16" s="61">
        <f t="shared" si="0"/>
        <v>16</v>
      </c>
      <c r="U16" s="17">
        <f>IF(Hoja1!U16="","",(Hoja1!U16/100)*$U$3)</f>
        <v>1</v>
      </c>
      <c r="W16" t="str">
        <f t="shared" si="1"/>
        <v>APROBADO</v>
      </c>
    </row>
    <row r="17" spans="3:23" x14ac:dyDescent="0.35">
      <c r="C17" s="8">
        <v>13</v>
      </c>
      <c r="D17" s="8">
        <v>202430645</v>
      </c>
      <c r="E17" s="12" t="s">
        <v>15</v>
      </c>
      <c r="F17" s="25">
        <f>IF(Hoja1!F17="","",(Hoja1!F17/100)*$F$3)</f>
        <v>0.5</v>
      </c>
      <c r="G17" s="8">
        <f>IF(Hoja1!G17="","",(Hoja1!G17/100)*$G$3)</f>
        <v>0</v>
      </c>
      <c r="H17" s="8">
        <f>IF(Hoja1!H17="","",(Hoja1!H17/100)*$H$3)</f>
        <v>0.25</v>
      </c>
      <c r="I17" s="26">
        <f>IF(Hoja1!I17="","",(Hoja1!I17/100)*$I$3)</f>
        <v>0</v>
      </c>
      <c r="J17" s="25">
        <f>IF(Hoja1!J17="","",(Hoja1!J17/100)*$J$3)</f>
        <v>1</v>
      </c>
      <c r="K17" s="8">
        <f>IF(Hoja1!K17="","",(Hoja1!K17/100)*$K$3)</f>
        <v>0.85</v>
      </c>
      <c r="L17" s="8">
        <f>IF(Hoja1!L17="","",(Hoja1!L17/100)*$L$3)</f>
        <v>1</v>
      </c>
      <c r="M17" s="8">
        <f>IF(Hoja1!M17="","",(Hoja1!M17/100)*$M$3)</f>
        <v>1.5</v>
      </c>
      <c r="N17" s="8">
        <f>IF(Hoja1!N17="","",(Hoja1!N17/100)*$N$3)</f>
        <v>1.4</v>
      </c>
      <c r="O17" s="8">
        <f>IF(Hoja1!O17="","",(Hoja1!O17/100)*$O$3)</f>
        <v>1.5</v>
      </c>
      <c r="P17" s="8">
        <f>IF(Hoja1!P17="","",(Hoja1!P17/100)*$P$3)</f>
        <v>1.4</v>
      </c>
      <c r="Q17" s="8">
        <f>IF(Hoja1!Q17="","",(Hoja1!Q17/100)*$Q$3)</f>
        <v>1</v>
      </c>
      <c r="R17" s="8">
        <f>IF(Hoja1!R17="","",(Hoja1!R17/100)*$R$3)</f>
        <v>1.5</v>
      </c>
      <c r="S17" s="8">
        <f>IF(Hoja1!S17="","",(Hoja1!S17/100)*$S$3)</f>
        <v>5</v>
      </c>
      <c r="T17" s="61">
        <f t="shared" si="0"/>
        <v>16.899999999999999</v>
      </c>
      <c r="U17" s="17">
        <f>IF(Hoja1!U17="","",(Hoja1!U17/100)*$U$3)</f>
        <v>0</v>
      </c>
      <c r="W17" t="str">
        <f t="shared" si="1"/>
        <v>APROBADO</v>
      </c>
    </row>
    <row r="18" spans="3:23" x14ac:dyDescent="0.35">
      <c r="C18" s="8">
        <v>14</v>
      </c>
      <c r="D18" s="8">
        <v>202430733</v>
      </c>
      <c r="E18" s="12" t="s">
        <v>16</v>
      </c>
      <c r="F18" s="25">
        <f>IF(Hoja1!F18="","",(Hoja1!F18/100)*$F$3)</f>
        <v>0.5</v>
      </c>
      <c r="G18" s="8">
        <f>IF(Hoja1!G18="","",(Hoja1!G18/100)*$G$3)</f>
        <v>0</v>
      </c>
      <c r="H18" s="8">
        <f>IF(Hoja1!H18="","",(Hoja1!H18/100)*$H$3)</f>
        <v>0.25</v>
      </c>
      <c r="I18" s="26">
        <f>IF(Hoja1!I18="","",(Hoja1!I18/100)*$I$3)</f>
        <v>0.5</v>
      </c>
      <c r="J18" s="25">
        <f>IF(Hoja1!J18="","",(Hoja1!J18/100)*$J$3)</f>
        <v>0.85</v>
      </c>
      <c r="K18" s="8">
        <f>IF(Hoja1!K18="","",(Hoja1!K18/100)*$K$3)</f>
        <v>1</v>
      </c>
      <c r="L18" s="8">
        <f>IF(Hoja1!L18="","",(Hoja1!L18/100)*$L$3)</f>
        <v>1</v>
      </c>
      <c r="M18" s="8">
        <f>IF(Hoja1!M18="","",(Hoja1!M18/100)*$M$3)</f>
        <v>1.5</v>
      </c>
      <c r="N18" s="8">
        <f>IF(Hoja1!N18="","",(Hoja1!N18/100)*$N$3)</f>
        <v>1</v>
      </c>
      <c r="O18" s="8">
        <f>IF(Hoja1!O18="","",(Hoja1!O18/100)*$O$3)</f>
        <v>2</v>
      </c>
      <c r="P18" s="8">
        <f>IF(Hoja1!P18="","",(Hoja1!P18/100)*$P$3)</f>
        <v>2</v>
      </c>
      <c r="Q18" s="8">
        <f>IF(Hoja1!Q18="","",(Hoja1!Q18/100)*$Q$3)</f>
        <v>1</v>
      </c>
      <c r="R18" s="8">
        <f>IF(Hoja1!R18="","",(Hoja1!R18/100)*$R$3)</f>
        <v>1.5</v>
      </c>
      <c r="S18" s="8">
        <f>IF(Hoja1!S18="","",(Hoja1!S18/100)*$S$3)</f>
        <v>5</v>
      </c>
      <c r="T18" s="61">
        <f t="shared" si="0"/>
        <v>19.100000000000001</v>
      </c>
      <c r="U18" s="17">
        <f>IF(Hoja1!U18="","",(Hoja1!U18/100)*$U$3)</f>
        <v>1</v>
      </c>
      <c r="W18" t="str">
        <f t="shared" si="1"/>
        <v>APROBADO</v>
      </c>
    </row>
    <row r="19" spans="3:23" x14ac:dyDescent="0.35">
      <c r="C19" s="8">
        <v>15</v>
      </c>
      <c r="D19" s="8">
        <v>202430804</v>
      </c>
      <c r="E19" s="12" t="s">
        <v>17</v>
      </c>
      <c r="F19" s="25">
        <f>IF(Hoja1!F19="","",(Hoja1!F19/100)*$F$3)</f>
        <v>0.5</v>
      </c>
      <c r="G19" s="8">
        <f>IF(Hoja1!G19="","",(Hoja1!G19/100)*$G$3)</f>
        <v>0</v>
      </c>
      <c r="H19" s="8">
        <f>IF(Hoja1!H19="","",(Hoja1!H19/100)*$H$3)</f>
        <v>0</v>
      </c>
      <c r="I19" s="26">
        <f>IF(Hoja1!I19="","",(Hoja1!I19/100)*$I$3)</f>
        <v>0</v>
      </c>
      <c r="J19" s="25">
        <f>IF(Hoja1!J19="","",(Hoja1!J19/100)*$J$3)</f>
        <v>1</v>
      </c>
      <c r="K19" s="8">
        <f>IF(Hoja1!K19="","",(Hoja1!K19/100)*$K$3)</f>
        <v>1</v>
      </c>
      <c r="L19" s="8">
        <f>IF(Hoja1!L19="","",(Hoja1!L19/100)*$L$3)</f>
        <v>1</v>
      </c>
      <c r="M19" s="8">
        <f>IF(Hoja1!M19="","",(Hoja1!M19/100)*$M$3)</f>
        <v>1.5</v>
      </c>
      <c r="N19" s="8">
        <f>IF(Hoja1!N19="","",(Hoja1!N19/100)*$N$3)</f>
        <v>1.6</v>
      </c>
      <c r="O19" s="8">
        <f>IF(Hoja1!O19="","",(Hoja1!O19/100)*$O$3)</f>
        <v>2</v>
      </c>
      <c r="P19" s="8">
        <f>IF(Hoja1!P19="","",(Hoja1!P19/100)*$P$3)</f>
        <v>2</v>
      </c>
      <c r="Q19" s="8">
        <f>IF(Hoja1!Q19="","",(Hoja1!Q19/100)*$Q$3)</f>
        <v>0</v>
      </c>
      <c r="R19" s="8">
        <f>IF(Hoja1!R19="","",(Hoja1!R19/100)*$R$3)</f>
        <v>0</v>
      </c>
      <c r="S19" s="8">
        <f>IF(Hoja1!S19="","",(Hoja1!S19/100)*$S$3)</f>
        <v>0</v>
      </c>
      <c r="T19" s="61">
        <f t="shared" si="0"/>
        <v>10.6</v>
      </c>
      <c r="U19" s="17">
        <f>IF(Hoja1!U19="","",(Hoja1!U19/100)*$U$3)</f>
        <v>0</v>
      </c>
      <c r="W19" t="str">
        <f t="shared" si="1"/>
        <v>REPROBADO</v>
      </c>
    </row>
    <row r="20" spans="3:23" x14ac:dyDescent="0.35">
      <c r="C20" s="8">
        <v>16</v>
      </c>
      <c r="D20" s="8">
        <v>202430829</v>
      </c>
      <c r="E20" s="12" t="s">
        <v>18</v>
      </c>
      <c r="F20" s="25">
        <f>IF(Hoja1!F20="","",(Hoja1!F20/100)*$F$3)</f>
        <v>0.5</v>
      </c>
      <c r="G20" s="8">
        <f>IF(Hoja1!G20="","",(Hoja1!G20/100)*$G$3)</f>
        <v>0.5</v>
      </c>
      <c r="H20" s="8">
        <f>IF(Hoja1!H20="","",(Hoja1!H20/100)*$H$3)</f>
        <v>0.5</v>
      </c>
      <c r="I20" s="26">
        <f>IF(Hoja1!I20="","",(Hoja1!I20/100)*$I$3)</f>
        <v>0.45</v>
      </c>
      <c r="J20" s="25">
        <f>IF(Hoja1!J20="","",(Hoja1!J20/100)*$J$3)</f>
        <v>0.85</v>
      </c>
      <c r="K20" s="8">
        <f>IF(Hoja1!K20="","",(Hoja1!K20/100)*$K$3)</f>
        <v>1</v>
      </c>
      <c r="L20" s="8">
        <f>IF(Hoja1!L20="","",(Hoja1!L20/100)*$L$3)</f>
        <v>1</v>
      </c>
      <c r="M20" s="8">
        <f>IF(Hoja1!M20="","",(Hoja1!M20/100)*$M$3)</f>
        <v>1.5</v>
      </c>
      <c r="N20" s="8">
        <f>IF(Hoja1!N20="","",(Hoja1!N20/100)*$N$3)</f>
        <v>1.4</v>
      </c>
      <c r="O20" s="8">
        <f>IF(Hoja1!O20="","",(Hoja1!O20/100)*$O$3)</f>
        <v>1.7</v>
      </c>
      <c r="P20" s="8">
        <f>IF(Hoja1!P20="","",(Hoja1!P20/100)*$P$3)</f>
        <v>1.7</v>
      </c>
      <c r="Q20" s="8">
        <f>IF(Hoja1!Q20="","",(Hoja1!Q20/100)*$Q$3)</f>
        <v>0.8</v>
      </c>
      <c r="R20" s="8">
        <f>IF(Hoja1!R20="","",(Hoja1!R20/100)*$R$3)</f>
        <v>1.5</v>
      </c>
      <c r="S20" s="8">
        <f>IF(Hoja1!S20="","",(Hoja1!S20/100)*$S$3)</f>
        <v>5</v>
      </c>
      <c r="T20" s="61">
        <f t="shared" si="0"/>
        <v>18.399999999999999</v>
      </c>
      <c r="U20" s="17">
        <f>IF(Hoja1!U20="","",(Hoja1!U20/100)*$U$3)</f>
        <v>0</v>
      </c>
      <c r="W20" t="str">
        <f t="shared" si="1"/>
        <v>APROBADO</v>
      </c>
    </row>
    <row r="21" spans="3:23" x14ac:dyDescent="0.35">
      <c r="C21" s="8">
        <v>17</v>
      </c>
      <c r="D21" s="8">
        <v>202431169</v>
      </c>
      <c r="E21" s="12" t="s">
        <v>19</v>
      </c>
      <c r="F21" s="25">
        <f>IF(Hoja1!F21="","",(Hoja1!F21/100)*$F$3)</f>
        <v>0.5</v>
      </c>
      <c r="G21" s="8">
        <f>IF(Hoja1!G21="","",(Hoja1!G21/100)*$G$3)</f>
        <v>0</v>
      </c>
      <c r="H21" s="8">
        <f>IF(Hoja1!H21="","",(Hoja1!H21/100)*$H$3)</f>
        <v>0.25</v>
      </c>
      <c r="I21" s="26">
        <f>IF(Hoja1!I21="","",(Hoja1!I21/100)*$I$3)</f>
        <v>0.5</v>
      </c>
      <c r="J21" s="25">
        <f>IF(Hoja1!J21="","",(Hoja1!J21/100)*$J$3)</f>
        <v>0.85</v>
      </c>
      <c r="K21" s="8">
        <f>IF(Hoja1!K21="","",(Hoja1!K21/100)*$K$3)</f>
        <v>1</v>
      </c>
      <c r="L21" s="8">
        <f>IF(Hoja1!L21="","",(Hoja1!L21/100)*$L$3)</f>
        <v>1</v>
      </c>
      <c r="M21" s="8">
        <f>IF(Hoja1!M21="","",(Hoja1!M21/100)*$M$3)</f>
        <v>1.5</v>
      </c>
      <c r="N21" s="8">
        <f>IF(Hoja1!N21="","",(Hoja1!N21/100)*$N$3)</f>
        <v>1</v>
      </c>
      <c r="O21" s="8">
        <f>IF(Hoja1!O21="","",(Hoja1!O21/100)*$O$3)</f>
        <v>2</v>
      </c>
      <c r="P21" s="8">
        <f>IF(Hoja1!P21="","",(Hoja1!P21/100)*$P$3)</f>
        <v>2</v>
      </c>
      <c r="Q21" s="8">
        <f>IF(Hoja1!Q21="","",(Hoja1!Q21/100)*$Q$3)</f>
        <v>1</v>
      </c>
      <c r="R21" s="8">
        <f>IF(Hoja1!R21="","",(Hoja1!R21/100)*$R$3)</f>
        <v>1.5</v>
      </c>
      <c r="S21" s="8">
        <f>IF(Hoja1!S21="","",(Hoja1!S21/100)*$S$3)</f>
        <v>5</v>
      </c>
      <c r="T21" s="61">
        <f t="shared" si="0"/>
        <v>19.100000000000001</v>
      </c>
      <c r="U21" s="17">
        <f>IF(Hoja1!U21="","",(Hoja1!U21/100)*$U$3)</f>
        <v>1</v>
      </c>
      <c r="W21" t="str">
        <f t="shared" si="1"/>
        <v>APROBADO</v>
      </c>
    </row>
    <row r="22" spans="3:23" x14ac:dyDescent="0.35">
      <c r="C22" s="8">
        <v>18</v>
      </c>
      <c r="D22" s="8">
        <v>202431502</v>
      </c>
      <c r="E22" s="12" t="s">
        <v>20</v>
      </c>
      <c r="F22" s="25">
        <f>IF(Hoja1!F22="","",(Hoja1!F22/100)*$F$3)</f>
        <v>0.5</v>
      </c>
      <c r="G22" s="8">
        <f>IF(Hoja1!G22="","",(Hoja1!G22/100)*$G$3)</f>
        <v>0.5</v>
      </c>
      <c r="H22" s="8">
        <f>IF(Hoja1!H22="","",(Hoja1!H22/100)*$H$3)</f>
        <v>0.5</v>
      </c>
      <c r="I22" s="26">
        <f>IF(Hoja1!I22="","",(Hoja1!I22/100)*$I$3)</f>
        <v>0.5</v>
      </c>
      <c r="J22" s="25">
        <f>IF(Hoja1!J22="","",(Hoja1!J22/100)*$J$3)</f>
        <v>1</v>
      </c>
      <c r="K22" s="8">
        <f>IF(Hoja1!K22="","",(Hoja1!K22/100)*$K$3)</f>
        <v>1</v>
      </c>
      <c r="L22" s="8">
        <f>IF(Hoja1!L22="","",(Hoja1!L22/100)*$L$3)</f>
        <v>1</v>
      </c>
      <c r="M22" s="8">
        <f>IF(Hoja1!M22="","",(Hoja1!M22/100)*$M$3)</f>
        <v>1.5</v>
      </c>
      <c r="N22" s="8">
        <f>IF(Hoja1!N22="","",(Hoja1!N22/100)*$N$3)</f>
        <v>1</v>
      </c>
      <c r="O22" s="8">
        <f>IF(Hoja1!O22="","",(Hoja1!O22/100)*$O$3)</f>
        <v>1.8</v>
      </c>
      <c r="P22" s="8">
        <f>IF(Hoja1!P22="","",(Hoja1!P22/100)*$P$3)</f>
        <v>0.9</v>
      </c>
      <c r="Q22" s="8">
        <f>IF(Hoja1!Q22="","",(Hoja1!Q22/100)*$Q$3)</f>
        <v>0.8</v>
      </c>
      <c r="R22" s="8">
        <f>IF(Hoja1!R22="","",(Hoja1!R22/100)*$R$3)</f>
        <v>1.5</v>
      </c>
      <c r="S22" s="8">
        <f>IF(Hoja1!S22="","",(Hoja1!S22/100)*$S$3)</f>
        <v>5</v>
      </c>
      <c r="T22" s="61">
        <f t="shared" si="0"/>
        <v>17.5</v>
      </c>
      <c r="U22" s="17">
        <f>IF(Hoja1!U22="","",(Hoja1!U22/100)*$U$3)</f>
        <v>0</v>
      </c>
      <c r="W22" t="str">
        <f t="shared" si="1"/>
        <v>APROBADO</v>
      </c>
    </row>
    <row r="23" spans="3:23" x14ac:dyDescent="0.35">
      <c r="C23" s="8">
        <v>19</v>
      </c>
      <c r="D23" s="8">
        <v>202431726</v>
      </c>
      <c r="E23" s="12" t="s">
        <v>21</v>
      </c>
      <c r="F23" s="25">
        <f>IF(Hoja1!F23="","",(Hoja1!F23/100)*$F$3)</f>
        <v>0.5</v>
      </c>
      <c r="G23" s="8">
        <f>IF(Hoja1!G23="","",(Hoja1!G23/100)*$G$3)</f>
        <v>0</v>
      </c>
      <c r="H23" s="8">
        <f>IF(Hoja1!H23="","",(Hoja1!H23/100)*$H$3)</f>
        <v>0.5</v>
      </c>
      <c r="I23" s="26">
        <f>IF(Hoja1!I23="","",(Hoja1!I23/100)*$I$3)</f>
        <v>0.5</v>
      </c>
      <c r="J23" s="25">
        <f>IF(Hoja1!J23="","",(Hoja1!J23/100)*$J$3)</f>
        <v>0.75</v>
      </c>
      <c r="K23" s="8">
        <f>IF(Hoja1!K23="","",(Hoja1!K23/100)*$K$3)</f>
        <v>1</v>
      </c>
      <c r="L23" s="8">
        <f>IF(Hoja1!L23="","",(Hoja1!L23/100)*$L$3)</f>
        <v>1</v>
      </c>
      <c r="M23" s="8">
        <f>IF(Hoja1!M23="","",(Hoja1!M23/100)*$M$3)</f>
        <v>1.5</v>
      </c>
      <c r="N23" s="8">
        <f>IF(Hoja1!N23="","",(Hoja1!N23/100)*$N$3)</f>
        <v>1.8</v>
      </c>
      <c r="O23" s="8">
        <f>IF(Hoja1!O23="","",(Hoja1!O23/100)*$O$3)</f>
        <v>1.9</v>
      </c>
      <c r="P23" s="8">
        <f>IF(Hoja1!P23="","",(Hoja1!P23/100)*$P$3)</f>
        <v>1.8</v>
      </c>
      <c r="Q23" s="8">
        <f>IF(Hoja1!Q23="","",(Hoja1!Q23/100)*$Q$3)</f>
        <v>0</v>
      </c>
      <c r="R23" s="8">
        <f>IF(Hoja1!R23="","",(Hoja1!R23/100)*$R$3)</f>
        <v>0</v>
      </c>
      <c r="S23" s="8">
        <f>IF(Hoja1!S23="","",(Hoja1!S23/100)*$S$3)</f>
        <v>0</v>
      </c>
      <c r="T23" s="61">
        <f t="shared" si="0"/>
        <v>11.25</v>
      </c>
      <c r="U23" s="17">
        <f>IF(Hoja1!U23="","",(Hoja1!U23/100)*$U$3)</f>
        <v>0</v>
      </c>
      <c r="W23" t="str">
        <f t="shared" si="1"/>
        <v>REPROBADO</v>
      </c>
    </row>
    <row r="24" spans="3:23" x14ac:dyDescent="0.35">
      <c r="C24" s="8">
        <v>20</v>
      </c>
      <c r="D24" s="8">
        <v>202431817</v>
      </c>
      <c r="E24" s="12" t="s">
        <v>22</v>
      </c>
      <c r="F24" s="25">
        <f>IF(Hoja1!F24="","",(Hoja1!F24/100)*$F$3)</f>
        <v>0</v>
      </c>
      <c r="G24" s="8">
        <f>IF(Hoja1!G24="","",(Hoja1!G24/100)*$G$3)</f>
        <v>0</v>
      </c>
      <c r="H24" s="8">
        <f>IF(Hoja1!H24="","",(Hoja1!H24/100)*$H$3)</f>
        <v>0.5</v>
      </c>
      <c r="I24" s="26">
        <f>IF(Hoja1!I24="","",(Hoja1!I24/100)*$I$3)</f>
        <v>0.5</v>
      </c>
      <c r="J24" s="25">
        <f>IF(Hoja1!J24="","",(Hoja1!J24/100)*$J$3)</f>
        <v>0</v>
      </c>
      <c r="K24" s="8">
        <f>IF(Hoja1!K24="","",(Hoja1!K24/100)*$K$3)</f>
        <v>0</v>
      </c>
      <c r="L24" s="8">
        <f>IF(Hoja1!L24="","",(Hoja1!L24/100)*$L$3)</f>
        <v>1</v>
      </c>
      <c r="M24" s="8">
        <f>IF(Hoja1!M24="","",(Hoja1!M24/100)*$M$3)</f>
        <v>0</v>
      </c>
      <c r="N24" s="8">
        <f>IF(Hoja1!N24="","",(Hoja1!N24/100)*$N$3)</f>
        <v>0</v>
      </c>
      <c r="O24" s="8">
        <f>IF(Hoja1!O24="","",(Hoja1!O24/100)*$O$3)</f>
        <v>0.3</v>
      </c>
      <c r="P24" s="8">
        <f>IF(Hoja1!P24="","",(Hoja1!P24/100)*$P$3)</f>
        <v>1.8</v>
      </c>
      <c r="Q24" s="8">
        <f>IF(Hoja1!Q24="","",(Hoja1!Q24/100)*$Q$3)</f>
        <v>1</v>
      </c>
      <c r="R24" s="8">
        <f>IF(Hoja1!R24="","",(Hoja1!R24/100)*$R$3)</f>
        <v>0</v>
      </c>
      <c r="S24" s="8">
        <f>IF(Hoja1!S24="","",(Hoja1!S24/100)*$S$3)</f>
        <v>5</v>
      </c>
      <c r="T24" s="61">
        <f t="shared" si="0"/>
        <v>10.1</v>
      </c>
      <c r="U24" s="17">
        <f>IF(Hoja1!U24="","",(Hoja1!U24/100)*$U$3)</f>
        <v>0</v>
      </c>
      <c r="W24" t="str">
        <f t="shared" si="1"/>
        <v>REPROBADO</v>
      </c>
    </row>
    <row r="25" spans="3:23" x14ac:dyDescent="0.35">
      <c r="C25" s="8">
        <v>21</v>
      </c>
      <c r="D25" s="8">
        <v>202431819</v>
      </c>
      <c r="E25" s="12" t="s">
        <v>23</v>
      </c>
      <c r="F25" s="25">
        <f>IF(Hoja1!F25="","",(Hoja1!F25/100)*$F$3)</f>
        <v>0</v>
      </c>
      <c r="G25" s="8">
        <f>IF(Hoja1!G25="","",(Hoja1!G25/100)*$G$3)</f>
        <v>0.5</v>
      </c>
      <c r="H25" s="8">
        <f>IF(Hoja1!H25="","",(Hoja1!H25/100)*$H$3)</f>
        <v>0</v>
      </c>
      <c r="I25" s="26">
        <f>IF(Hoja1!I25="","",(Hoja1!I25/100)*$I$3)</f>
        <v>0</v>
      </c>
      <c r="J25" s="25">
        <f>IF(Hoja1!J25="","",(Hoja1!J25/100)*$J$3)</f>
        <v>0</v>
      </c>
      <c r="K25" s="8">
        <f>IF(Hoja1!K25="","",(Hoja1!K25/100)*$K$3)</f>
        <v>1</v>
      </c>
      <c r="L25" s="8">
        <f>IF(Hoja1!L25="","",(Hoja1!L25/100)*$L$3)</f>
        <v>0</v>
      </c>
      <c r="M25" s="8">
        <f>IF(Hoja1!M25="","",(Hoja1!M25/100)*$M$3)</f>
        <v>1.5</v>
      </c>
      <c r="N25" s="8">
        <f>IF(Hoja1!N25="","",(Hoja1!N25/100)*$N$3)</f>
        <v>0</v>
      </c>
      <c r="O25" s="8">
        <f>IF(Hoja1!O25="","",(Hoja1!O25/100)*$O$3)</f>
        <v>1.7</v>
      </c>
      <c r="P25" s="8">
        <f>IF(Hoja1!P25="","",(Hoja1!P25/100)*$P$3)</f>
        <v>1.4</v>
      </c>
      <c r="Q25" s="8">
        <f>IF(Hoja1!Q25="","",(Hoja1!Q25/100)*$Q$3)</f>
        <v>0.8</v>
      </c>
      <c r="R25" s="8">
        <f>IF(Hoja1!R25="","",(Hoja1!R25/100)*$R$3)</f>
        <v>1.5</v>
      </c>
      <c r="S25" s="8">
        <f>IF(Hoja1!S25="","",(Hoja1!S25/100)*$S$3)</f>
        <v>5</v>
      </c>
      <c r="T25" s="61">
        <f t="shared" si="0"/>
        <v>13.399999999999999</v>
      </c>
      <c r="U25" s="17">
        <f>IF(Hoja1!U25="","",(Hoja1!U25/100)*$U$3)</f>
        <v>0</v>
      </c>
      <c r="W25" t="str">
        <f t="shared" si="1"/>
        <v>APROBADO</v>
      </c>
    </row>
    <row r="26" spans="3:23" x14ac:dyDescent="0.35">
      <c r="C26" s="8">
        <v>22</v>
      </c>
      <c r="D26" s="8">
        <v>202431863</v>
      </c>
      <c r="E26" s="12" t="s">
        <v>24</v>
      </c>
      <c r="F26" s="25">
        <f>IF(Hoja1!F26="","",(Hoja1!F26/100)*$F$3)</f>
        <v>0.5</v>
      </c>
      <c r="G26" s="8">
        <f>IF(Hoja1!G26="","",(Hoja1!G26/100)*$G$3)</f>
        <v>0</v>
      </c>
      <c r="H26" s="8">
        <f>IF(Hoja1!H26="","",(Hoja1!H26/100)*$H$3)</f>
        <v>0</v>
      </c>
      <c r="I26" s="26">
        <f>IF(Hoja1!I26="","",(Hoja1!I26/100)*$I$3)</f>
        <v>0.5</v>
      </c>
      <c r="J26" s="25">
        <f>IF(Hoja1!J26="","",(Hoja1!J26/100)*$J$3)</f>
        <v>0.5</v>
      </c>
      <c r="K26" s="8">
        <f>IF(Hoja1!K26="","",(Hoja1!K26/100)*$K$3)</f>
        <v>0.5</v>
      </c>
      <c r="L26" s="8">
        <f>IF(Hoja1!L26="","",(Hoja1!L26/100)*$L$3)</f>
        <v>0.5</v>
      </c>
      <c r="M26" s="8">
        <f>IF(Hoja1!M26="","",(Hoja1!M26/100)*$M$3)</f>
        <v>1.5</v>
      </c>
      <c r="N26" s="8">
        <f>IF(Hoja1!N26="","",(Hoja1!N26/100)*$N$3)</f>
        <v>0.5</v>
      </c>
      <c r="O26" s="8">
        <f>IF(Hoja1!O26="","",(Hoja1!O26/100)*$O$3)</f>
        <v>0.5</v>
      </c>
      <c r="P26" s="8">
        <f>IF(Hoja1!P26="","",(Hoja1!P26/100)*$P$3)</f>
        <v>2</v>
      </c>
      <c r="Q26" s="8">
        <f>IF(Hoja1!Q26="","",(Hoja1!Q26/100)*$Q$3)</f>
        <v>0.8</v>
      </c>
      <c r="R26" s="8">
        <f>IF(Hoja1!R26="","",(Hoja1!R26/100)*$R$3)</f>
        <v>0</v>
      </c>
      <c r="S26" s="8">
        <f>IF(Hoja1!S26="","",(Hoja1!S26/100)*$S$3)</f>
        <v>5</v>
      </c>
      <c r="T26" s="61">
        <f t="shared" si="0"/>
        <v>12.8</v>
      </c>
      <c r="U26" s="17">
        <f>IF(Hoja1!U26="","",(Hoja1!U26/100)*$U$3)</f>
        <v>0</v>
      </c>
      <c r="W26" t="str">
        <f t="shared" si="1"/>
        <v>APROBADO</v>
      </c>
    </row>
    <row r="27" spans="3:23" x14ac:dyDescent="0.35">
      <c r="C27" s="8">
        <v>23</v>
      </c>
      <c r="D27" s="8">
        <v>202432080</v>
      </c>
      <c r="E27" s="12" t="s">
        <v>25</v>
      </c>
      <c r="F27" s="25">
        <f>IF(Hoja1!F27="","",(Hoja1!F27/100)*$F$3)</f>
        <v>0.5</v>
      </c>
      <c r="G27" s="8">
        <f>IF(Hoja1!G27="","",(Hoja1!G27/100)*$G$3)</f>
        <v>0</v>
      </c>
      <c r="H27" s="8">
        <f>IF(Hoja1!H27="","",(Hoja1!H27/100)*$H$3)</f>
        <v>0</v>
      </c>
      <c r="I27" s="26">
        <f>IF(Hoja1!I27="","",(Hoja1!I27/100)*$I$3)</f>
        <v>0</v>
      </c>
      <c r="J27" s="25">
        <f>IF(Hoja1!J27="","",(Hoja1!J27/100)*$J$3)</f>
        <v>0</v>
      </c>
      <c r="K27" s="8">
        <f>IF(Hoja1!K27="","",(Hoja1!K27/100)*$K$3)</f>
        <v>1</v>
      </c>
      <c r="L27" s="8">
        <f>IF(Hoja1!L27="","",(Hoja1!L27/100)*$L$3)</f>
        <v>1</v>
      </c>
      <c r="M27" s="8">
        <f>IF(Hoja1!M27="","",(Hoja1!M27/100)*$M$3)</f>
        <v>1.5</v>
      </c>
      <c r="N27" s="8">
        <f>IF(Hoja1!N27="","",(Hoja1!N27/100)*$N$3)</f>
        <v>1.4</v>
      </c>
      <c r="O27" s="8">
        <f>IF(Hoja1!O27="","",(Hoja1!O27/100)*$O$3)</f>
        <v>2</v>
      </c>
      <c r="P27" s="8">
        <f>IF(Hoja1!P27="","",(Hoja1!P27/100)*$P$3)</f>
        <v>2</v>
      </c>
      <c r="Q27" s="8">
        <f>IF(Hoja1!Q27="","",(Hoja1!Q27/100)*$Q$3)</f>
        <v>0</v>
      </c>
      <c r="R27" s="8">
        <f>IF(Hoja1!R27="","",(Hoja1!R27/100)*$R$3)</f>
        <v>0</v>
      </c>
      <c r="S27" s="8">
        <f>IF(Hoja1!S27="","",(Hoja1!S27/100)*$S$3)</f>
        <v>0</v>
      </c>
      <c r="T27" s="61">
        <f t="shared" si="0"/>
        <v>9.4</v>
      </c>
      <c r="U27" s="17">
        <f>IF(Hoja1!U27="","",(Hoja1!U27/100)*$U$3)</f>
        <v>0</v>
      </c>
      <c r="W27" t="str">
        <f t="shared" si="1"/>
        <v>REPROBADO</v>
      </c>
    </row>
    <row r="28" spans="3:23" x14ac:dyDescent="0.35">
      <c r="C28" s="8">
        <v>24</v>
      </c>
      <c r="D28" s="8">
        <v>202432085</v>
      </c>
      <c r="E28" s="12" t="s">
        <v>26</v>
      </c>
      <c r="F28" s="25">
        <f>IF(Hoja1!F28="","",(Hoja1!F28/100)*$F$3)</f>
        <v>0.5</v>
      </c>
      <c r="G28" s="8">
        <f>IF(Hoja1!G28="","",(Hoja1!G28/100)*$G$3)</f>
        <v>0</v>
      </c>
      <c r="H28" s="8">
        <f>IF(Hoja1!H28="","",(Hoja1!H28/100)*$H$3)</f>
        <v>0.5</v>
      </c>
      <c r="I28" s="26">
        <f>IF(Hoja1!I28="","",(Hoja1!I28/100)*$I$3)</f>
        <v>0.5</v>
      </c>
      <c r="J28" s="25">
        <f>IF(Hoja1!J28="","",(Hoja1!J28/100)*$J$3)</f>
        <v>0.75</v>
      </c>
      <c r="K28" s="8">
        <f>IF(Hoja1!K28="","",(Hoja1!K28/100)*$K$3)</f>
        <v>1</v>
      </c>
      <c r="L28" s="8">
        <f>IF(Hoja1!L28="","",(Hoja1!L28/100)*$L$3)</f>
        <v>0.9</v>
      </c>
      <c r="M28" s="8">
        <f>IF(Hoja1!M28="","",(Hoja1!M28/100)*$M$3)</f>
        <v>1.5</v>
      </c>
      <c r="N28" s="8">
        <f>IF(Hoja1!N28="","",(Hoja1!N28/100)*$N$3)</f>
        <v>1.4</v>
      </c>
      <c r="O28" s="8">
        <f>IF(Hoja1!O28="","",(Hoja1!O28/100)*$O$3)</f>
        <v>1.9</v>
      </c>
      <c r="P28" s="8">
        <f>IF(Hoja1!P28="","",(Hoja1!P28/100)*$P$3)</f>
        <v>1.8</v>
      </c>
      <c r="Q28" s="8">
        <f>IF(Hoja1!Q28="","",(Hoja1!Q28/100)*$Q$3)</f>
        <v>0</v>
      </c>
      <c r="R28" s="8">
        <f>IF(Hoja1!R28="","",(Hoja1!R28/100)*$R$3)</f>
        <v>0</v>
      </c>
      <c r="S28" s="8">
        <f>IF(Hoja1!S28="","",(Hoja1!S28/100)*$S$3)</f>
        <v>0</v>
      </c>
      <c r="T28" s="61">
        <f t="shared" si="0"/>
        <v>10.750000000000002</v>
      </c>
      <c r="U28" s="17">
        <f>IF(Hoja1!U28="","",(Hoja1!U28/100)*$U$3)</f>
        <v>0</v>
      </c>
      <c r="W28" t="str">
        <f t="shared" si="1"/>
        <v>REPROBADO</v>
      </c>
    </row>
    <row r="29" spans="3:23" x14ac:dyDescent="0.35">
      <c r="C29" s="8">
        <v>25</v>
      </c>
      <c r="D29" s="8">
        <v>202432137</v>
      </c>
      <c r="E29" s="12" t="s">
        <v>27</v>
      </c>
      <c r="F29" s="25">
        <f>IF(Hoja1!F29="","",(Hoja1!F29/100)*$F$3)</f>
        <v>0.5</v>
      </c>
      <c r="G29" s="8">
        <f>IF(Hoja1!G29="","",(Hoja1!G29/100)*$G$3)</f>
        <v>0</v>
      </c>
      <c r="H29" s="8">
        <f>IF(Hoja1!H29="","",(Hoja1!H29/100)*$H$3)</f>
        <v>0</v>
      </c>
      <c r="I29" s="26">
        <f>IF(Hoja1!I29="","",(Hoja1!I29/100)*$I$3)</f>
        <v>0.5</v>
      </c>
      <c r="J29" s="25">
        <f>IF(Hoja1!J29="","",(Hoja1!J29/100)*$J$3)</f>
        <v>0.5</v>
      </c>
      <c r="K29" s="8">
        <f>IF(Hoja1!K29="","",(Hoja1!K29/100)*$K$3)</f>
        <v>0.5</v>
      </c>
      <c r="L29" s="8">
        <f>IF(Hoja1!L29="","",(Hoja1!L29/100)*$L$3)</f>
        <v>0.5</v>
      </c>
      <c r="M29" s="8">
        <f>IF(Hoja1!M29="","",(Hoja1!M29/100)*$M$3)</f>
        <v>0</v>
      </c>
      <c r="N29" s="8">
        <f>IF(Hoja1!N29="","",(Hoja1!N29/100)*$N$3)</f>
        <v>0.5</v>
      </c>
      <c r="O29" s="8">
        <f>IF(Hoja1!O29="","",(Hoja1!O29/100)*$O$3)</f>
        <v>0.5</v>
      </c>
      <c r="P29" s="8">
        <f>IF(Hoja1!P29="","",(Hoja1!P29/100)*$P$3)</f>
        <v>2</v>
      </c>
      <c r="Q29" s="8">
        <f>IF(Hoja1!Q29="","",(Hoja1!Q29/100)*$Q$3)</f>
        <v>0.8</v>
      </c>
      <c r="R29" s="8">
        <f>IF(Hoja1!R29="","",(Hoja1!R29/100)*$R$3)</f>
        <v>0</v>
      </c>
      <c r="S29" s="8">
        <f>IF(Hoja1!S29="","",(Hoja1!S29/100)*$S$3)</f>
        <v>5</v>
      </c>
      <c r="T29" s="61">
        <f t="shared" si="0"/>
        <v>11.3</v>
      </c>
      <c r="U29" s="17">
        <f>IF(Hoja1!U29="","",(Hoja1!U29/100)*$U$3)</f>
        <v>0</v>
      </c>
      <c r="W29" t="str">
        <f t="shared" si="1"/>
        <v>REPROBADO</v>
      </c>
    </row>
    <row r="30" spans="3:23" x14ac:dyDescent="0.35">
      <c r="C30" s="8">
        <v>26</v>
      </c>
      <c r="D30" s="8">
        <v>202530125</v>
      </c>
      <c r="E30" s="12" t="s">
        <v>28</v>
      </c>
      <c r="F30" s="25">
        <f>IF(Hoja1!F30="","",(Hoja1!F30/100)*$F$3)</f>
        <v>0</v>
      </c>
      <c r="G30" s="8">
        <f>IF(Hoja1!G30="","",(Hoja1!G30/100)*$G$3)</f>
        <v>0</v>
      </c>
      <c r="H30" s="8">
        <f>IF(Hoja1!H30="","",(Hoja1!H30/100)*$H$3)</f>
        <v>0.5</v>
      </c>
      <c r="I30" s="26">
        <f>IF(Hoja1!I30="","",(Hoja1!I30/100)*$I$3)</f>
        <v>0.5</v>
      </c>
      <c r="J30" s="25">
        <f>IF(Hoja1!J30="","",(Hoja1!J30/100)*$J$3)</f>
        <v>1</v>
      </c>
      <c r="K30" s="8">
        <f>IF(Hoja1!K30="","",(Hoja1!K30/100)*$K$3)</f>
        <v>0.75</v>
      </c>
      <c r="L30" s="8">
        <f>IF(Hoja1!L30="","",(Hoja1!L30/100)*$L$3)</f>
        <v>0.9</v>
      </c>
      <c r="M30" s="8">
        <f>IF(Hoja1!M30="","",(Hoja1!M30/100)*$M$3)</f>
        <v>1.5</v>
      </c>
      <c r="N30" s="8">
        <f>IF(Hoja1!N30="","",(Hoja1!N30/100)*$N$3)</f>
        <v>1.6</v>
      </c>
      <c r="O30" s="8">
        <f>IF(Hoja1!O30="","",(Hoja1!O30/100)*$O$3)</f>
        <v>1.8</v>
      </c>
      <c r="P30" s="8">
        <f>IF(Hoja1!P30="","",(Hoja1!P30/100)*$P$3)</f>
        <v>1.2</v>
      </c>
      <c r="Q30" s="8">
        <f>IF(Hoja1!Q30="","",(Hoja1!Q30/100)*$Q$3)</f>
        <v>0</v>
      </c>
      <c r="R30" s="8">
        <f>IF(Hoja1!R30="","",(Hoja1!R30/100)*$R$3)</f>
        <v>0</v>
      </c>
      <c r="S30" s="8">
        <f>IF(Hoja1!S30="","",(Hoja1!S30/100)*$S$3)</f>
        <v>0</v>
      </c>
      <c r="T30" s="61">
        <f t="shared" si="0"/>
        <v>9.75</v>
      </c>
      <c r="U30" s="17">
        <f>IF(Hoja1!U30="","",(Hoja1!U30/100)*$U$3)</f>
        <v>0</v>
      </c>
      <c r="W30" t="str">
        <f t="shared" si="1"/>
        <v>REPROBADO</v>
      </c>
    </row>
    <row r="31" spans="3:23" x14ac:dyDescent="0.35">
      <c r="C31" s="8">
        <v>27</v>
      </c>
      <c r="D31" s="8">
        <v>202530235</v>
      </c>
      <c r="E31" s="12" t="s">
        <v>29</v>
      </c>
      <c r="F31" s="25">
        <f>IF(Hoja1!F31="","",(Hoja1!F31/100)*$F$3)</f>
        <v>0.5</v>
      </c>
      <c r="G31" s="8">
        <f>IF(Hoja1!G31="","",(Hoja1!G31/100)*$G$3)</f>
        <v>0</v>
      </c>
      <c r="H31" s="8">
        <f>IF(Hoja1!H31="","",(Hoja1!H31/100)*$H$3)</f>
        <v>0.5</v>
      </c>
      <c r="I31" s="26">
        <f>IF(Hoja1!I31="","",(Hoja1!I31/100)*$I$3)</f>
        <v>0.5</v>
      </c>
      <c r="J31" s="25">
        <f>IF(Hoja1!J31="","",(Hoja1!J31/100)*$J$3)</f>
        <v>1</v>
      </c>
      <c r="K31" s="8">
        <f>IF(Hoja1!K31="","",(Hoja1!K31/100)*$K$3)</f>
        <v>1</v>
      </c>
      <c r="L31" s="8">
        <f>IF(Hoja1!L31="","",(Hoja1!L31/100)*$L$3)</f>
        <v>1</v>
      </c>
      <c r="M31" s="8">
        <f>IF(Hoja1!M31="","",(Hoja1!M31/100)*$M$3)</f>
        <v>1.5</v>
      </c>
      <c r="N31" s="8">
        <f>IF(Hoja1!N31="","",(Hoja1!N31/100)*$N$3)</f>
        <v>2</v>
      </c>
      <c r="O31" s="8">
        <f>IF(Hoja1!O31="","",(Hoja1!O31/100)*$O$3)</f>
        <v>0</v>
      </c>
      <c r="P31" s="8">
        <f>IF(Hoja1!P31="","",(Hoja1!P31/100)*$P$3)</f>
        <v>2</v>
      </c>
      <c r="Q31" s="8">
        <f>IF(Hoja1!Q31="","",(Hoja1!Q31/100)*$Q$3)</f>
        <v>0.8</v>
      </c>
      <c r="R31" s="8">
        <f>IF(Hoja1!R31="","",(Hoja1!R31/100)*$R$3)</f>
        <v>1.5</v>
      </c>
      <c r="S31" s="8">
        <f>IF(Hoja1!S31="","",(Hoja1!S31/100)*$S$3)</f>
        <v>5</v>
      </c>
      <c r="T31" s="61">
        <f t="shared" si="0"/>
        <v>18.3</v>
      </c>
      <c r="U31" s="17">
        <f>IF(Hoja1!U31="","",(Hoja1!U31/100)*$U$3)</f>
        <v>1</v>
      </c>
      <c r="W31" t="str">
        <f t="shared" si="1"/>
        <v>APROBADO</v>
      </c>
    </row>
    <row r="32" spans="3:23" x14ac:dyDescent="0.35">
      <c r="C32" s="8">
        <v>28</v>
      </c>
      <c r="D32" s="8">
        <v>202530265</v>
      </c>
      <c r="E32" s="12" t="s">
        <v>30</v>
      </c>
      <c r="F32" s="25">
        <f>IF(Hoja1!F32="","",(Hoja1!F32/100)*$F$3)</f>
        <v>0.5</v>
      </c>
      <c r="G32" s="8">
        <f>IF(Hoja1!G32="","",(Hoja1!G32/100)*$G$3)</f>
        <v>0.5</v>
      </c>
      <c r="H32" s="8">
        <f>IF(Hoja1!H32="","",(Hoja1!H32/100)*$H$3)</f>
        <v>0.5</v>
      </c>
      <c r="I32" s="26">
        <f>IF(Hoja1!I32="","",(Hoja1!I32/100)*$I$3)</f>
        <v>0.5</v>
      </c>
      <c r="J32" s="25">
        <f>IF(Hoja1!J32="","",(Hoja1!J32/100)*$J$3)</f>
        <v>1</v>
      </c>
      <c r="K32" s="8">
        <f>IF(Hoja1!K32="","",(Hoja1!K32/100)*$K$3)</f>
        <v>0.9</v>
      </c>
      <c r="L32" s="8">
        <f>IF(Hoja1!L32="","",(Hoja1!L32/100)*$L$3)</f>
        <v>1</v>
      </c>
      <c r="M32" s="8">
        <f>IF(Hoja1!M32="","",(Hoja1!M32/100)*$M$3)</f>
        <v>1.5</v>
      </c>
      <c r="N32" s="8">
        <f>IF(Hoja1!N32="","",(Hoja1!N32/100)*$N$3)</f>
        <v>1.4</v>
      </c>
      <c r="O32" s="8">
        <f>IF(Hoja1!O32="","",(Hoja1!O32/100)*$O$3)</f>
        <v>2</v>
      </c>
      <c r="P32" s="8">
        <f>IF(Hoja1!P32="","",(Hoja1!P32/100)*$P$3)</f>
        <v>2</v>
      </c>
      <c r="Q32" s="8">
        <f>IF(Hoja1!Q32="","",(Hoja1!Q32/100)*$Q$3)</f>
        <v>0.9</v>
      </c>
      <c r="R32" s="8">
        <f>IF(Hoja1!R32="","",(Hoja1!R32/100)*$R$3)</f>
        <v>1.5</v>
      </c>
      <c r="S32" s="8">
        <f>IF(Hoja1!S32="","",(Hoja1!S32/100)*$S$3)</f>
        <v>5</v>
      </c>
      <c r="T32" s="61">
        <f t="shared" si="0"/>
        <v>19.200000000000003</v>
      </c>
      <c r="U32" s="17">
        <f>IF(Hoja1!U32="","",(Hoja1!U32/100)*$U$3)</f>
        <v>0</v>
      </c>
      <c r="W32" t="str">
        <f t="shared" si="1"/>
        <v>APROBADO</v>
      </c>
    </row>
    <row r="33" spans="3:23" x14ac:dyDescent="0.35">
      <c r="C33" s="8">
        <v>29</v>
      </c>
      <c r="D33" s="8">
        <v>202530315</v>
      </c>
      <c r="E33" s="12" t="s">
        <v>31</v>
      </c>
      <c r="F33" s="25">
        <f>IF(Hoja1!F33="","",(Hoja1!F33/100)*$F$3)</f>
        <v>0.5</v>
      </c>
      <c r="G33" s="8">
        <f>IF(Hoja1!G33="","",(Hoja1!G33/100)*$G$3)</f>
        <v>0</v>
      </c>
      <c r="H33" s="8">
        <f>IF(Hoja1!H33="","",(Hoja1!H33/100)*$H$3)</f>
        <v>0.5</v>
      </c>
      <c r="I33" s="26">
        <f>IF(Hoja1!I33="","",(Hoja1!I33/100)*$I$3)</f>
        <v>0.5</v>
      </c>
      <c r="J33" s="25">
        <f>IF(Hoja1!J33="","",(Hoja1!J33/100)*$J$3)</f>
        <v>1</v>
      </c>
      <c r="K33" s="8">
        <f>IF(Hoja1!K33="","",(Hoja1!K33/100)*$K$3)</f>
        <v>1</v>
      </c>
      <c r="L33" s="8">
        <f>IF(Hoja1!L33="","",(Hoja1!L33/100)*$L$3)</f>
        <v>1</v>
      </c>
      <c r="M33" s="8">
        <f>IF(Hoja1!M33="","",(Hoja1!M33/100)*$M$3)</f>
        <v>1.5</v>
      </c>
      <c r="N33" s="8">
        <f>IF(Hoja1!N33="","",(Hoja1!N33/100)*$N$3)</f>
        <v>1</v>
      </c>
      <c r="O33" s="8">
        <f>IF(Hoja1!O33="","",(Hoja1!O33/100)*$O$3)</f>
        <v>2</v>
      </c>
      <c r="P33" s="8">
        <f>IF(Hoja1!P33="","",(Hoja1!P33/100)*$P$3)</f>
        <v>1</v>
      </c>
      <c r="Q33" s="8">
        <f>IF(Hoja1!Q33="","",(Hoja1!Q33/100)*$Q$3)</f>
        <v>0.8</v>
      </c>
      <c r="R33" s="8">
        <f>IF(Hoja1!R33="","",(Hoja1!R33/100)*$R$3)</f>
        <v>1.5</v>
      </c>
      <c r="S33" s="8">
        <f>IF(Hoja1!S33="","",(Hoja1!S33/100)*$S$3)</f>
        <v>5</v>
      </c>
      <c r="T33" s="61">
        <f t="shared" si="0"/>
        <v>17.3</v>
      </c>
      <c r="U33" s="17">
        <f>IF(Hoja1!U33="","",(Hoja1!U33/100)*$U$3)</f>
        <v>0</v>
      </c>
      <c r="W33" t="str">
        <f t="shared" si="1"/>
        <v>APROBADO</v>
      </c>
    </row>
    <row r="34" spans="3:23" x14ac:dyDescent="0.35">
      <c r="C34" s="8">
        <v>30</v>
      </c>
      <c r="D34" s="8">
        <v>202530329</v>
      </c>
      <c r="E34" s="12" t="s">
        <v>32</v>
      </c>
      <c r="F34" s="25">
        <f>IF(Hoja1!F34="","",(Hoja1!F34/100)*$F$3)</f>
        <v>0.5</v>
      </c>
      <c r="G34" s="8">
        <f>IF(Hoja1!G34="","",(Hoja1!G34/100)*$G$3)</f>
        <v>0</v>
      </c>
      <c r="H34" s="8">
        <f>IF(Hoja1!H34="","",(Hoja1!H34/100)*$H$3)</f>
        <v>0.5</v>
      </c>
      <c r="I34" s="26">
        <f>IF(Hoja1!I34="","",(Hoja1!I34/100)*$I$3)</f>
        <v>0</v>
      </c>
      <c r="J34" s="25">
        <f>IF(Hoja1!J34="","",(Hoja1!J34/100)*$J$3)</f>
        <v>1</v>
      </c>
      <c r="K34" s="8">
        <f>IF(Hoja1!K34="","",(Hoja1!K34/100)*$K$3)</f>
        <v>0.95</v>
      </c>
      <c r="L34" s="8">
        <f>IF(Hoja1!L34="","",(Hoja1!L34/100)*$L$3)</f>
        <v>1</v>
      </c>
      <c r="M34" s="8">
        <f>IF(Hoja1!M34="","",(Hoja1!M34/100)*$M$3)</f>
        <v>1.5</v>
      </c>
      <c r="N34" s="8">
        <f>IF(Hoja1!N34="","",(Hoja1!N34/100)*$N$3)</f>
        <v>1.4</v>
      </c>
      <c r="O34" s="8">
        <f>IF(Hoja1!O34="","",(Hoja1!O34/100)*$O$3)</f>
        <v>1.7</v>
      </c>
      <c r="P34" s="8">
        <f>IF(Hoja1!P34="","",(Hoja1!P34/100)*$P$3)</f>
        <v>1.3</v>
      </c>
      <c r="Q34" s="8">
        <f>IF(Hoja1!Q34="","",(Hoja1!Q34/100)*$Q$3)</f>
        <v>0.8</v>
      </c>
      <c r="R34" s="8">
        <f>IF(Hoja1!R34="","",(Hoja1!R34/100)*$R$3)</f>
        <v>1.5</v>
      </c>
      <c r="S34" s="8">
        <f>IF(Hoja1!S34="","",(Hoja1!S34/100)*$S$3)</f>
        <v>5</v>
      </c>
      <c r="T34" s="61">
        <f t="shared" si="0"/>
        <v>17.149999999999999</v>
      </c>
      <c r="U34" s="17">
        <f>IF(Hoja1!U34="","",(Hoja1!U34/100)*$U$3)</f>
        <v>0</v>
      </c>
      <c r="W34" t="str">
        <f t="shared" si="1"/>
        <v>APROBADO</v>
      </c>
    </row>
    <row r="35" spans="3:23" x14ac:dyDescent="0.35">
      <c r="C35" s="8">
        <v>31</v>
      </c>
      <c r="D35" s="8">
        <v>202530349</v>
      </c>
      <c r="E35" s="12" t="s">
        <v>33</v>
      </c>
      <c r="F35" s="25">
        <f>IF(Hoja1!F35="","",(Hoja1!F35/100)*$F$3)</f>
        <v>0</v>
      </c>
      <c r="G35" s="8">
        <f>IF(Hoja1!G35="","",(Hoja1!G35/100)*$G$3)</f>
        <v>0</v>
      </c>
      <c r="H35" s="8">
        <f>IF(Hoja1!H35="","",(Hoja1!H35/100)*$H$3)</f>
        <v>0.5</v>
      </c>
      <c r="I35" s="26">
        <f>IF(Hoja1!I35="","",(Hoja1!I35/100)*$I$3)</f>
        <v>0.5</v>
      </c>
      <c r="J35" s="25">
        <f>IF(Hoja1!J35="","",(Hoja1!J35/100)*$J$3)</f>
        <v>1</v>
      </c>
      <c r="K35" s="8">
        <f>IF(Hoja1!K35="","",(Hoja1!K35/100)*$K$3)</f>
        <v>0.75</v>
      </c>
      <c r="L35" s="8">
        <f>IF(Hoja1!L35="","",(Hoja1!L35/100)*$L$3)</f>
        <v>1</v>
      </c>
      <c r="M35" s="8">
        <f>IF(Hoja1!M35="","",(Hoja1!M35/100)*$M$3)</f>
        <v>1.5</v>
      </c>
      <c r="N35" s="8">
        <f>IF(Hoja1!N35="","",(Hoja1!N35/100)*$N$3)</f>
        <v>1.6</v>
      </c>
      <c r="O35" s="8">
        <f>IF(Hoja1!O35="","",(Hoja1!O35/100)*$O$3)</f>
        <v>1.8</v>
      </c>
      <c r="P35" s="8">
        <f>IF(Hoja1!P35="","",(Hoja1!P35/100)*$P$3)</f>
        <v>1.2</v>
      </c>
      <c r="Q35" s="8">
        <f>IF(Hoja1!Q35="","",(Hoja1!Q35/100)*$Q$3)</f>
        <v>1</v>
      </c>
      <c r="R35" s="8">
        <f>IF(Hoja1!R35="","",(Hoja1!R35/100)*$R$3)</f>
        <v>1.5</v>
      </c>
      <c r="S35" s="8">
        <f>IF(Hoja1!S35="","",(Hoja1!S35/100)*$S$3)</f>
        <v>5</v>
      </c>
      <c r="T35" s="61">
        <f t="shared" si="0"/>
        <v>17.350000000000001</v>
      </c>
      <c r="U35" s="17">
        <f>IF(Hoja1!U35="","",(Hoja1!U35/100)*$U$3)</f>
        <v>0</v>
      </c>
      <c r="W35" t="str">
        <f t="shared" si="1"/>
        <v>APROBADO</v>
      </c>
    </row>
    <row r="36" spans="3:23" x14ac:dyDescent="0.35">
      <c r="C36" s="8">
        <v>32</v>
      </c>
      <c r="D36" s="8">
        <v>202530357</v>
      </c>
      <c r="E36" s="12" t="s">
        <v>34</v>
      </c>
      <c r="F36" s="25">
        <f>IF(Hoja1!F36="","",(Hoja1!F36/100)*$F$3)</f>
        <v>0.5</v>
      </c>
      <c r="G36" s="8">
        <f>IF(Hoja1!G36="","",(Hoja1!G36/100)*$G$3)</f>
        <v>0</v>
      </c>
      <c r="H36" s="8">
        <f>IF(Hoja1!H36="","",(Hoja1!H36/100)*$H$3)</f>
        <v>0.5</v>
      </c>
      <c r="I36" s="26">
        <f>IF(Hoja1!I36="","",(Hoja1!I36/100)*$I$3)</f>
        <v>0.5</v>
      </c>
      <c r="J36" s="25">
        <f>IF(Hoja1!J36="","",(Hoja1!J36/100)*$J$3)</f>
        <v>1</v>
      </c>
      <c r="K36" s="8">
        <f>IF(Hoja1!K36="","",(Hoja1!K36/100)*$K$3)</f>
        <v>1</v>
      </c>
      <c r="L36" s="8">
        <f>IF(Hoja1!L36="","",(Hoja1!L36/100)*$L$3)</f>
        <v>1</v>
      </c>
      <c r="M36" s="8">
        <f>IF(Hoja1!M36="","",(Hoja1!M36/100)*$M$3)</f>
        <v>1.5</v>
      </c>
      <c r="N36" s="8">
        <f>IF(Hoja1!N36="","",(Hoja1!N36/100)*$N$3)</f>
        <v>1.6</v>
      </c>
      <c r="O36" s="8">
        <f>IF(Hoja1!O36="","",(Hoja1!O36/100)*$O$3)</f>
        <v>1.3</v>
      </c>
      <c r="P36" s="8">
        <f>IF(Hoja1!P36="","",(Hoja1!P36/100)*$P$3)</f>
        <v>1.6</v>
      </c>
      <c r="Q36" s="8">
        <f>IF(Hoja1!Q36="","",(Hoja1!Q36/100)*$Q$3)</f>
        <v>1</v>
      </c>
      <c r="R36" s="8">
        <f>IF(Hoja1!R36="","",(Hoja1!R36/100)*$R$3)</f>
        <v>1.5</v>
      </c>
      <c r="S36" s="8">
        <f>IF(Hoja1!S36="","",(Hoja1!S36/100)*$S$3)</f>
        <v>5</v>
      </c>
      <c r="T36" s="61">
        <f t="shared" si="0"/>
        <v>18</v>
      </c>
      <c r="U36" s="17">
        <f>IF(Hoja1!U36="","",(Hoja1!U36/100)*$U$3)</f>
        <v>0</v>
      </c>
      <c r="W36" t="str">
        <f t="shared" si="1"/>
        <v>APROBADO</v>
      </c>
    </row>
    <row r="37" spans="3:23" x14ac:dyDescent="0.35">
      <c r="C37" s="8">
        <v>33</v>
      </c>
      <c r="D37" s="8">
        <v>202530381</v>
      </c>
      <c r="E37" s="12" t="s">
        <v>35</v>
      </c>
      <c r="F37" s="25">
        <f>IF(Hoja1!F37="","",(Hoja1!F37/100)*$F$3)</f>
        <v>0.5</v>
      </c>
      <c r="G37" s="8">
        <f>IF(Hoja1!G37="","",(Hoja1!G37/100)*$G$3)</f>
        <v>0.5</v>
      </c>
      <c r="H37" s="8">
        <f>IF(Hoja1!H37="","",(Hoja1!H37/100)*$H$3)</f>
        <v>0.5</v>
      </c>
      <c r="I37" s="26">
        <f>IF(Hoja1!I37="","",(Hoja1!I37/100)*$I$3)</f>
        <v>0.5</v>
      </c>
      <c r="J37" s="25">
        <f>IF(Hoja1!J37="","",(Hoja1!J37/100)*$J$3)</f>
        <v>1</v>
      </c>
      <c r="K37" s="8">
        <f>IF(Hoja1!K37="","",(Hoja1!K37/100)*$K$3)</f>
        <v>1</v>
      </c>
      <c r="L37" s="8">
        <f>IF(Hoja1!L37="","",(Hoja1!L37/100)*$L$3)</f>
        <v>1</v>
      </c>
      <c r="M37" s="8">
        <f>IF(Hoja1!M37="","",(Hoja1!M37/100)*$M$3)</f>
        <v>1.5</v>
      </c>
      <c r="N37" s="8">
        <f>IF(Hoja1!N37="","",(Hoja1!N37/100)*$N$3)</f>
        <v>1</v>
      </c>
      <c r="O37" s="8">
        <f>IF(Hoja1!O37="","",(Hoja1!O37/100)*$O$3)</f>
        <v>1.8</v>
      </c>
      <c r="P37" s="8">
        <f>IF(Hoja1!P37="","",(Hoja1!P37/100)*$P$3)</f>
        <v>0.9</v>
      </c>
      <c r="Q37" s="8">
        <f>IF(Hoja1!Q37="","",(Hoja1!Q37/100)*$Q$3)</f>
        <v>0.8</v>
      </c>
      <c r="R37" s="8">
        <f>IF(Hoja1!R37="","",(Hoja1!R37/100)*$R$3)</f>
        <v>1.5</v>
      </c>
      <c r="S37" s="8">
        <f>IF(Hoja1!S37="","",(Hoja1!S37/100)*$S$3)</f>
        <v>5</v>
      </c>
      <c r="T37" s="61">
        <f t="shared" si="0"/>
        <v>18.5</v>
      </c>
      <c r="U37" s="17">
        <f>IF(Hoja1!U37="","",(Hoja1!U37/100)*$U$3)</f>
        <v>1</v>
      </c>
      <c r="W37" t="str">
        <f t="shared" si="1"/>
        <v>APROBADO</v>
      </c>
    </row>
    <row r="38" spans="3:23" x14ac:dyDescent="0.35">
      <c r="C38" s="8">
        <v>34</v>
      </c>
      <c r="D38" s="8">
        <v>202530434</v>
      </c>
      <c r="E38" s="12" t="s">
        <v>36</v>
      </c>
      <c r="F38" s="25">
        <f>IF(Hoja1!F38="","",(Hoja1!F38/100)*$F$3)</f>
        <v>0.5</v>
      </c>
      <c r="G38" s="8">
        <f>IF(Hoja1!G38="","",(Hoja1!G38/100)*$G$3)</f>
        <v>0</v>
      </c>
      <c r="H38" s="8">
        <f>IF(Hoja1!H38="","",(Hoja1!H38/100)*$H$3)</f>
        <v>0.5</v>
      </c>
      <c r="I38" s="26">
        <f>IF(Hoja1!I38="","",(Hoja1!I38/100)*$I$3)</f>
        <v>0.45</v>
      </c>
      <c r="J38" s="25">
        <f>IF(Hoja1!J38="","",(Hoja1!J38/100)*$J$3)</f>
        <v>0.75</v>
      </c>
      <c r="K38" s="8">
        <f>IF(Hoja1!K38="","",(Hoja1!K38/100)*$K$3)</f>
        <v>0.55000000000000004</v>
      </c>
      <c r="L38" s="8">
        <f>IF(Hoja1!L38="","",(Hoja1!L38/100)*$L$3)</f>
        <v>1</v>
      </c>
      <c r="M38" s="8">
        <f>IF(Hoja1!M38="","",(Hoja1!M38/100)*$M$3)</f>
        <v>1.5</v>
      </c>
      <c r="N38" s="8">
        <f>IF(Hoja1!N38="","",(Hoja1!N38/100)*$N$3)</f>
        <v>1.8</v>
      </c>
      <c r="O38" s="8">
        <f>IF(Hoja1!O38="","",(Hoja1!O38/100)*$O$3)</f>
        <v>1.5</v>
      </c>
      <c r="P38" s="8">
        <f>IF(Hoja1!P38="","",(Hoja1!P38/100)*$P$3)</f>
        <v>2</v>
      </c>
      <c r="Q38" s="8">
        <f>IF(Hoja1!Q38="","",(Hoja1!Q38/100)*$Q$3)</f>
        <v>0.95</v>
      </c>
      <c r="R38" s="8">
        <f>IF(Hoja1!R38="","",(Hoja1!R38/100)*$R$3)</f>
        <v>1.5</v>
      </c>
      <c r="S38" s="8">
        <f>IF(Hoja1!S38="","",(Hoja1!S38/100)*$S$3)</f>
        <v>5</v>
      </c>
      <c r="T38" s="61">
        <f t="shared" si="0"/>
        <v>18</v>
      </c>
      <c r="U38" s="17">
        <f>IF(Hoja1!U38="","",(Hoja1!U38/100)*$U$3)</f>
        <v>0</v>
      </c>
      <c r="W38" t="str">
        <f t="shared" si="1"/>
        <v>APROBADO</v>
      </c>
    </row>
    <row r="39" spans="3:23" x14ac:dyDescent="0.35">
      <c r="C39" s="8">
        <v>35</v>
      </c>
      <c r="D39" s="8">
        <v>202530446</v>
      </c>
      <c r="E39" s="12" t="s">
        <v>37</v>
      </c>
      <c r="F39" s="25">
        <f>IF(Hoja1!F39="","",(Hoja1!F39/100)*$F$3)</f>
        <v>0.5</v>
      </c>
      <c r="G39" s="8">
        <f>IF(Hoja1!G39="","",(Hoja1!G39/100)*$G$3)</f>
        <v>0</v>
      </c>
      <c r="H39" s="8">
        <f>IF(Hoja1!H39="","",(Hoja1!H39/100)*$H$3)</f>
        <v>0.5</v>
      </c>
      <c r="I39" s="26">
        <f>IF(Hoja1!I39="","",(Hoja1!I39/100)*$I$3)</f>
        <v>0</v>
      </c>
      <c r="J39" s="25">
        <f>IF(Hoja1!J39="","",(Hoja1!J39/100)*$J$3)</f>
        <v>1</v>
      </c>
      <c r="K39" s="8">
        <f>IF(Hoja1!K39="","",(Hoja1!K39/100)*$K$3)</f>
        <v>1</v>
      </c>
      <c r="L39" s="8">
        <f>IF(Hoja1!L39="","",(Hoja1!L39/100)*$L$3)</f>
        <v>1</v>
      </c>
      <c r="M39" s="8">
        <f>IF(Hoja1!M39="","",(Hoja1!M39/100)*$M$3)</f>
        <v>1.5</v>
      </c>
      <c r="N39" s="8">
        <f>IF(Hoja1!N39="","",(Hoja1!N39/100)*$N$3)</f>
        <v>1</v>
      </c>
      <c r="O39" s="8">
        <f>IF(Hoja1!O39="","",(Hoja1!O39/100)*$O$3)</f>
        <v>1.7</v>
      </c>
      <c r="P39" s="8">
        <f>IF(Hoja1!P39="","",(Hoja1!P39/100)*$P$3)</f>
        <v>1.6</v>
      </c>
      <c r="Q39" s="8">
        <f>IF(Hoja1!Q39="","",(Hoja1!Q39/100)*$Q$3)</f>
        <v>1</v>
      </c>
      <c r="R39" s="8">
        <f>IF(Hoja1!R39="","",(Hoja1!R39/100)*$R$3)</f>
        <v>1.5</v>
      </c>
      <c r="S39" s="8">
        <f>IF(Hoja1!S39="","",(Hoja1!S39/100)*$S$3)</f>
        <v>5</v>
      </c>
      <c r="T39" s="61">
        <f t="shared" si="0"/>
        <v>17.299999999999997</v>
      </c>
      <c r="U39" s="17">
        <f>IF(Hoja1!U39="","",(Hoja1!U39/100)*$U$3)</f>
        <v>0</v>
      </c>
      <c r="W39" t="str">
        <f t="shared" si="1"/>
        <v>APROBADO</v>
      </c>
    </row>
    <row r="40" spans="3:23" x14ac:dyDescent="0.35">
      <c r="C40" s="8">
        <v>36</v>
      </c>
      <c r="D40" s="8">
        <v>202530522</v>
      </c>
      <c r="E40" s="12" t="s">
        <v>38</v>
      </c>
      <c r="F40" s="25">
        <f>IF(Hoja1!F40="","",(Hoja1!F40/100)*$F$3)</f>
        <v>0.5</v>
      </c>
      <c r="G40" s="8">
        <f>IF(Hoja1!G40="","",(Hoja1!G40/100)*$G$3)</f>
        <v>0</v>
      </c>
      <c r="H40" s="8">
        <f>IF(Hoja1!H40="","",(Hoja1!H40/100)*$H$3)</f>
        <v>0.5</v>
      </c>
      <c r="I40" s="26">
        <f>IF(Hoja1!I40="","",(Hoja1!I40/100)*$I$3)</f>
        <v>0</v>
      </c>
      <c r="J40" s="25">
        <f>IF(Hoja1!J40="","",(Hoja1!J40/100)*$J$3)</f>
        <v>1</v>
      </c>
      <c r="K40" s="8">
        <f>IF(Hoja1!K40="","",(Hoja1!K40/100)*$K$3)</f>
        <v>1</v>
      </c>
      <c r="L40" s="8">
        <f>IF(Hoja1!L40="","",(Hoja1!L40/100)*$L$3)</f>
        <v>1</v>
      </c>
      <c r="M40" s="8">
        <f>IF(Hoja1!M40="","",(Hoja1!M40/100)*$M$3)</f>
        <v>1.5</v>
      </c>
      <c r="N40" s="8">
        <f>IF(Hoja1!N40="","",(Hoja1!N40/100)*$N$3)</f>
        <v>1</v>
      </c>
      <c r="O40" s="8">
        <f>IF(Hoja1!O40="","",(Hoja1!O40/100)*$O$3)</f>
        <v>1.6</v>
      </c>
      <c r="P40" s="8">
        <f>IF(Hoja1!P40="","",(Hoja1!P40/100)*$P$3)</f>
        <v>1.6</v>
      </c>
      <c r="Q40" s="8">
        <f>IF(Hoja1!Q40="","",(Hoja1!Q40/100)*$Q$3)</f>
        <v>0</v>
      </c>
      <c r="R40" s="8">
        <f>IF(Hoja1!R40="","",(Hoja1!R40/100)*$R$3)</f>
        <v>0</v>
      </c>
      <c r="S40" s="8">
        <f>IF(Hoja1!S40="","",(Hoja1!S40/100)*$S$3)</f>
        <v>0</v>
      </c>
      <c r="T40" s="61">
        <f t="shared" si="0"/>
        <v>9.6999999999999993</v>
      </c>
      <c r="U40" s="17">
        <f>IF(Hoja1!U40="","",(Hoja1!U40/100)*$U$3)</f>
        <v>0</v>
      </c>
      <c r="W40" t="str">
        <f t="shared" si="1"/>
        <v>REPROBADO</v>
      </c>
    </row>
    <row r="41" spans="3:23" x14ac:dyDescent="0.35">
      <c r="C41" s="8">
        <v>37</v>
      </c>
      <c r="D41" s="8">
        <v>202530613</v>
      </c>
      <c r="E41" s="12" t="s">
        <v>39</v>
      </c>
      <c r="F41" s="25">
        <f>IF(Hoja1!F41="","",(Hoja1!F41/100)*$F$3)</f>
        <v>0</v>
      </c>
      <c r="G41" s="8">
        <f>IF(Hoja1!G41="","",(Hoja1!G41/100)*$G$3)</f>
        <v>0.5</v>
      </c>
      <c r="H41" s="8">
        <f>IF(Hoja1!H41="","",(Hoja1!H41/100)*$H$3)</f>
        <v>0</v>
      </c>
      <c r="I41" s="26">
        <f>IF(Hoja1!I41="","",(Hoja1!I41/100)*$I$3)</f>
        <v>0</v>
      </c>
      <c r="J41" s="25">
        <f>IF(Hoja1!J41="","",(Hoja1!J41/100)*$J$3)</f>
        <v>0</v>
      </c>
      <c r="K41" s="8">
        <f>IF(Hoja1!K41="","",(Hoja1!K41/100)*$K$3)</f>
        <v>0</v>
      </c>
      <c r="L41" s="8">
        <f>IF(Hoja1!L41="","",(Hoja1!L41/100)*$L$3)</f>
        <v>0</v>
      </c>
      <c r="M41" s="8">
        <f>IF(Hoja1!M41="","",(Hoja1!M41/100)*$M$3)</f>
        <v>0</v>
      </c>
      <c r="N41" s="8">
        <f>IF(Hoja1!N41="","",(Hoja1!N41/100)*$N$3)</f>
        <v>0</v>
      </c>
      <c r="O41" s="8">
        <f>IF(Hoja1!O41="","",(Hoja1!O41/100)*$O$3)</f>
        <v>0</v>
      </c>
      <c r="P41" s="8">
        <f>IF(Hoja1!P41="","",(Hoja1!P41/100)*$P$3)</f>
        <v>0</v>
      </c>
      <c r="Q41" s="8">
        <f>IF(Hoja1!Q41="","",(Hoja1!Q41/100)*$Q$3)</f>
        <v>0</v>
      </c>
      <c r="R41" s="8">
        <f>IF(Hoja1!R41="","",(Hoja1!R41/100)*$R$3)</f>
        <v>0</v>
      </c>
      <c r="S41" s="8">
        <f>IF(Hoja1!S41="","",(Hoja1!S41/100)*$S$3)</f>
        <v>0</v>
      </c>
      <c r="T41" s="61">
        <f t="shared" si="0"/>
        <v>0.5</v>
      </c>
      <c r="U41" s="17">
        <f>IF(Hoja1!U41="","",(Hoja1!U41/100)*$U$3)</f>
        <v>0</v>
      </c>
      <c r="W41" t="str">
        <f t="shared" si="1"/>
        <v>REPROBADO</v>
      </c>
    </row>
    <row r="42" spans="3:23" x14ac:dyDescent="0.35">
      <c r="C42" s="8">
        <v>38</v>
      </c>
      <c r="D42" s="8">
        <v>202530621</v>
      </c>
      <c r="E42" s="12" t="s">
        <v>40</v>
      </c>
      <c r="F42" s="25">
        <f>IF(Hoja1!F42="","",(Hoja1!F42/100)*$F$3)</f>
        <v>0.5</v>
      </c>
      <c r="G42" s="8">
        <f>IF(Hoja1!G42="","",(Hoja1!G42/100)*$G$3)</f>
        <v>0</v>
      </c>
      <c r="H42" s="8">
        <f>IF(Hoja1!H42="","",(Hoja1!H42/100)*$H$3)</f>
        <v>0.5</v>
      </c>
      <c r="I42" s="26">
        <f>IF(Hoja1!I42="","",(Hoja1!I42/100)*$I$3)</f>
        <v>0.45</v>
      </c>
      <c r="J42" s="25">
        <f>IF(Hoja1!J42="","",(Hoja1!J42/100)*$J$3)</f>
        <v>0.7</v>
      </c>
      <c r="K42" s="8">
        <f>IF(Hoja1!K42="","",(Hoja1!K42/100)*$K$3)</f>
        <v>1</v>
      </c>
      <c r="L42" s="8">
        <f>IF(Hoja1!L42="","",(Hoja1!L42/100)*$L$3)</f>
        <v>1</v>
      </c>
      <c r="M42" s="8">
        <f>IF(Hoja1!M42="","",(Hoja1!M42/100)*$M$3)</f>
        <v>1.5</v>
      </c>
      <c r="N42" s="8">
        <f>IF(Hoja1!N42="","",(Hoja1!N42/100)*$N$3)</f>
        <v>0</v>
      </c>
      <c r="O42" s="8">
        <f>IF(Hoja1!O42="","",(Hoja1!O42/100)*$O$3)</f>
        <v>1.2</v>
      </c>
      <c r="P42" s="8">
        <f>IF(Hoja1!P42="","",(Hoja1!P42/100)*$P$3)</f>
        <v>1.3</v>
      </c>
      <c r="Q42" s="8">
        <f>IF(Hoja1!Q42="","",(Hoja1!Q42/100)*$Q$3)</f>
        <v>0.8</v>
      </c>
      <c r="R42" s="8">
        <f>IF(Hoja1!R42="","",(Hoja1!R42/100)*$R$3)</f>
        <v>1.5</v>
      </c>
      <c r="S42" s="8">
        <f>IF(Hoja1!S42="","",(Hoja1!S42/100)*$S$3)</f>
        <v>5</v>
      </c>
      <c r="T42" s="61">
        <f t="shared" si="0"/>
        <v>15.450000000000001</v>
      </c>
      <c r="U42" s="17">
        <f>IF(Hoja1!U42="","",(Hoja1!U42/100)*$U$3)</f>
        <v>0</v>
      </c>
      <c r="W42" t="str">
        <f t="shared" si="1"/>
        <v>APROBADO</v>
      </c>
    </row>
    <row r="43" spans="3:23" x14ac:dyDescent="0.35">
      <c r="C43" s="8">
        <v>39</v>
      </c>
      <c r="D43" s="8">
        <v>202530673</v>
      </c>
      <c r="E43" s="12" t="s">
        <v>41</v>
      </c>
      <c r="F43" s="25">
        <f>IF(Hoja1!F43="","",(Hoja1!F43/100)*$F$3)</f>
        <v>0</v>
      </c>
      <c r="G43" s="8">
        <f>IF(Hoja1!G43="","",(Hoja1!G43/100)*$G$3)</f>
        <v>0</v>
      </c>
      <c r="H43" s="8">
        <f>IF(Hoja1!H43="","",(Hoja1!H43/100)*$H$3)</f>
        <v>0</v>
      </c>
      <c r="I43" s="26">
        <f>IF(Hoja1!I43="","",(Hoja1!I43/100)*$I$3)</f>
        <v>0.5</v>
      </c>
      <c r="J43" s="25">
        <f>IF(Hoja1!J43="","",(Hoja1!J43/100)*$J$3)</f>
        <v>0</v>
      </c>
      <c r="K43" s="8">
        <f>IF(Hoja1!K43="","",(Hoja1!K43/100)*$K$3)</f>
        <v>0</v>
      </c>
      <c r="L43" s="8">
        <f>IF(Hoja1!L43="","",(Hoja1!L43/100)*$L$3)</f>
        <v>1</v>
      </c>
      <c r="M43" s="8">
        <f>IF(Hoja1!M43="","",(Hoja1!M43/100)*$M$3)</f>
        <v>1.5</v>
      </c>
      <c r="N43" s="8">
        <f>IF(Hoja1!N43="","",(Hoja1!N43/100)*$N$3)</f>
        <v>1.4</v>
      </c>
      <c r="O43" s="8">
        <f>IF(Hoja1!O43="","",(Hoja1!O43/100)*$O$3)</f>
        <v>1.9</v>
      </c>
      <c r="P43" s="8">
        <f>IF(Hoja1!P43="","",(Hoja1!P43/100)*$P$3)</f>
        <v>0</v>
      </c>
      <c r="Q43" s="8">
        <f>IF(Hoja1!Q43="","",(Hoja1!Q43/100)*$Q$3)</f>
        <v>0</v>
      </c>
      <c r="R43" s="8">
        <f>IF(Hoja1!R43="","",(Hoja1!R43/100)*$R$3)</f>
        <v>0</v>
      </c>
      <c r="S43" s="8">
        <f>IF(Hoja1!S43="","",(Hoja1!S43/100)*$S$3)</f>
        <v>5</v>
      </c>
      <c r="T43" s="61">
        <f t="shared" si="0"/>
        <v>11.3</v>
      </c>
      <c r="U43" s="17">
        <f>IF(Hoja1!U43="","",(Hoja1!U43/100)*$U$3)</f>
        <v>0</v>
      </c>
      <c r="W43" t="str">
        <f t="shared" si="1"/>
        <v>REPROBADO</v>
      </c>
    </row>
    <row r="44" spans="3:23" x14ac:dyDescent="0.35">
      <c r="C44" s="8">
        <v>40</v>
      </c>
      <c r="D44" s="8">
        <v>202530674</v>
      </c>
      <c r="E44" s="12" t="s">
        <v>42</v>
      </c>
      <c r="F44" s="25">
        <f>IF(Hoja1!F44="","",(Hoja1!F44/100)*$F$3)</f>
        <v>0</v>
      </c>
      <c r="G44" s="8">
        <f>IF(Hoja1!G44="","",(Hoja1!G44/100)*$G$3)</f>
        <v>0</v>
      </c>
      <c r="H44" s="8">
        <f>IF(Hoja1!H44="","",(Hoja1!H44/100)*$H$3)</f>
        <v>0.25</v>
      </c>
      <c r="I44" s="26">
        <f>IF(Hoja1!I44="","",(Hoja1!I44/100)*$I$3)</f>
        <v>0</v>
      </c>
      <c r="J44" s="25">
        <f>IF(Hoja1!J44="","",(Hoja1!J44/100)*$J$3)</f>
        <v>1</v>
      </c>
      <c r="K44" s="8">
        <f>IF(Hoja1!K44="","",(Hoja1!K44/100)*$K$3)</f>
        <v>1</v>
      </c>
      <c r="L44" s="8">
        <f>IF(Hoja1!L44="","",(Hoja1!L44/100)*$L$3)</f>
        <v>0.9</v>
      </c>
      <c r="M44" s="8">
        <f>IF(Hoja1!M44="","",(Hoja1!M44/100)*$M$3)</f>
        <v>1.5</v>
      </c>
      <c r="N44" s="8">
        <f>IF(Hoja1!N44="","",(Hoja1!N44/100)*$N$3)</f>
        <v>1</v>
      </c>
      <c r="O44" s="8">
        <f>IF(Hoja1!O44="","",(Hoja1!O44/100)*$O$3)</f>
        <v>1.7</v>
      </c>
      <c r="P44" s="8">
        <f>IF(Hoja1!P44="","",(Hoja1!P44/100)*$P$3)</f>
        <v>1.4</v>
      </c>
      <c r="Q44" s="8">
        <f>IF(Hoja1!Q44="","",(Hoja1!Q44/100)*$Q$3)</f>
        <v>0</v>
      </c>
      <c r="R44" s="8">
        <f>IF(Hoja1!R44="","",(Hoja1!R44/100)*$R$3)</f>
        <v>0</v>
      </c>
      <c r="S44" s="8">
        <f>IF(Hoja1!S44="","",(Hoja1!S44/100)*$S$3)</f>
        <v>0</v>
      </c>
      <c r="T44" s="61">
        <f t="shared" si="0"/>
        <v>8.75</v>
      </c>
      <c r="U44" s="17">
        <f>IF(Hoja1!U44="","",(Hoja1!U44/100)*$U$3)</f>
        <v>0</v>
      </c>
      <c r="W44" t="str">
        <f t="shared" si="1"/>
        <v>REPROBADO</v>
      </c>
    </row>
    <row r="45" spans="3:23" x14ac:dyDescent="0.35">
      <c r="C45" s="8">
        <v>41</v>
      </c>
      <c r="D45" s="8">
        <v>202530677</v>
      </c>
      <c r="E45" s="12" t="s">
        <v>43</v>
      </c>
      <c r="F45" s="25">
        <f>IF(Hoja1!F45="","",(Hoja1!F45/100)*$F$3)</f>
        <v>0.5</v>
      </c>
      <c r="G45" s="8">
        <f>IF(Hoja1!G45="","",(Hoja1!G45/100)*$G$3)</f>
        <v>0</v>
      </c>
      <c r="H45" s="8">
        <f>IF(Hoja1!H45="","",(Hoja1!H45/100)*$H$3)</f>
        <v>0.5</v>
      </c>
      <c r="I45" s="26">
        <f>IF(Hoja1!I45="","",(Hoja1!I45/100)*$I$3)</f>
        <v>0</v>
      </c>
      <c r="J45" s="25">
        <f>IF(Hoja1!J45="","",(Hoja1!J45/100)*$J$3)</f>
        <v>1</v>
      </c>
      <c r="K45" s="8">
        <f>IF(Hoja1!K45="","",(Hoja1!K45/100)*$K$3)</f>
        <v>0</v>
      </c>
      <c r="L45" s="8">
        <f>IF(Hoja1!L45="","",(Hoja1!L45/100)*$L$3)</f>
        <v>1</v>
      </c>
      <c r="M45" s="8">
        <f>IF(Hoja1!M45="","",(Hoja1!M45/100)*$M$3)</f>
        <v>0</v>
      </c>
      <c r="N45" s="8">
        <f>IF(Hoja1!N45="","",(Hoja1!N45/100)*$N$3)</f>
        <v>0</v>
      </c>
      <c r="O45" s="8">
        <f>IF(Hoja1!O45="","",(Hoja1!O45/100)*$O$3)</f>
        <v>0</v>
      </c>
      <c r="P45" s="8">
        <f>IF(Hoja1!P45="","",(Hoja1!P45/100)*$P$3)</f>
        <v>0</v>
      </c>
      <c r="Q45" s="8">
        <f>IF(Hoja1!Q45="","",(Hoja1!Q45/100)*$Q$3)</f>
        <v>0</v>
      </c>
      <c r="R45" s="8">
        <f>IF(Hoja1!R45="","",(Hoja1!R45/100)*$R$3)</f>
        <v>0</v>
      </c>
      <c r="S45" s="8">
        <f>IF(Hoja1!S45="","",(Hoja1!S45/100)*$S$3)</f>
        <v>0</v>
      </c>
      <c r="T45" s="61">
        <f t="shared" si="0"/>
        <v>3</v>
      </c>
      <c r="U45" s="17">
        <f>IF(Hoja1!U45="","",(Hoja1!U45/100)*$U$3)</f>
        <v>0</v>
      </c>
      <c r="W45" t="str">
        <f t="shared" si="1"/>
        <v>REPROBADO</v>
      </c>
    </row>
    <row r="46" spans="3:23" x14ac:dyDescent="0.35">
      <c r="C46" s="8">
        <v>42</v>
      </c>
      <c r="D46" s="8">
        <v>202530728</v>
      </c>
      <c r="E46" s="12" t="s">
        <v>44</v>
      </c>
      <c r="F46" s="25">
        <f>IF(Hoja1!F46="","",(Hoja1!F46/100)*$F$3)</f>
        <v>0.5</v>
      </c>
      <c r="G46" s="8">
        <f>IF(Hoja1!G46="","",(Hoja1!G46/100)*$G$3)</f>
        <v>0</v>
      </c>
      <c r="H46" s="8">
        <f>IF(Hoja1!H46="","",(Hoja1!H46/100)*$H$3)</f>
        <v>0.5</v>
      </c>
      <c r="I46" s="26">
        <f>IF(Hoja1!I46="","",(Hoja1!I46/100)*$I$3)</f>
        <v>0</v>
      </c>
      <c r="J46" s="25">
        <f>IF(Hoja1!J46="","",(Hoja1!J46/100)*$J$3)</f>
        <v>0</v>
      </c>
      <c r="K46" s="8">
        <f>IF(Hoja1!K46="","",(Hoja1!K46/100)*$K$3)</f>
        <v>0</v>
      </c>
      <c r="L46" s="8">
        <f>IF(Hoja1!L46="","",(Hoja1!L46/100)*$L$3)</f>
        <v>0</v>
      </c>
      <c r="M46" s="8">
        <f>IF(Hoja1!M46="","",(Hoja1!M46/100)*$M$3)</f>
        <v>1.5</v>
      </c>
      <c r="N46" s="8">
        <f>IF(Hoja1!N46="","",(Hoja1!N46/100)*$N$3)</f>
        <v>1.4</v>
      </c>
      <c r="O46" s="8">
        <f>IF(Hoja1!O46="","",(Hoja1!O46/100)*$O$3)</f>
        <v>1.7</v>
      </c>
      <c r="P46" s="8">
        <f>IF(Hoja1!P46="","",(Hoja1!P46/100)*$P$3)</f>
        <v>1</v>
      </c>
      <c r="Q46" s="8">
        <f>IF(Hoja1!Q46="","",(Hoja1!Q46/100)*$Q$3)</f>
        <v>0.8</v>
      </c>
      <c r="R46" s="8">
        <f>IF(Hoja1!R46="","",(Hoja1!R46/100)*$R$3)</f>
        <v>1.5</v>
      </c>
      <c r="S46" s="8">
        <f>IF(Hoja1!S46="","",(Hoja1!S46/100)*$S$3)</f>
        <v>5</v>
      </c>
      <c r="T46" s="61">
        <f t="shared" si="0"/>
        <v>13.899999999999999</v>
      </c>
      <c r="U46" s="17">
        <f>IF(Hoja1!U46="","",(Hoja1!U46/100)*$U$3)</f>
        <v>0</v>
      </c>
      <c r="W46" t="str">
        <f t="shared" si="1"/>
        <v>APROBADO</v>
      </c>
    </row>
    <row r="47" spans="3:23" x14ac:dyDescent="0.35">
      <c r="C47" s="8">
        <v>43</v>
      </c>
      <c r="D47" s="8">
        <v>202530843</v>
      </c>
      <c r="E47" s="12" t="s">
        <v>45</v>
      </c>
      <c r="F47" s="25">
        <f>IF(Hoja1!F47="","",(Hoja1!F47/100)*$F$3)</f>
        <v>0</v>
      </c>
      <c r="G47" s="8">
        <f>IF(Hoja1!G47="","",(Hoja1!G47/100)*$G$3)</f>
        <v>0</v>
      </c>
      <c r="H47" s="8">
        <f>IF(Hoja1!H47="","",(Hoja1!H47/100)*$H$3)</f>
        <v>0</v>
      </c>
      <c r="I47" s="26">
        <f>IF(Hoja1!I47="","",(Hoja1!I47/100)*$I$3)</f>
        <v>0</v>
      </c>
      <c r="J47" s="25">
        <f>IF(Hoja1!J47="","",(Hoja1!J47/100)*$J$3)</f>
        <v>0</v>
      </c>
      <c r="K47" s="8">
        <f>IF(Hoja1!K47="","",(Hoja1!K47/100)*$K$3)</f>
        <v>0</v>
      </c>
      <c r="L47" s="8">
        <f>IF(Hoja1!L47="","",(Hoja1!L47/100)*$L$3)</f>
        <v>0</v>
      </c>
      <c r="M47" s="8">
        <f>IF(Hoja1!M47="","",(Hoja1!M47/100)*$M$3)</f>
        <v>1.5</v>
      </c>
      <c r="N47" s="8">
        <f>IF(Hoja1!N47="","",(Hoja1!N47/100)*$N$3)</f>
        <v>1.4</v>
      </c>
      <c r="O47" s="8">
        <f>IF(Hoja1!O47="","",(Hoja1!O47/100)*$O$3)</f>
        <v>1.7</v>
      </c>
      <c r="P47" s="8">
        <f>IF(Hoja1!P47="","",(Hoja1!P47/100)*$P$3)</f>
        <v>1.7</v>
      </c>
      <c r="Q47" s="8">
        <f>IF(Hoja1!Q47="","",(Hoja1!Q47/100)*$Q$3)</f>
        <v>0.8</v>
      </c>
      <c r="R47" s="8">
        <f>IF(Hoja1!R47="","",(Hoja1!R47/100)*$R$3)</f>
        <v>1.5</v>
      </c>
      <c r="S47" s="8">
        <f>IF(Hoja1!S47="","",(Hoja1!S47/100)*$S$3)</f>
        <v>5</v>
      </c>
      <c r="T47" s="61">
        <f t="shared" si="0"/>
        <v>13.6</v>
      </c>
      <c r="U47" s="17">
        <f>IF(Hoja1!U47="","",(Hoja1!U47/100)*$U$3)</f>
        <v>0</v>
      </c>
      <c r="W47" t="str">
        <f t="shared" si="1"/>
        <v>APROBADO</v>
      </c>
    </row>
    <row r="48" spans="3:23" x14ac:dyDescent="0.35">
      <c r="C48" s="8">
        <v>44</v>
      </c>
      <c r="D48" s="8">
        <v>202530866</v>
      </c>
      <c r="E48" s="12" t="s">
        <v>46</v>
      </c>
      <c r="F48" s="25">
        <f>IF(Hoja1!F48="","",(Hoja1!F48/100)*$F$3)</f>
        <v>0.5</v>
      </c>
      <c r="G48" s="8">
        <f>IF(Hoja1!G48="","",(Hoja1!G48/100)*$G$3)</f>
        <v>0</v>
      </c>
      <c r="H48" s="8">
        <f>IF(Hoja1!H48="","",(Hoja1!H48/100)*$H$3)</f>
        <v>0.5</v>
      </c>
      <c r="I48" s="26">
        <f>IF(Hoja1!I48="","",(Hoja1!I48/100)*$I$3)</f>
        <v>0.45</v>
      </c>
      <c r="J48" s="25">
        <f>IF(Hoja1!J48="","",(Hoja1!J48/100)*$J$3)</f>
        <v>1</v>
      </c>
      <c r="K48" s="8">
        <f>IF(Hoja1!K48="","",(Hoja1!K48/100)*$K$3)</f>
        <v>1</v>
      </c>
      <c r="L48" s="8">
        <f>IF(Hoja1!L48="","",(Hoja1!L48/100)*$L$3)</f>
        <v>0.9</v>
      </c>
      <c r="M48" s="8">
        <f>IF(Hoja1!M48="","",(Hoja1!M48/100)*$M$3)</f>
        <v>1.5</v>
      </c>
      <c r="N48" s="8">
        <f>IF(Hoja1!N48="","",(Hoja1!N48/100)*$N$3)</f>
        <v>1</v>
      </c>
      <c r="O48" s="8">
        <f>IF(Hoja1!O48="","",(Hoja1!O48/100)*$O$3)</f>
        <v>1.7</v>
      </c>
      <c r="P48" s="8">
        <f>IF(Hoja1!P48="","",(Hoja1!P48/100)*$P$3)</f>
        <v>1.1000000000000001</v>
      </c>
      <c r="Q48" s="8">
        <f>IF(Hoja1!Q48="","",(Hoja1!Q48/100)*$Q$3)</f>
        <v>1</v>
      </c>
      <c r="R48" s="8">
        <f>IF(Hoja1!R48="","",(Hoja1!R48/100)*$R$3)</f>
        <v>1.5</v>
      </c>
      <c r="S48" s="8">
        <f>IF(Hoja1!S48="","",(Hoja1!S48/100)*$S$3)</f>
        <v>5</v>
      </c>
      <c r="T48" s="61">
        <f t="shared" si="0"/>
        <v>17.149999999999999</v>
      </c>
      <c r="U48" s="17">
        <f>IF(Hoja1!U48="","",(Hoja1!U48/100)*$U$3)</f>
        <v>0</v>
      </c>
      <c r="W48" t="str">
        <f t="shared" si="1"/>
        <v>APROBADO</v>
      </c>
    </row>
    <row r="49" spans="3:23" x14ac:dyDescent="0.35">
      <c r="C49" s="8">
        <v>45</v>
      </c>
      <c r="D49" s="8">
        <v>202530917</v>
      </c>
      <c r="E49" s="12" t="s">
        <v>47</v>
      </c>
      <c r="F49" s="25">
        <f>IF(Hoja1!F49="","",(Hoja1!F49/100)*$F$3)</f>
        <v>0</v>
      </c>
      <c r="G49" s="8">
        <f>IF(Hoja1!G49="","",(Hoja1!G49/100)*$G$3)</f>
        <v>0</v>
      </c>
      <c r="H49" s="8">
        <f>IF(Hoja1!H49="","",(Hoja1!H49/100)*$H$3)</f>
        <v>0.25</v>
      </c>
      <c r="I49" s="26">
        <f>IF(Hoja1!I49="","",(Hoja1!I49/100)*$I$3)</f>
        <v>0.5</v>
      </c>
      <c r="J49" s="25">
        <f>IF(Hoja1!J49="","",(Hoja1!J49/100)*$J$3)</f>
        <v>0.75</v>
      </c>
      <c r="K49" s="8">
        <f>IF(Hoja1!K49="","",(Hoja1!K49/100)*$K$3)</f>
        <v>0</v>
      </c>
      <c r="L49" s="8">
        <f>IF(Hoja1!L49="","",(Hoja1!L49/100)*$L$3)</f>
        <v>1</v>
      </c>
      <c r="M49" s="8">
        <f>IF(Hoja1!M49="","",(Hoja1!M49/100)*$M$3)</f>
        <v>1.5</v>
      </c>
      <c r="N49" s="8">
        <f>IF(Hoja1!N49="","",(Hoja1!N49/100)*$N$3)</f>
        <v>1.8</v>
      </c>
      <c r="O49" s="8">
        <f>IF(Hoja1!O49="","",(Hoja1!O49/100)*$O$3)</f>
        <v>1.9</v>
      </c>
      <c r="P49" s="8">
        <f>IF(Hoja1!P49="","",(Hoja1!P49/100)*$P$3)</f>
        <v>1.3</v>
      </c>
      <c r="Q49" s="8">
        <f>IF(Hoja1!Q49="","",(Hoja1!Q49/100)*$Q$3)</f>
        <v>1</v>
      </c>
      <c r="R49" s="8">
        <f>IF(Hoja1!R49="","",(Hoja1!R49/100)*$R$3)</f>
        <v>1.5</v>
      </c>
      <c r="S49" s="8">
        <f>IF(Hoja1!S49="","",(Hoja1!S49/100)*$S$3)</f>
        <v>5</v>
      </c>
      <c r="T49" s="61">
        <f t="shared" si="0"/>
        <v>16.5</v>
      </c>
      <c r="U49" s="17">
        <f>IF(Hoja1!U49="","",(Hoja1!U49/100)*$U$3)</f>
        <v>0</v>
      </c>
      <c r="W49" t="str">
        <f t="shared" si="1"/>
        <v>APROBADO</v>
      </c>
    </row>
    <row r="50" spans="3:23" x14ac:dyDescent="0.35">
      <c r="C50" s="8">
        <v>46</v>
      </c>
      <c r="D50" s="8">
        <v>202531013</v>
      </c>
      <c r="E50" s="12" t="s">
        <v>48</v>
      </c>
      <c r="F50" s="25">
        <f>IF(Hoja1!F50="","",(Hoja1!F50/100)*$F$3)</f>
        <v>0.5</v>
      </c>
      <c r="G50" s="8">
        <f>IF(Hoja1!G50="","",(Hoja1!G50/100)*$G$3)</f>
        <v>0</v>
      </c>
      <c r="H50" s="8">
        <f>IF(Hoja1!H50="","",(Hoja1!H50/100)*$H$3)</f>
        <v>0.5</v>
      </c>
      <c r="I50" s="26">
        <f>IF(Hoja1!I50="","",(Hoja1!I50/100)*$I$3)</f>
        <v>0.45</v>
      </c>
      <c r="J50" s="25">
        <f>IF(Hoja1!J50="","",(Hoja1!J50/100)*$J$3)</f>
        <v>1</v>
      </c>
      <c r="K50" s="8">
        <f>IF(Hoja1!K50="","",(Hoja1!K50/100)*$K$3)</f>
        <v>0.75</v>
      </c>
      <c r="L50" s="8">
        <f>IF(Hoja1!L50="","",(Hoja1!L50/100)*$L$3)</f>
        <v>1</v>
      </c>
      <c r="M50" s="8">
        <f>IF(Hoja1!M50="","",(Hoja1!M50/100)*$M$3)</f>
        <v>1.5</v>
      </c>
      <c r="N50" s="8">
        <f>IF(Hoja1!N50="","",(Hoja1!N50/100)*$N$3)</f>
        <v>2</v>
      </c>
      <c r="O50" s="8">
        <f>IF(Hoja1!O50="","",(Hoja1!O50/100)*$O$3)</f>
        <v>1.8</v>
      </c>
      <c r="P50" s="8">
        <f>IF(Hoja1!P50="","",(Hoja1!P50/100)*$P$3)</f>
        <v>1.4</v>
      </c>
      <c r="Q50" s="8">
        <f>IF(Hoja1!Q50="","",(Hoja1!Q50/100)*$Q$3)</f>
        <v>1</v>
      </c>
      <c r="R50" s="8">
        <f>IF(Hoja1!R50="","",(Hoja1!R50/100)*$R$3)</f>
        <v>1.5</v>
      </c>
      <c r="S50" s="8">
        <f>IF(Hoja1!S50="","",(Hoja1!S50/100)*$S$3)</f>
        <v>5</v>
      </c>
      <c r="T50" s="61">
        <f t="shared" si="0"/>
        <v>18.399999999999999</v>
      </c>
      <c r="U50" s="17">
        <f>IF(Hoja1!U50="","",(Hoja1!U50/100)*$U$3)</f>
        <v>0</v>
      </c>
      <c r="W50" t="str">
        <f t="shared" si="1"/>
        <v>APROBADO</v>
      </c>
    </row>
    <row r="51" spans="3:23" x14ac:dyDescent="0.35">
      <c r="C51" s="8">
        <v>47</v>
      </c>
      <c r="D51" s="8">
        <v>202531019</v>
      </c>
      <c r="E51" s="12" t="s">
        <v>49</v>
      </c>
      <c r="F51" s="25">
        <f>IF(Hoja1!F51="","",(Hoja1!F51/100)*$F$3)</f>
        <v>0</v>
      </c>
      <c r="G51" s="8">
        <f>IF(Hoja1!G51="","",(Hoja1!G51/100)*$G$3)</f>
        <v>0</v>
      </c>
      <c r="H51" s="8">
        <f>IF(Hoja1!H51="","",(Hoja1!H51/100)*$H$3)</f>
        <v>0.5</v>
      </c>
      <c r="I51" s="26">
        <f>IF(Hoja1!I51="","",(Hoja1!I51/100)*$I$3)</f>
        <v>0.45</v>
      </c>
      <c r="J51" s="25">
        <f>IF(Hoja1!J51="","",(Hoja1!J51/100)*$J$3)</f>
        <v>1</v>
      </c>
      <c r="K51" s="8">
        <f>IF(Hoja1!K51="","",(Hoja1!K51/100)*$K$3)</f>
        <v>0.55000000000000004</v>
      </c>
      <c r="L51" s="8">
        <f>IF(Hoja1!L51="","",(Hoja1!L51/100)*$L$3)</f>
        <v>1</v>
      </c>
      <c r="M51" s="8">
        <f>IF(Hoja1!M51="","",(Hoja1!M51/100)*$M$3)</f>
        <v>1.5</v>
      </c>
      <c r="N51" s="8">
        <f>IF(Hoja1!N51="","",(Hoja1!N51/100)*$N$3)</f>
        <v>1.9</v>
      </c>
      <c r="O51" s="8">
        <f>IF(Hoja1!O51="","",(Hoja1!O51/100)*$O$3)</f>
        <v>0</v>
      </c>
      <c r="P51" s="8">
        <f>IF(Hoja1!P51="","",(Hoja1!P51/100)*$P$3)</f>
        <v>1.1000000000000001</v>
      </c>
      <c r="Q51" s="8">
        <f>IF(Hoja1!Q51="","",(Hoja1!Q51/100)*$Q$3)</f>
        <v>1</v>
      </c>
      <c r="R51" s="8">
        <f>IF(Hoja1!R51="","",(Hoja1!R51/100)*$R$3)</f>
        <v>1.5</v>
      </c>
      <c r="S51" s="8">
        <f>IF(Hoja1!S51="","",(Hoja1!S51/100)*$S$3)</f>
        <v>5</v>
      </c>
      <c r="T51" s="61">
        <f t="shared" si="0"/>
        <v>16.5</v>
      </c>
      <c r="U51" s="17">
        <f>IF(Hoja1!U51="","",(Hoja1!U51/100)*$U$3)</f>
        <v>1</v>
      </c>
      <c r="W51" t="str">
        <f t="shared" si="1"/>
        <v>APROBADO</v>
      </c>
    </row>
    <row r="52" spans="3:23" x14ac:dyDescent="0.35">
      <c r="C52" s="8">
        <v>48</v>
      </c>
      <c r="D52" s="8">
        <v>202531089</v>
      </c>
      <c r="E52" s="12" t="s">
        <v>50</v>
      </c>
      <c r="F52" s="25">
        <f>IF(Hoja1!F52="","",(Hoja1!F52/100)*$F$3)</f>
        <v>0.5</v>
      </c>
      <c r="G52" s="8">
        <f>IF(Hoja1!G52="","",(Hoja1!G52/100)*$G$3)</f>
        <v>0</v>
      </c>
      <c r="H52" s="8">
        <f>IF(Hoja1!H52="","",(Hoja1!H52/100)*$H$3)</f>
        <v>0.5</v>
      </c>
      <c r="I52" s="26">
        <f>IF(Hoja1!I52="","",(Hoja1!I52/100)*$I$3)</f>
        <v>0.45</v>
      </c>
      <c r="J52" s="25">
        <f>IF(Hoja1!J52="","",(Hoja1!J52/100)*$J$3)</f>
        <v>0.7</v>
      </c>
      <c r="K52" s="8">
        <f>IF(Hoja1!K52="","",(Hoja1!K52/100)*$K$3)</f>
        <v>1</v>
      </c>
      <c r="L52" s="8">
        <f>IF(Hoja1!L52="","",(Hoja1!L52/100)*$L$3)</f>
        <v>0.9</v>
      </c>
      <c r="M52" s="8">
        <f>IF(Hoja1!M52="","",(Hoja1!M52/100)*$M$3)</f>
        <v>1.5</v>
      </c>
      <c r="N52" s="8">
        <f>IF(Hoja1!N52="","",(Hoja1!N52/100)*$N$3)</f>
        <v>1</v>
      </c>
      <c r="O52" s="8">
        <f>IF(Hoja1!O52="","",(Hoja1!O52/100)*$O$3)</f>
        <v>1.7</v>
      </c>
      <c r="P52" s="8">
        <f>IF(Hoja1!P52="","",(Hoja1!P52/100)*$P$3)</f>
        <v>1.1000000000000001</v>
      </c>
      <c r="Q52" s="8">
        <f>IF(Hoja1!Q52="","",(Hoja1!Q52/100)*$Q$3)</f>
        <v>1</v>
      </c>
      <c r="R52" s="8">
        <f>IF(Hoja1!R52="","",(Hoja1!R52/100)*$R$3)</f>
        <v>1.5</v>
      </c>
      <c r="S52" s="8">
        <f>IF(Hoja1!S52="","",(Hoja1!S52/100)*$S$3)</f>
        <v>5</v>
      </c>
      <c r="T52" s="61">
        <f t="shared" si="0"/>
        <v>16.850000000000001</v>
      </c>
      <c r="U52" s="17">
        <f>IF(Hoja1!U52="","",(Hoja1!U52/100)*$U$3)</f>
        <v>0</v>
      </c>
      <c r="W52" t="str">
        <f t="shared" si="1"/>
        <v>APROBADO</v>
      </c>
    </row>
    <row r="53" spans="3:23" x14ac:dyDescent="0.35">
      <c r="C53" s="8">
        <v>49</v>
      </c>
      <c r="D53" s="8">
        <v>202531127</v>
      </c>
      <c r="E53" s="12" t="s">
        <v>51</v>
      </c>
      <c r="F53" s="25">
        <f>IF(Hoja1!F53="","",(Hoja1!F53/100)*$F$3)</f>
        <v>0</v>
      </c>
      <c r="G53" s="8">
        <f>IF(Hoja1!G53="","",(Hoja1!G53/100)*$G$3)</f>
        <v>0</v>
      </c>
      <c r="H53" s="8">
        <f>IF(Hoja1!H53="","",(Hoja1!H53/100)*$H$3)</f>
        <v>0.5</v>
      </c>
      <c r="I53" s="26">
        <f>IF(Hoja1!I53="","",(Hoja1!I53/100)*$I$3)</f>
        <v>0</v>
      </c>
      <c r="J53" s="25">
        <f>IF(Hoja1!J53="","",(Hoja1!J53/100)*$J$3)</f>
        <v>0</v>
      </c>
      <c r="K53" s="8">
        <f>IF(Hoja1!K53="","",(Hoja1!K53/100)*$K$3)</f>
        <v>0</v>
      </c>
      <c r="L53" s="8">
        <f>IF(Hoja1!L53="","",(Hoja1!L53/100)*$L$3)</f>
        <v>0</v>
      </c>
      <c r="M53" s="8">
        <f>IF(Hoja1!M53="","",(Hoja1!M53/100)*$M$3)</f>
        <v>1.5</v>
      </c>
      <c r="N53" s="8">
        <f>IF(Hoja1!N53="","",(Hoja1!N53/100)*$N$3)</f>
        <v>1.4</v>
      </c>
      <c r="O53" s="8">
        <f>IF(Hoja1!O53="","",(Hoja1!O53/100)*$O$3)</f>
        <v>1.7</v>
      </c>
      <c r="P53" s="8">
        <f>IF(Hoja1!P53="","",(Hoja1!P53/100)*$P$3)</f>
        <v>1.7</v>
      </c>
      <c r="Q53" s="8">
        <f>IF(Hoja1!Q53="","",(Hoja1!Q53/100)*$Q$3)</f>
        <v>0.8</v>
      </c>
      <c r="R53" s="8">
        <f>IF(Hoja1!R53="","",(Hoja1!R53/100)*$R$3)</f>
        <v>1.5</v>
      </c>
      <c r="S53" s="8">
        <f>IF(Hoja1!S53="","",(Hoja1!S53/100)*$S$3)</f>
        <v>5</v>
      </c>
      <c r="T53" s="61">
        <f t="shared" si="0"/>
        <v>14.1</v>
      </c>
      <c r="U53" s="17">
        <f>IF(Hoja1!U53="","",(Hoja1!U53/100)*$U$3)</f>
        <v>0</v>
      </c>
      <c r="W53" t="str">
        <f t="shared" si="1"/>
        <v>APROBADO</v>
      </c>
    </row>
    <row r="54" spans="3:23" x14ac:dyDescent="0.35">
      <c r="C54" s="8">
        <v>50</v>
      </c>
      <c r="D54" s="8">
        <v>202531213</v>
      </c>
      <c r="E54" s="12" t="s">
        <v>52</v>
      </c>
      <c r="F54" s="25">
        <f>IF(Hoja1!F54="","",(Hoja1!F54/100)*$F$3)</f>
        <v>0.5</v>
      </c>
      <c r="G54" s="8">
        <f>IF(Hoja1!G54="","",(Hoja1!G54/100)*$G$3)</f>
        <v>0.5</v>
      </c>
      <c r="H54" s="8">
        <f>IF(Hoja1!H54="","",(Hoja1!H54/100)*$H$3)</f>
        <v>0.5</v>
      </c>
      <c r="I54" s="26">
        <f>IF(Hoja1!I54="","",(Hoja1!I54/100)*$I$3)</f>
        <v>0.45</v>
      </c>
      <c r="J54" s="25">
        <f>IF(Hoja1!J54="","",(Hoja1!J54/100)*$J$3)</f>
        <v>1</v>
      </c>
      <c r="K54" s="8">
        <f>IF(Hoja1!K54="","",(Hoja1!K54/100)*$K$3)</f>
        <v>0.9</v>
      </c>
      <c r="L54" s="8">
        <f>IF(Hoja1!L54="","",(Hoja1!L54/100)*$L$3)</f>
        <v>1</v>
      </c>
      <c r="M54" s="8">
        <f>IF(Hoja1!M54="","",(Hoja1!M54/100)*$M$3)</f>
        <v>1.5</v>
      </c>
      <c r="N54" s="8">
        <f>IF(Hoja1!N54="","",(Hoja1!N54/100)*$N$3)</f>
        <v>1.6</v>
      </c>
      <c r="O54" s="8">
        <f>IF(Hoja1!O54="","",(Hoja1!O54/100)*$O$3)</f>
        <v>2</v>
      </c>
      <c r="P54" s="8">
        <f>IF(Hoja1!P54="","",(Hoja1!P54/100)*$P$3)</f>
        <v>2</v>
      </c>
      <c r="Q54" s="8">
        <f>IF(Hoja1!Q54="","",(Hoja1!Q54/100)*$Q$3)</f>
        <v>0.9</v>
      </c>
      <c r="R54" s="8">
        <f>IF(Hoja1!R54="","",(Hoja1!R54/100)*$R$3)</f>
        <v>1.5</v>
      </c>
      <c r="S54" s="8">
        <f>IF(Hoja1!S54="","",(Hoja1!S54/100)*$S$3)</f>
        <v>5</v>
      </c>
      <c r="T54" s="61">
        <f t="shared" si="0"/>
        <v>19.350000000000001</v>
      </c>
      <c r="U54" s="17">
        <f>IF(Hoja1!U54="","",(Hoja1!U54/100)*$U$3)</f>
        <v>0</v>
      </c>
      <c r="W54" t="str">
        <f t="shared" si="1"/>
        <v>APROBADO</v>
      </c>
    </row>
    <row r="55" spans="3:23" x14ac:dyDescent="0.35">
      <c r="C55" s="8">
        <v>51</v>
      </c>
      <c r="D55" s="8">
        <v>202531219</v>
      </c>
      <c r="E55" s="12" t="s">
        <v>53</v>
      </c>
      <c r="F55" s="25">
        <f>IF(Hoja1!F55="","",(Hoja1!F55/100)*$F$3)</f>
        <v>0</v>
      </c>
      <c r="G55" s="8">
        <f>IF(Hoja1!G55="","",(Hoja1!G55/100)*$G$3)</f>
        <v>0</v>
      </c>
      <c r="H55" s="8">
        <f>IF(Hoja1!H55="","",(Hoja1!H55/100)*$H$3)</f>
        <v>0.5</v>
      </c>
      <c r="I55" s="26">
        <f>IF(Hoja1!I55="","",(Hoja1!I55/100)*$I$3)</f>
        <v>0.5</v>
      </c>
      <c r="J55" s="25">
        <f>IF(Hoja1!J55="","",(Hoja1!J55/100)*$J$3)</f>
        <v>0</v>
      </c>
      <c r="K55" s="8">
        <f>IF(Hoja1!K55="","",(Hoja1!K55/100)*$K$3)</f>
        <v>0</v>
      </c>
      <c r="L55" s="8">
        <f>IF(Hoja1!L55="","",(Hoja1!L55/100)*$L$3)</f>
        <v>1</v>
      </c>
      <c r="M55" s="8">
        <f>IF(Hoja1!M55="","",(Hoja1!M55/100)*$M$3)</f>
        <v>1.2000000000000002</v>
      </c>
      <c r="N55" s="8">
        <f>IF(Hoja1!N55="","",(Hoja1!N55/100)*$N$3)</f>
        <v>1.4</v>
      </c>
      <c r="O55" s="8">
        <f>IF(Hoja1!O55="","",(Hoja1!O55/100)*$O$3)</f>
        <v>0.9</v>
      </c>
      <c r="P55" s="8">
        <f>IF(Hoja1!P55="","",(Hoja1!P55/100)*$P$3)</f>
        <v>0</v>
      </c>
      <c r="Q55" s="8">
        <f>IF(Hoja1!Q55="","",(Hoja1!Q55/100)*$Q$3)</f>
        <v>0.8</v>
      </c>
      <c r="R55" s="8">
        <f>IF(Hoja1!R55="","",(Hoja1!R55/100)*$R$3)</f>
        <v>1.5</v>
      </c>
      <c r="S55" s="8">
        <f>IF(Hoja1!S55="","",(Hoja1!S55/100)*$S$3)</f>
        <v>5</v>
      </c>
      <c r="T55" s="61">
        <f t="shared" si="0"/>
        <v>12.8</v>
      </c>
      <c r="U55" s="17">
        <f>IF(Hoja1!U55="","",(Hoja1!U55/100)*$U$3)</f>
        <v>0</v>
      </c>
      <c r="W55" t="str">
        <f t="shared" si="1"/>
        <v>APROBADO</v>
      </c>
    </row>
    <row r="56" spans="3:23" x14ac:dyDescent="0.35">
      <c r="C56" s="8">
        <v>52</v>
      </c>
      <c r="D56" s="8">
        <v>202531289</v>
      </c>
      <c r="E56" s="12" t="s">
        <v>54</v>
      </c>
      <c r="F56" s="25">
        <f>IF(Hoja1!F56="","",(Hoja1!F56/100)*$F$3)</f>
        <v>0.5</v>
      </c>
      <c r="G56" s="8">
        <f>IF(Hoja1!G56="","",(Hoja1!G56/100)*$G$3)</f>
        <v>0</v>
      </c>
      <c r="H56" s="8">
        <f>IF(Hoja1!H56="","",(Hoja1!H56/100)*$H$3)</f>
        <v>0.5</v>
      </c>
      <c r="I56" s="26">
        <f>IF(Hoja1!I56="","",(Hoja1!I56/100)*$I$3)</f>
        <v>0.5</v>
      </c>
      <c r="J56" s="25">
        <f>IF(Hoja1!J56="","",(Hoja1!J56/100)*$J$3)</f>
        <v>0.85</v>
      </c>
      <c r="K56" s="8">
        <f>IF(Hoja1!K56="","",(Hoja1!K56/100)*$K$3)</f>
        <v>1</v>
      </c>
      <c r="L56" s="8">
        <f>IF(Hoja1!L56="","",(Hoja1!L56/100)*$L$3)</f>
        <v>1</v>
      </c>
      <c r="M56" s="8">
        <f>IF(Hoja1!M56="","",(Hoja1!M56/100)*$M$3)</f>
        <v>1.5</v>
      </c>
      <c r="N56" s="8">
        <f>IF(Hoja1!N56="","",(Hoja1!N56/100)*$N$3)</f>
        <v>2</v>
      </c>
      <c r="O56" s="8">
        <f>IF(Hoja1!O56="","",(Hoja1!O56/100)*$O$3)</f>
        <v>1.9</v>
      </c>
      <c r="P56" s="8">
        <f>IF(Hoja1!P56="","",(Hoja1!P56/100)*$P$3)</f>
        <v>1.7</v>
      </c>
      <c r="Q56" s="8">
        <f>IF(Hoja1!Q56="","",(Hoja1!Q56/100)*$Q$3)</f>
        <v>0.95</v>
      </c>
      <c r="R56" s="8">
        <f>IF(Hoja1!R56="","",(Hoja1!R56/100)*$R$3)</f>
        <v>0</v>
      </c>
      <c r="S56" s="8">
        <f>IF(Hoja1!S56="","",(Hoja1!S56/100)*$S$3)</f>
        <v>5</v>
      </c>
      <c r="T56" s="61">
        <f t="shared" si="0"/>
        <v>18.399999999999999</v>
      </c>
      <c r="U56" s="17">
        <f>IF(Hoja1!U56="","",(Hoja1!U56/100)*$U$3)</f>
        <v>1</v>
      </c>
      <c r="W56" t="str">
        <f t="shared" si="1"/>
        <v>APROBADO</v>
      </c>
    </row>
    <row r="57" spans="3:23" x14ac:dyDescent="0.35">
      <c r="C57" s="8">
        <v>53</v>
      </c>
      <c r="D57" s="8">
        <v>202531319</v>
      </c>
      <c r="E57" s="12" t="s">
        <v>55</v>
      </c>
      <c r="F57" s="25">
        <f>IF(Hoja1!F57="","",(Hoja1!F57/100)*$F$3)</f>
        <v>0.5</v>
      </c>
      <c r="G57" s="8">
        <f>IF(Hoja1!G57="","",(Hoja1!G57/100)*$G$3)</f>
        <v>0</v>
      </c>
      <c r="H57" s="8">
        <f>IF(Hoja1!H57="","",(Hoja1!H57/100)*$H$3)</f>
        <v>0.25</v>
      </c>
      <c r="I57" s="26">
        <f>IF(Hoja1!I57="","",(Hoja1!I57/100)*$I$3)</f>
        <v>0.5</v>
      </c>
      <c r="J57" s="25">
        <f>IF(Hoja1!J57="","",(Hoja1!J57/100)*$J$3)</f>
        <v>0.75</v>
      </c>
      <c r="K57" s="8">
        <f>IF(Hoja1!K57="","",(Hoja1!K57/100)*$K$3)</f>
        <v>0</v>
      </c>
      <c r="L57" s="8">
        <f>IF(Hoja1!L57="","",(Hoja1!L57/100)*$L$3)</f>
        <v>1</v>
      </c>
      <c r="M57" s="8">
        <f>IF(Hoja1!M57="","",(Hoja1!M57/100)*$M$3)</f>
        <v>1.5</v>
      </c>
      <c r="N57" s="8">
        <f>IF(Hoja1!N57="","",(Hoja1!N57/100)*$N$3)</f>
        <v>1</v>
      </c>
      <c r="O57" s="8">
        <f>IF(Hoja1!O57="","",(Hoja1!O57/100)*$O$3)</f>
        <v>0</v>
      </c>
      <c r="P57" s="8">
        <f>IF(Hoja1!P57="","",(Hoja1!P57/100)*$P$3)</f>
        <v>1</v>
      </c>
      <c r="Q57" s="8">
        <f>IF(Hoja1!Q57="","",(Hoja1!Q57/100)*$Q$3)</f>
        <v>1</v>
      </c>
      <c r="R57" s="8">
        <f>IF(Hoja1!R57="","",(Hoja1!R57/100)*$R$3)</f>
        <v>1.5</v>
      </c>
      <c r="S57" s="8">
        <f>IF(Hoja1!S57="","",(Hoja1!S57/100)*$S$3)</f>
        <v>5</v>
      </c>
      <c r="T57" s="61">
        <f t="shared" si="0"/>
        <v>14</v>
      </c>
      <c r="U57" s="17">
        <f>IF(Hoja1!U57="","",(Hoja1!U57/100)*$U$3)</f>
        <v>0</v>
      </c>
      <c r="W57" t="str">
        <f t="shared" si="1"/>
        <v>APROBADO</v>
      </c>
    </row>
    <row r="58" spans="3:23" x14ac:dyDescent="0.35">
      <c r="C58" s="8">
        <v>54</v>
      </c>
      <c r="D58" s="8">
        <v>202531351</v>
      </c>
      <c r="E58" s="12" t="s">
        <v>56</v>
      </c>
      <c r="F58" s="25">
        <f>IF(Hoja1!F58="","",(Hoja1!F58/100)*$F$3)</f>
        <v>0.5</v>
      </c>
      <c r="G58" s="8">
        <f>IF(Hoja1!G58="","",(Hoja1!G58/100)*$G$3)</f>
        <v>0.5</v>
      </c>
      <c r="H58" s="8">
        <f>IF(Hoja1!H58="","",(Hoja1!H58/100)*$H$3)</f>
        <v>0.5</v>
      </c>
      <c r="I58" s="26">
        <f>IF(Hoja1!I58="","",(Hoja1!I58/100)*$I$3)</f>
        <v>0.45</v>
      </c>
      <c r="J58" s="25">
        <f>IF(Hoja1!J58="","",(Hoja1!J58/100)*$J$3)</f>
        <v>1</v>
      </c>
      <c r="K58" s="8">
        <f>IF(Hoja1!K58="","",(Hoja1!K58/100)*$K$3)</f>
        <v>1</v>
      </c>
      <c r="L58" s="8">
        <f>IF(Hoja1!L58="","",(Hoja1!L58/100)*$L$3)</f>
        <v>1</v>
      </c>
      <c r="M58" s="8">
        <f>IF(Hoja1!M58="","",(Hoja1!M58/100)*$M$3)</f>
        <v>1.5</v>
      </c>
      <c r="N58" s="8">
        <f>IF(Hoja1!N58="","",(Hoja1!N58/100)*$N$3)</f>
        <v>1.6</v>
      </c>
      <c r="O58" s="8">
        <f>IF(Hoja1!O58="","",(Hoja1!O58/100)*$O$3)</f>
        <v>1.8</v>
      </c>
      <c r="P58" s="8">
        <f>IF(Hoja1!P58="","",(Hoja1!P58/100)*$P$3)</f>
        <v>2</v>
      </c>
      <c r="Q58" s="8">
        <f>IF(Hoja1!Q58="","",(Hoja1!Q58/100)*$Q$3)</f>
        <v>0.9</v>
      </c>
      <c r="R58" s="8">
        <f>IF(Hoja1!R58="","",(Hoja1!R58/100)*$R$3)</f>
        <v>1.5</v>
      </c>
      <c r="S58" s="8">
        <f>IF(Hoja1!S58="","",(Hoja1!S58/100)*$S$3)</f>
        <v>5</v>
      </c>
      <c r="T58" s="61">
        <f t="shared" si="0"/>
        <v>19.25</v>
      </c>
      <c r="U58" s="17">
        <f>IF(Hoja1!U58="","",(Hoja1!U58/100)*$U$3)</f>
        <v>0</v>
      </c>
      <c r="W58" t="str">
        <f t="shared" si="1"/>
        <v>APROBADO</v>
      </c>
    </row>
    <row r="59" spans="3:23" x14ac:dyDescent="0.35">
      <c r="C59" s="8">
        <v>55</v>
      </c>
      <c r="D59" s="8">
        <v>202531352</v>
      </c>
      <c r="E59" s="12" t="s">
        <v>57</v>
      </c>
      <c r="F59" s="25">
        <f>IF(Hoja1!F59="","",(Hoja1!F59/100)*$F$3)</f>
        <v>0.5</v>
      </c>
      <c r="G59" s="8">
        <f>IF(Hoja1!G59="","",(Hoja1!G59/100)*$G$3)</f>
        <v>0</v>
      </c>
      <c r="H59" s="8">
        <f>IF(Hoja1!H59="","",(Hoja1!H59/100)*$H$3)</f>
        <v>0.5</v>
      </c>
      <c r="I59" s="26">
        <f>IF(Hoja1!I59="","",(Hoja1!I59/100)*$I$3)</f>
        <v>0.5</v>
      </c>
      <c r="J59" s="25">
        <f>IF(Hoja1!J59="","",(Hoja1!J59/100)*$J$3)</f>
        <v>1</v>
      </c>
      <c r="K59" s="8">
        <f>IF(Hoja1!K59="","",(Hoja1!K59/100)*$K$3)</f>
        <v>1</v>
      </c>
      <c r="L59" s="8">
        <f>IF(Hoja1!L59="","",(Hoja1!L59/100)*$L$3)</f>
        <v>1</v>
      </c>
      <c r="M59" s="8">
        <f>IF(Hoja1!M59="","",(Hoja1!M59/100)*$M$3)</f>
        <v>1.5</v>
      </c>
      <c r="N59" s="8">
        <f>IF(Hoja1!N59="","",(Hoja1!N59/100)*$N$3)</f>
        <v>1.4</v>
      </c>
      <c r="O59" s="8">
        <f>IF(Hoja1!O59="","",(Hoja1!O59/100)*$O$3)</f>
        <v>0</v>
      </c>
      <c r="P59" s="8">
        <f>IF(Hoja1!P59="","",(Hoja1!P59/100)*$P$3)</f>
        <v>1.5</v>
      </c>
      <c r="Q59" s="8">
        <f>IF(Hoja1!Q59="","",(Hoja1!Q59/100)*$Q$3)</f>
        <v>0.8</v>
      </c>
      <c r="R59" s="8">
        <f>IF(Hoja1!R59="","",(Hoja1!R59/100)*$R$3)</f>
        <v>0</v>
      </c>
      <c r="S59" s="8">
        <f>IF(Hoja1!S59="","",(Hoja1!S59/100)*$S$3)</f>
        <v>5</v>
      </c>
      <c r="T59" s="61">
        <f t="shared" si="0"/>
        <v>14.700000000000001</v>
      </c>
      <c r="U59" s="17">
        <f>IF(Hoja1!U59="","",(Hoja1!U59/100)*$U$3)</f>
        <v>0</v>
      </c>
      <c r="W59" t="str">
        <f t="shared" si="1"/>
        <v>APROBADO</v>
      </c>
    </row>
    <row r="60" spans="3:23" x14ac:dyDescent="0.35">
      <c r="C60" s="8">
        <v>56</v>
      </c>
      <c r="D60" s="8">
        <v>202531384</v>
      </c>
      <c r="E60" s="12" t="s">
        <v>58</v>
      </c>
      <c r="F60" s="25">
        <f>IF(Hoja1!F60="","",(Hoja1!F60/100)*$F$3)</f>
        <v>0.5</v>
      </c>
      <c r="G60" s="8">
        <f>IF(Hoja1!G60="","",(Hoja1!G60/100)*$G$3)</f>
        <v>0.5</v>
      </c>
      <c r="H60" s="8">
        <f>IF(Hoja1!H60="","",(Hoja1!H60/100)*$H$3)</f>
        <v>0.25</v>
      </c>
      <c r="I60" s="26">
        <f>IF(Hoja1!I60="","",(Hoja1!I60/100)*$I$3)</f>
        <v>0.45</v>
      </c>
      <c r="J60" s="25">
        <f>IF(Hoja1!J60="","",(Hoja1!J60/100)*$J$3)</f>
        <v>1</v>
      </c>
      <c r="K60" s="8">
        <f>IF(Hoja1!K60="","",(Hoja1!K60/100)*$K$3)</f>
        <v>1</v>
      </c>
      <c r="L60" s="8">
        <f>IF(Hoja1!L60="","",(Hoja1!L60/100)*$L$3)</f>
        <v>1</v>
      </c>
      <c r="M60" s="8">
        <f>IF(Hoja1!M60="","",(Hoja1!M60/100)*$M$3)</f>
        <v>1.5</v>
      </c>
      <c r="N60" s="8">
        <f>IF(Hoja1!N60="","",(Hoja1!N60/100)*$N$3)</f>
        <v>1.4</v>
      </c>
      <c r="O60" s="8">
        <f>IF(Hoja1!O60="","",(Hoja1!O60/100)*$O$3)</f>
        <v>2</v>
      </c>
      <c r="P60" s="8">
        <f>IF(Hoja1!P60="","",(Hoja1!P60/100)*$P$3)</f>
        <v>1.8</v>
      </c>
      <c r="Q60" s="8">
        <f>IF(Hoja1!Q60="","",(Hoja1!Q60/100)*$Q$3)</f>
        <v>0.8</v>
      </c>
      <c r="R60" s="8">
        <f>IF(Hoja1!R60="","",(Hoja1!R60/100)*$R$3)</f>
        <v>1.5</v>
      </c>
      <c r="S60" s="8">
        <f>IF(Hoja1!S60="","",(Hoja1!S60/100)*$S$3)</f>
        <v>5</v>
      </c>
      <c r="T60" s="61">
        <f t="shared" si="0"/>
        <v>19.700000000000003</v>
      </c>
      <c r="U60" s="17">
        <f>IF(Hoja1!U60="","",(Hoja1!U60/100)*$U$3)</f>
        <v>1</v>
      </c>
      <c r="W60" t="str">
        <f t="shared" si="1"/>
        <v>APROBADO</v>
      </c>
    </row>
    <row r="61" spans="3:23" x14ac:dyDescent="0.35">
      <c r="C61" s="8">
        <v>57</v>
      </c>
      <c r="D61" s="8">
        <v>202531399</v>
      </c>
      <c r="E61" s="12" t="s">
        <v>59</v>
      </c>
      <c r="F61" s="25">
        <f>IF(Hoja1!F61="","",(Hoja1!F61/100)*$F$3)</f>
        <v>0</v>
      </c>
      <c r="G61" s="8">
        <f>IF(Hoja1!G61="","",(Hoja1!G61/100)*$G$3)</f>
        <v>0</v>
      </c>
      <c r="H61" s="8">
        <f>IF(Hoja1!H61="","",(Hoja1!H61/100)*$H$3)</f>
        <v>0.25</v>
      </c>
      <c r="I61" s="26">
        <f>IF(Hoja1!I61="","",(Hoja1!I61/100)*$I$3)</f>
        <v>0</v>
      </c>
      <c r="J61" s="25">
        <f>IF(Hoja1!J61="","",(Hoja1!J61/100)*$J$3)</f>
        <v>0</v>
      </c>
      <c r="K61" s="8">
        <f>IF(Hoja1!K61="","",(Hoja1!K61/100)*$K$3)</f>
        <v>0</v>
      </c>
      <c r="L61" s="8">
        <f>IF(Hoja1!L61="","",(Hoja1!L61/100)*$L$3)</f>
        <v>0</v>
      </c>
      <c r="M61" s="8">
        <f>IF(Hoja1!M61="","",(Hoja1!M61/100)*$M$3)</f>
        <v>0</v>
      </c>
      <c r="N61" s="8">
        <f>IF(Hoja1!N61="","",(Hoja1!N61/100)*$N$3)</f>
        <v>0</v>
      </c>
      <c r="O61" s="8">
        <f>IF(Hoja1!O61="","",(Hoja1!O61/100)*$O$3)</f>
        <v>0</v>
      </c>
      <c r="P61" s="8">
        <f>IF(Hoja1!P61="","",(Hoja1!P61/100)*$P$3)</f>
        <v>0</v>
      </c>
      <c r="Q61" s="8">
        <f>IF(Hoja1!Q61="","",(Hoja1!Q61/100)*$Q$3)</f>
        <v>0</v>
      </c>
      <c r="R61" s="8">
        <f>IF(Hoja1!R61="","",(Hoja1!R61/100)*$R$3)</f>
        <v>0</v>
      </c>
      <c r="S61" s="8">
        <f>IF(Hoja1!S61="","",(Hoja1!S61/100)*$S$3)</f>
        <v>0</v>
      </c>
      <c r="T61" s="61">
        <f t="shared" si="0"/>
        <v>0.25</v>
      </c>
      <c r="U61" s="17">
        <f>IF(Hoja1!U61="","",(Hoja1!U61/100)*$U$3)</f>
        <v>0</v>
      </c>
      <c r="W61" t="str">
        <f t="shared" si="1"/>
        <v>REPROBADO</v>
      </c>
    </row>
    <row r="62" spans="3:23" x14ac:dyDescent="0.35">
      <c r="C62" s="8">
        <v>58</v>
      </c>
      <c r="D62" s="8">
        <v>202531441</v>
      </c>
      <c r="E62" s="12" t="s">
        <v>60</v>
      </c>
      <c r="F62" s="25">
        <f>IF(Hoja1!F62="","",(Hoja1!F62/100)*$F$3)</f>
        <v>0</v>
      </c>
      <c r="G62" s="8">
        <f>IF(Hoja1!G62="","",(Hoja1!G62/100)*$G$3)</f>
        <v>0</v>
      </c>
      <c r="H62" s="8">
        <f>IF(Hoja1!H62="","",(Hoja1!H62/100)*$H$3)</f>
        <v>0</v>
      </c>
      <c r="I62" s="26">
        <f>IF(Hoja1!I62="","",(Hoja1!I62/100)*$I$3)</f>
        <v>0</v>
      </c>
      <c r="J62" s="25">
        <f>IF(Hoja1!J62="","",(Hoja1!J62/100)*$J$3)</f>
        <v>0</v>
      </c>
      <c r="K62" s="8">
        <f>IF(Hoja1!K62="","",(Hoja1!K62/100)*$K$3)</f>
        <v>0</v>
      </c>
      <c r="L62" s="8">
        <f>IF(Hoja1!L62="","",(Hoja1!L62/100)*$L$3)</f>
        <v>0</v>
      </c>
      <c r="M62" s="8">
        <f>IF(Hoja1!M62="","",(Hoja1!M62/100)*$M$3)</f>
        <v>0</v>
      </c>
      <c r="N62" s="8">
        <f>IF(Hoja1!N62="","",(Hoja1!N62/100)*$N$3)</f>
        <v>0</v>
      </c>
      <c r="O62" s="8">
        <f>IF(Hoja1!O62="","",(Hoja1!O62/100)*$O$3)</f>
        <v>0</v>
      </c>
      <c r="P62" s="8">
        <f>IF(Hoja1!P62="","",(Hoja1!P62/100)*$P$3)</f>
        <v>0</v>
      </c>
      <c r="Q62" s="8">
        <f>IF(Hoja1!Q62="","",(Hoja1!Q62/100)*$Q$3)</f>
        <v>0</v>
      </c>
      <c r="R62" s="8">
        <f>IF(Hoja1!R62="","",(Hoja1!R62/100)*$R$3)</f>
        <v>0</v>
      </c>
      <c r="S62" s="8">
        <f>IF(Hoja1!S62="","",(Hoja1!S62/100)*$S$3)</f>
        <v>0</v>
      </c>
      <c r="T62" s="61">
        <f t="shared" si="0"/>
        <v>0</v>
      </c>
      <c r="U62" s="17">
        <f>IF(Hoja1!U62="","",(Hoja1!U62/100)*$U$3)</f>
        <v>0</v>
      </c>
      <c r="W62" t="str">
        <f t="shared" si="1"/>
        <v>REPROBADO</v>
      </c>
    </row>
    <row r="63" spans="3:23" x14ac:dyDescent="0.35">
      <c r="C63" s="8">
        <v>59</v>
      </c>
      <c r="D63" s="8">
        <v>202531444</v>
      </c>
      <c r="E63" s="12" t="s">
        <v>61</v>
      </c>
      <c r="F63" s="25">
        <f>IF(Hoja1!F63="","",(Hoja1!F63/100)*$F$3)</f>
        <v>0.5</v>
      </c>
      <c r="G63" s="8">
        <f>IF(Hoja1!G63="","",(Hoja1!G63/100)*$G$3)</f>
        <v>0</v>
      </c>
      <c r="H63" s="8">
        <f>IF(Hoja1!H63="","",(Hoja1!H63/100)*$H$3)</f>
        <v>0.5</v>
      </c>
      <c r="I63" s="26">
        <f>IF(Hoja1!I63="","",(Hoja1!I63/100)*$I$3)</f>
        <v>0.45</v>
      </c>
      <c r="J63" s="25">
        <f>IF(Hoja1!J63="","",(Hoja1!J63/100)*$J$3)</f>
        <v>1</v>
      </c>
      <c r="K63" s="8">
        <f>IF(Hoja1!K63="","",(Hoja1!K63/100)*$K$3)</f>
        <v>0.95</v>
      </c>
      <c r="L63" s="8">
        <f>IF(Hoja1!L63="","",(Hoja1!L63/100)*$L$3)</f>
        <v>1</v>
      </c>
      <c r="M63" s="8">
        <f>IF(Hoja1!M63="","",(Hoja1!M63/100)*$M$3)</f>
        <v>1.5</v>
      </c>
      <c r="N63" s="8">
        <f>IF(Hoja1!N63="","",(Hoja1!N63/100)*$N$3)</f>
        <v>1</v>
      </c>
      <c r="O63" s="8">
        <f>IF(Hoja1!O63="","",(Hoja1!O63/100)*$O$3)</f>
        <v>0</v>
      </c>
      <c r="P63" s="8">
        <f>IF(Hoja1!P63="","",(Hoja1!P63/100)*$P$3)</f>
        <v>1.3</v>
      </c>
      <c r="Q63" s="8">
        <f>IF(Hoja1!Q63="","",(Hoja1!Q63/100)*$Q$3)</f>
        <v>1</v>
      </c>
      <c r="R63" s="8">
        <f>IF(Hoja1!R63="","",(Hoja1!R63/100)*$R$3)</f>
        <v>1.5</v>
      </c>
      <c r="S63" s="8">
        <f>IF(Hoja1!S63="","",(Hoja1!S63/100)*$S$3)</f>
        <v>5</v>
      </c>
      <c r="T63" s="61">
        <f t="shared" si="0"/>
        <v>15.700000000000001</v>
      </c>
      <c r="U63" s="17">
        <f>IF(Hoja1!U63="","",(Hoja1!U63/100)*$U$3)</f>
        <v>0</v>
      </c>
      <c r="W63" t="str">
        <f t="shared" si="1"/>
        <v>APROBADO</v>
      </c>
    </row>
    <row r="64" spans="3:23" x14ac:dyDescent="0.35">
      <c r="C64" s="8">
        <v>60</v>
      </c>
      <c r="D64" s="8">
        <v>202531566</v>
      </c>
      <c r="E64" s="12" t="s">
        <v>62</v>
      </c>
      <c r="F64" s="25">
        <f>IF(Hoja1!F64="","",(Hoja1!F64/100)*$F$3)</f>
        <v>0.5</v>
      </c>
      <c r="G64" s="8">
        <f>IF(Hoja1!G64="","",(Hoja1!G64/100)*$G$3)</f>
        <v>0</v>
      </c>
      <c r="H64" s="8">
        <f>IF(Hoja1!H64="","",(Hoja1!H64/100)*$H$3)</f>
        <v>0.5</v>
      </c>
      <c r="I64" s="26">
        <f>IF(Hoja1!I64="","",(Hoja1!I64/100)*$I$3)</f>
        <v>0.45</v>
      </c>
      <c r="J64" s="25">
        <f>IF(Hoja1!J64="","",(Hoja1!J64/100)*$J$3)</f>
        <v>1</v>
      </c>
      <c r="K64" s="8">
        <f>IF(Hoja1!K64="","",(Hoja1!K64/100)*$K$3)</f>
        <v>0.85</v>
      </c>
      <c r="L64" s="8">
        <f>IF(Hoja1!L64="","",(Hoja1!L64/100)*$L$3)</f>
        <v>1</v>
      </c>
      <c r="M64" s="8">
        <f>IF(Hoja1!M64="","",(Hoja1!M64/100)*$M$3)</f>
        <v>1.5</v>
      </c>
      <c r="N64" s="8">
        <f>IF(Hoja1!N64="","",(Hoja1!N64/100)*$N$3)</f>
        <v>1.4</v>
      </c>
      <c r="O64" s="8">
        <f>IF(Hoja1!O64="","",(Hoja1!O64/100)*$O$3)</f>
        <v>1.5</v>
      </c>
      <c r="P64" s="8">
        <f>IF(Hoja1!P64="","",(Hoja1!P64/100)*$P$3)</f>
        <v>1.1000000000000001</v>
      </c>
      <c r="Q64" s="8">
        <f>IF(Hoja1!Q64="","",(Hoja1!Q64/100)*$Q$3)</f>
        <v>0.95</v>
      </c>
      <c r="R64" s="8">
        <f>IF(Hoja1!R64="","",(Hoja1!R64/100)*$R$3)</f>
        <v>1.5</v>
      </c>
      <c r="S64" s="8">
        <f>IF(Hoja1!S64="","",(Hoja1!S64/100)*$S$3)</f>
        <v>5</v>
      </c>
      <c r="T64" s="61">
        <f t="shared" si="0"/>
        <v>17.25</v>
      </c>
      <c r="U64" s="17">
        <f>IF(Hoja1!U64="","",(Hoja1!U64/100)*$U$3)</f>
        <v>0</v>
      </c>
      <c r="W64" t="str">
        <f t="shared" si="1"/>
        <v>APROBADO</v>
      </c>
    </row>
    <row r="65" spans="3:23" x14ac:dyDescent="0.35">
      <c r="C65" s="8">
        <v>61</v>
      </c>
      <c r="D65" s="8">
        <v>202531611</v>
      </c>
      <c r="E65" s="12" t="s">
        <v>63</v>
      </c>
      <c r="F65" s="25">
        <f>IF(Hoja1!F65="","",(Hoja1!F65/100)*$F$3)</f>
        <v>0.5</v>
      </c>
      <c r="G65" s="8">
        <f>IF(Hoja1!G65="","",(Hoja1!G65/100)*$G$3)</f>
        <v>0</v>
      </c>
      <c r="H65" s="8">
        <f>IF(Hoja1!H65="","",(Hoja1!H65/100)*$H$3)</f>
        <v>0.5</v>
      </c>
      <c r="I65" s="26">
        <f>IF(Hoja1!I65="","",(Hoja1!I65/100)*$I$3)</f>
        <v>0</v>
      </c>
      <c r="J65" s="25">
        <f>IF(Hoja1!J65="","",(Hoja1!J65/100)*$J$3)</f>
        <v>0</v>
      </c>
      <c r="K65" s="8">
        <f>IF(Hoja1!K65="","",(Hoja1!K65/100)*$K$3)</f>
        <v>0</v>
      </c>
      <c r="L65" s="8">
        <f>IF(Hoja1!L65="","",(Hoja1!L65/100)*$L$3)</f>
        <v>1</v>
      </c>
      <c r="M65" s="8">
        <f>IF(Hoja1!M65="","",(Hoja1!M65/100)*$M$3)</f>
        <v>1.5</v>
      </c>
      <c r="N65" s="8">
        <f>IF(Hoja1!N65="","",(Hoja1!N65/100)*$N$3)</f>
        <v>1.4</v>
      </c>
      <c r="O65" s="8">
        <f>IF(Hoja1!O65="","",(Hoja1!O65/100)*$O$3)</f>
        <v>0.9</v>
      </c>
      <c r="P65" s="8">
        <f>IF(Hoja1!P65="","",(Hoja1!P65/100)*$P$3)</f>
        <v>1.5</v>
      </c>
      <c r="Q65" s="8">
        <f>IF(Hoja1!Q65="","",(Hoja1!Q65/100)*$Q$3)</f>
        <v>0</v>
      </c>
      <c r="R65" s="8">
        <f>IF(Hoja1!R65="","",(Hoja1!R65/100)*$R$3)</f>
        <v>0</v>
      </c>
      <c r="S65" s="8">
        <f>IF(Hoja1!S65="","",(Hoja1!S65/100)*$S$3)</f>
        <v>5</v>
      </c>
      <c r="T65" s="61">
        <f t="shared" si="0"/>
        <v>12.3</v>
      </c>
      <c r="U65" s="17">
        <f>IF(Hoja1!U65="","",(Hoja1!U65/100)*$U$3)</f>
        <v>0</v>
      </c>
      <c r="W65" t="str">
        <f t="shared" si="1"/>
        <v>REPROBADO</v>
      </c>
    </row>
    <row r="66" spans="3:23" x14ac:dyDescent="0.35">
      <c r="C66" s="8">
        <v>62</v>
      </c>
      <c r="D66" s="8">
        <v>202531645</v>
      </c>
      <c r="E66" s="12" t="s">
        <v>64</v>
      </c>
      <c r="F66" s="25">
        <f>IF(Hoja1!F66="","",(Hoja1!F66/100)*$F$3)</f>
        <v>0.5</v>
      </c>
      <c r="G66" s="8">
        <f>IF(Hoja1!G66="","",(Hoja1!G66/100)*$G$3)</f>
        <v>0.5</v>
      </c>
      <c r="H66" s="8">
        <f>IF(Hoja1!H66="","",(Hoja1!H66/100)*$H$3)</f>
        <v>0.5</v>
      </c>
      <c r="I66" s="26">
        <f>IF(Hoja1!I66="","",(Hoja1!I66/100)*$I$3)</f>
        <v>0.45</v>
      </c>
      <c r="J66" s="25">
        <f>IF(Hoja1!J66="","",(Hoja1!J66/100)*$J$3)</f>
        <v>1</v>
      </c>
      <c r="K66" s="8">
        <f>IF(Hoja1!K66="","",(Hoja1!K66/100)*$K$3)</f>
        <v>1</v>
      </c>
      <c r="L66" s="8">
        <f>IF(Hoja1!L66="","",(Hoja1!L66/100)*$L$3)</f>
        <v>1</v>
      </c>
      <c r="M66" s="8">
        <f>IF(Hoja1!M66="","",(Hoja1!M66/100)*$M$3)</f>
        <v>0</v>
      </c>
      <c r="N66" s="8">
        <f>IF(Hoja1!N66="","",(Hoja1!N66/100)*$N$3)</f>
        <v>0</v>
      </c>
      <c r="O66" s="8">
        <f>IF(Hoja1!O66="","",(Hoja1!O66/100)*$O$3)</f>
        <v>1.8</v>
      </c>
      <c r="P66" s="8">
        <f>IF(Hoja1!P66="","",(Hoja1!P66/100)*$P$3)</f>
        <v>2</v>
      </c>
      <c r="Q66" s="8">
        <f>IF(Hoja1!Q66="","",(Hoja1!Q66/100)*$Q$3)</f>
        <v>0.9</v>
      </c>
      <c r="R66" s="8">
        <f>IF(Hoja1!R66="","",(Hoja1!R66/100)*$R$3)</f>
        <v>1.5</v>
      </c>
      <c r="S66" s="8">
        <f>IF(Hoja1!S66="","",(Hoja1!S66/100)*$S$3)</f>
        <v>5</v>
      </c>
      <c r="T66" s="61">
        <f t="shared" si="0"/>
        <v>16.149999999999999</v>
      </c>
      <c r="U66" s="17">
        <f>IF(Hoja1!U66="","",(Hoja1!U66/100)*$U$3)</f>
        <v>0</v>
      </c>
      <c r="W66" t="str">
        <f t="shared" si="1"/>
        <v>APROBADO</v>
      </c>
    </row>
    <row r="67" spans="3:23" x14ac:dyDescent="0.35">
      <c r="C67" s="8">
        <v>63</v>
      </c>
      <c r="D67" s="8">
        <v>202531663</v>
      </c>
      <c r="E67" s="12" t="s">
        <v>65</v>
      </c>
      <c r="F67" s="25">
        <f>IF(Hoja1!F67="","",(Hoja1!F67/100)*$F$3)</f>
        <v>0.5</v>
      </c>
      <c r="G67" s="8">
        <f>IF(Hoja1!G67="","",(Hoja1!G67/100)*$G$3)</f>
        <v>0</v>
      </c>
      <c r="H67" s="8">
        <f>IF(Hoja1!H67="","",(Hoja1!H67/100)*$H$3)</f>
        <v>0</v>
      </c>
      <c r="I67" s="26">
        <f>IF(Hoja1!I67="","",(Hoja1!I67/100)*$I$3)</f>
        <v>0</v>
      </c>
      <c r="J67" s="25">
        <f>IF(Hoja1!J67="","",(Hoja1!J67/100)*$J$3)</f>
        <v>0</v>
      </c>
      <c r="K67" s="8">
        <f>IF(Hoja1!K67="","",(Hoja1!K67/100)*$K$3)</f>
        <v>0</v>
      </c>
      <c r="L67" s="8">
        <f>IF(Hoja1!L67="","",(Hoja1!L67/100)*$L$3)</f>
        <v>0</v>
      </c>
      <c r="M67" s="8">
        <f>IF(Hoja1!M67="","",(Hoja1!M67/100)*$M$3)</f>
        <v>0</v>
      </c>
      <c r="N67" s="8">
        <f>IF(Hoja1!N67="","",(Hoja1!N67/100)*$N$3)</f>
        <v>0</v>
      </c>
      <c r="O67" s="8">
        <f>IF(Hoja1!O67="","",(Hoja1!O67/100)*$O$3)</f>
        <v>0</v>
      </c>
      <c r="P67" s="8">
        <f>IF(Hoja1!P67="","",(Hoja1!P67/100)*$P$3)</f>
        <v>0</v>
      </c>
      <c r="Q67" s="8">
        <f>IF(Hoja1!Q67="","",(Hoja1!Q67/100)*$Q$3)</f>
        <v>0</v>
      </c>
      <c r="R67" s="8">
        <f>IF(Hoja1!R67="","",(Hoja1!R67/100)*$R$3)</f>
        <v>0</v>
      </c>
      <c r="S67" s="8">
        <f>IF(Hoja1!S67="","",(Hoja1!S67/100)*$S$3)</f>
        <v>0</v>
      </c>
      <c r="T67" s="61">
        <f t="shared" si="0"/>
        <v>0.5</v>
      </c>
      <c r="U67" s="17">
        <f>IF(Hoja1!U67="","",(Hoja1!U67/100)*$U$3)</f>
        <v>0</v>
      </c>
      <c r="W67" t="str">
        <f t="shared" si="1"/>
        <v>REPROBADO</v>
      </c>
    </row>
    <row r="68" spans="3:23" x14ac:dyDescent="0.35">
      <c r="C68" s="8">
        <v>64</v>
      </c>
      <c r="D68" s="8">
        <v>202531724</v>
      </c>
      <c r="E68" s="12" t="s">
        <v>66</v>
      </c>
      <c r="F68" s="25">
        <f>IF(Hoja1!F68="","",(Hoja1!F68/100)*$F$3)</f>
        <v>0.5</v>
      </c>
      <c r="G68" s="8">
        <f>IF(Hoja1!G68="","",(Hoja1!G68/100)*$G$3)</f>
        <v>0</v>
      </c>
      <c r="H68" s="8">
        <f>IF(Hoja1!H68="","",(Hoja1!H68/100)*$H$3)</f>
        <v>0.25</v>
      </c>
      <c r="I68" s="26">
        <f>IF(Hoja1!I68="","",(Hoja1!I68/100)*$I$3)</f>
        <v>0.45</v>
      </c>
      <c r="J68" s="25">
        <f>IF(Hoja1!J68="","",(Hoja1!J68/100)*$J$3)</f>
        <v>0.4</v>
      </c>
      <c r="K68" s="8">
        <f>IF(Hoja1!K68="","",(Hoja1!K68/100)*$K$3)</f>
        <v>0.85</v>
      </c>
      <c r="L68" s="8">
        <f>IF(Hoja1!L68="","",(Hoja1!L68/100)*$L$3)</f>
        <v>1</v>
      </c>
      <c r="M68" s="8">
        <f>IF(Hoja1!M68="","",(Hoja1!M68/100)*$M$3)</f>
        <v>1.5</v>
      </c>
      <c r="N68" s="8">
        <f>IF(Hoja1!N68="","",(Hoja1!N68/100)*$N$3)</f>
        <v>1.4</v>
      </c>
      <c r="O68" s="8">
        <f>IF(Hoja1!O68="","",(Hoja1!O68/100)*$O$3)</f>
        <v>1.5</v>
      </c>
      <c r="P68" s="8">
        <f>IF(Hoja1!P68="","",(Hoja1!P68/100)*$P$3)</f>
        <v>1.4</v>
      </c>
      <c r="Q68" s="8">
        <f>IF(Hoja1!Q68="","",(Hoja1!Q68/100)*$Q$3)</f>
        <v>1</v>
      </c>
      <c r="R68" s="8">
        <f>IF(Hoja1!R68="","",(Hoja1!R68/100)*$R$3)</f>
        <v>1.5</v>
      </c>
      <c r="S68" s="8">
        <f>IF(Hoja1!S68="","",(Hoja1!S68/100)*$S$3)</f>
        <v>5</v>
      </c>
      <c r="T68" s="61">
        <f t="shared" si="0"/>
        <v>16.75</v>
      </c>
      <c r="U68" s="17">
        <f>IF(Hoja1!U68="","",(Hoja1!U68/100)*$U$3)</f>
        <v>0</v>
      </c>
      <c r="W68" t="str">
        <f t="shared" si="1"/>
        <v>APROBADO</v>
      </c>
    </row>
    <row r="69" spans="3:23" x14ac:dyDescent="0.35">
      <c r="C69" s="8">
        <v>65</v>
      </c>
      <c r="D69" s="8">
        <v>202531736</v>
      </c>
      <c r="E69" s="12" t="s">
        <v>67</v>
      </c>
      <c r="F69" s="25">
        <f>IF(Hoja1!F69="","",(Hoja1!F69/100)*$F$3)</f>
        <v>0.5</v>
      </c>
      <c r="G69" s="8">
        <f>IF(Hoja1!G69="","",(Hoja1!G69/100)*$G$3)</f>
        <v>0</v>
      </c>
      <c r="H69" s="8">
        <f>IF(Hoja1!H69="","",(Hoja1!H69/100)*$H$3)</f>
        <v>0.5</v>
      </c>
      <c r="I69" s="26">
        <f>IF(Hoja1!I69="","",(Hoja1!I69/100)*$I$3)</f>
        <v>0</v>
      </c>
      <c r="J69" s="25">
        <f>IF(Hoja1!J69="","",(Hoja1!J69/100)*$J$3)</f>
        <v>0</v>
      </c>
      <c r="K69" s="8">
        <f>IF(Hoja1!K69="","",(Hoja1!K69/100)*$K$3)</f>
        <v>1</v>
      </c>
      <c r="L69" s="8">
        <f>IF(Hoja1!L69="","",(Hoja1!L69/100)*$L$3)</f>
        <v>1</v>
      </c>
      <c r="M69" s="8">
        <f>IF(Hoja1!M69="","",(Hoja1!M69/100)*$M$3)</f>
        <v>1.5</v>
      </c>
      <c r="N69" s="8">
        <f>IF(Hoja1!N69="","",(Hoja1!N69/100)*$N$3)</f>
        <v>0</v>
      </c>
      <c r="O69" s="8">
        <f>IF(Hoja1!O69="","",(Hoja1!O69/100)*$O$3)</f>
        <v>1.2</v>
      </c>
      <c r="P69" s="8">
        <f>IF(Hoja1!P69="","",(Hoja1!P69/100)*$P$3)</f>
        <v>1.3</v>
      </c>
      <c r="Q69" s="8">
        <f>IF(Hoja1!Q69="","",(Hoja1!Q69/100)*$Q$3)</f>
        <v>0.8</v>
      </c>
      <c r="R69" s="8">
        <f>IF(Hoja1!R69="","",(Hoja1!R69/100)*$R$3)</f>
        <v>1.5</v>
      </c>
      <c r="S69" s="8">
        <f>IF(Hoja1!S69="","",(Hoja1!S69/100)*$S$3)</f>
        <v>5</v>
      </c>
      <c r="T69" s="61">
        <f t="shared" si="0"/>
        <v>14.3</v>
      </c>
      <c r="U69" s="17">
        <f>IF(Hoja1!U69="","",(Hoja1!U69/100)*$U$3)</f>
        <v>0</v>
      </c>
      <c r="W69" t="str">
        <f t="shared" si="1"/>
        <v>APROBADO</v>
      </c>
    </row>
    <row r="70" spans="3:23" x14ac:dyDescent="0.35">
      <c r="C70" s="8">
        <v>66</v>
      </c>
      <c r="D70" s="8">
        <v>202531778</v>
      </c>
      <c r="E70" s="12" t="s">
        <v>68</v>
      </c>
      <c r="F70" s="25">
        <f>IF(Hoja1!F70="","",(Hoja1!F70/100)*$F$3)</f>
        <v>0.5</v>
      </c>
      <c r="G70" s="8">
        <f>IF(Hoja1!G70="","",(Hoja1!G70/100)*$G$3)</f>
        <v>0</v>
      </c>
      <c r="H70" s="8">
        <f>IF(Hoja1!H70="","",(Hoja1!H70/100)*$H$3)</f>
        <v>0.5</v>
      </c>
      <c r="I70" s="26">
        <f>IF(Hoja1!I70="","",(Hoja1!I70/100)*$I$3)</f>
        <v>0.45</v>
      </c>
      <c r="J70" s="25">
        <f>IF(Hoja1!J70="","",(Hoja1!J70/100)*$J$3)</f>
        <v>0.75</v>
      </c>
      <c r="K70" s="8">
        <f>IF(Hoja1!K70="","",(Hoja1!K70/100)*$K$3)</f>
        <v>0.85</v>
      </c>
      <c r="L70" s="8">
        <f>IF(Hoja1!L70="","",(Hoja1!L70/100)*$L$3)</f>
        <v>1</v>
      </c>
      <c r="M70" s="8">
        <f>IF(Hoja1!M70="","",(Hoja1!M70/100)*$M$3)</f>
        <v>1.5</v>
      </c>
      <c r="N70" s="8">
        <f>IF(Hoja1!N70="","",(Hoja1!N70/100)*$N$3)</f>
        <v>1.4</v>
      </c>
      <c r="O70" s="8">
        <f>IF(Hoja1!O70="","",(Hoja1!O70/100)*$O$3)</f>
        <v>1.8</v>
      </c>
      <c r="P70" s="8">
        <f>IF(Hoja1!P70="","",(Hoja1!P70/100)*$P$3)</f>
        <v>2</v>
      </c>
      <c r="Q70" s="8">
        <f>IF(Hoja1!Q70="","",(Hoja1!Q70/100)*$Q$3)</f>
        <v>1</v>
      </c>
      <c r="R70" s="8">
        <f>IF(Hoja1!R70="","",(Hoja1!R70/100)*$R$3)</f>
        <v>1.5</v>
      </c>
      <c r="S70" s="8">
        <f>IF(Hoja1!S70="","",(Hoja1!S70/100)*$S$3)</f>
        <v>5</v>
      </c>
      <c r="T70" s="61">
        <f t="shared" ref="T70:T77" si="2">SUM(F70:S70)+U70</f>
        <v>18.25</v>
      </c>
      <c r="U70" s="17">
        <f>IF(Hoja1!U70="","",(Hoja1!U70/100)*$U$3)</f>
        <v>0</v>
      </c>
      <c r="W70" t="str">
        <f t="shared" ref="W70:W77" si="3">IF(T70="","",IF(T70&gt;12.5,"APROBADO","REPROBADO"))</f>
        <v>APROBADO</v>
      </c>
    </row>
    <row r="71" spans="3:23" x14ac:dyDescent="0.35">
      <c r="C71" s="8">
        <v>67</v>
      </c>
      <c r="D71" s="8">
        <v>202531844</v>
      </c>
      <c r="E71" s="12" t="s">
        <v>69</v>
      </c>
      <c r="F71" s="25">
        <f>IF(Hoja1!F71="","",(Hoja1!F71/100)*$F$3)</f>
        <v>0.5</v>
      </c>
      <c r="G71" s="8">
        <f>IF(Hoja1!G71="","",(Hoja1!G71/100)*$G$3)</f>
        <v>0</v>
      </c>
      <c r="H71" s="8">
        <f>IF(Hoja1!H71="","",(Hoja1!H71/100)*$H$3)</f>
        <v>0.5</v>
      </c>
      <c r="I71" s="26">
        <f>IF(Hoja1!I71="","",(Hoja1!I71/100)*$I$3)</f>
        <v>0.5</v>
      </c>
      <c r="J71" s="25">
        <f>IF(Hoja1!J71="","",(Hoja1!J71/100)*$J$3)</f>
        <v>1</v>
      </c>
      <c r="K71" s="8">
        <f>IF(Hoja1!K71="","",(Hoja1!K71/100)*$K$3)</f>
        <v>1</v>
      </c>
      <c r="L71" s="8">
        <f>IF(Hoja1!L71="","",(Hoja1!L71/100)*$L$3)</f>
        <v>1</v>
      </c>
      <c r="M71" s="8">
        <f>IF(Hoja1!M71="","",(Hoja1!M71/100)*$M$3)</f>
        <v>1.5</v>
      </c>
      <c r="N71" s="8">
        <f>IF(Hoja1!N71="","",(Hoja1!N71/100)*$N$3)</f>
        <v>2</v>
      </c>
      <c r="O71" s="8">
        <f>IF(Hoja1!O71="","",(Hoja1!O71/100)*$O$3)</f>
        <v>0</v>
      </c>
      <c r="P71" s="8">
        <f>IF(Hoja1!P71="","",(Hoja1!P71/100)*$P$3)</f>
        <v>2</v>
      </c>
      <c r="Q71" s="8">
        <f>IF(Hoja1!Q71="","",(Hoja1!Q71/100)*$Q$3)</f>
        <v>0</v>
      </c>
      <c r="R71" s="8">
        <f>IF(Hoja1!R71="","",(Hoja1!R71/100)*$R$3)</f>
        <v>0</v>
      </c>
      <c r="S71" s="8">
        <f>IF(Hoja1!S71="","",(Hoja1!S71/100)*$S$3)</f>
        <v>0</v>
      </c>
      <c r="T71" s="61">
        <f t="shared" si="2"/>
        <v>10</v>
      </c>
      <c r="U71" s="17">
        <f>IF(Hoja1!U71="","",(Hoja1!U71/100)*$U$3)</f>
        <v>0</v>
      </c>
      <c r="W71" t="str">
        <f t="shared" si="3"/>
        <v>REPROBADO</v>
      </c>
    </row>
    <row r="72" spans="3:23" x14ac:dyDescent="0.35">
      <c r="C72" s="8">
        <v>68</v>
      </c>
      <c r="D72" s="8">
        <v>202531883</v>
      </c>
      <c r="E72" s="12" t="s">
        <v>70</v>
      </c>
      <c r="F72" s="25">
        <f>IF(Hoja1!F72="","",(Hoja1!F72/100)*$F$3)</f>
        <v>0.5</v>
      </c>
      <c r="G72" s="8">
        <f>IF(Hoja1!G72="","",(Hoja1!G72/100)*$G$3)</f>
        <v>0</v>
      </c>
      <c r="H72" s="8">
        <f>IF(Hoja1!H72="","",(Hoja1!H72/100)*$H$3)</f>
        <v>0.5</v>
      </c>
      <c r="I72" s="26">
        <f>IF(Hoja1!I72="","",(Hoja1!I72/100)*$I$3)</f>
        <v>0.5</v>
      </c>
      <c r="J72" s="25">
        <f>IF(Hoja1!J72="","",(Hoja1!J72/100)*$J$3)</f>
        <v>0.85</v>
      </c>
      <c r="K72" s="8">
        <f>IF(Hoja1!K72="","",(Hoja1!K72/100)*$K$3)</f>
        <v>1</v>
      </c>
      <c r="L72" s="8">
        <f>IF(Hoja1!L72="","",(Hoja1!L72/100)*$L$3)</f>
        <v>1</v>
      </c>
      <c r="M72" s="8">
        <f>IF(Hoja1!M72="","",(Hoja1!M72/100)*$M$3)</f>
        <v>1.5</v>
      </c>
      <c r="N72" s="8">
        <f>IF(Hoja1!N72="","",(Hoja1!N72/100)*$N$3)</f>
        <v>1.8</v>
      </c>
      <c r="O72" s="8">
        <f>IF(Hoja1!O72="","",(Hoja1!O72/100)*$O$3)</f>
        <v>1.9</v>
      </c>
      <c r="P72" s="8">
        <f>IF(Hoja1!P72="","",(Hoja1!P72/100)*$P$3)</f>
        <v>1.7</v>
      </c>
      <c r="Q72" s="8">
        <f>IF(Hoja1!Q72="","",(Hoja1!Q72/100)*$Q$3)</f>
        <v>0.95</v>
      </c>
      <c r="R72" s="8">
        <f>IF(Hoja1!R72="","",(Hoja1!R72/100)*$R$3)</f>
        <v>0</v>
      </c>
      <c r="S72" s="8">
        <f>IF(Hoja1!S72="","",(Hoja1!S72/100)*$S$3)</f>
        <v>5</v>
      </c>
      <c r="T72" s="61">
        <f t="shared" si="2"/>
        <v>18.199999999999996</v>
      </c>
      <c r="U72" s="17">
        <f>IF(Hoja1!U72="","",(Hoja1!U72/100)*$U$3)</f>
        <v>1</v>
      </c>
      <c r="W72" t="str">
        <f t="shared" si="3"/>
        <v>APROBADO</v>
      </c>
    </row>
    <row r="73" spans="3:23" x14ac:dyDescent="0.35">
      <c r="C73" s="8">
        <v>69</v>
      </c>
      <c r="D73" s="8">
        <v>202531947</v>
      </c>
      <c r="E73" s="12" t="s">
        <v>71</v>
      </c>
      <c r="F73" s="25">
        <f>IF(Hoja1!F73="","",(Hoja1!F73/100)*$F$3)</f>
        <v>0.5</v>
      </c>
      <c r="G73" s="8">
        <f>IF(Hoja1!G73="","",(Hoja1!G73/100)*$G$3)</f>
        <v>0</v>
      </c>
      <c r="H73" s="8">
        <f>IF(Hoja1!H73="","",(Hoja1!H73/100)*$H$3)</f>
        <v>0.5</v>
      </c>
      <c r="I73" s="26">
        <f>IF(Hoja1!I73="","",(Hoja1!I73/100)*$I$3)</f>
        <v>0</v>
      </c>
      <c r="J73" s="25">
        <f>IF(Hoja1!J73="","",(Hoja1!J73/100)*$J$3)</f>
        <v>0.85</v>
      </c>
      <c r="K73" s="8">
        <f>IF(Hoja1!K73="","",(Hoja1!K73/100)*$K$3)</f>
        <v>0.75</v>
      </c>
      <c r="L73" s="8">
        <f>IF(Hoja1!L73="","",(Hoja1!L73/100)*$L$3)</f>
        <v>1</v>
      </c>
      <c r="M73" s="8">
        <f>IF(Hoja1!M73="","",(Hoja1!M73/100)*$M$3)</f>
        <v>1.5</v>
      </c>
      <c r="N73" s="8">
        <f>IF(Hoja1!N73="","",(Hoja1!N73/100)*$N$3)</f>
        <v>1</v>
      </c>
      <c r="O73" s="8">
        <f>IF(Hoja1!O73="","",(Hoja1!O73/100)*$O$3)</f>
        <v>1.8</v>
      </c>
      <c r="P73" s="8">
        <f>IF(Hoja1!P73="","",(Hoja1!P73/100)*$P$3)</f>
        <v>1.4</v>
      </c>
      <c r="Q73" s="8">
        <f>IF(Hoja1!Q73="","",(Hoja1!Q73/100)*$Q$3)</f>
        <v>0</v>
      </c>
      <c r="R73" s="8">
        <f>IF(Hoja1!R73="","",(Hoja1!R73/100)*$R$3)</f>
        <v>0</v>
      </c>
      <c r="S73" s="8">
        <f>IF(Hoja1!S73="","",(Hoja1!S73/100)*$S$3)</f>
        <v>0</v>
      </c>
      <c r="T73" s="61">
        <f t="shared" si="2"/>
        <v>9.2999999999999989</v>
      </c>
      <c r="U73" s="17">
        <f>IF(Hoja1!U73="","",(Hoja1!U73/100)*$U$3)</f>
        <v>0</v>
      </c>
      <c r="W73" t="str">
        <f t="shared" si="3"/>
        <v>REPROBADO</v>
      </c>
    </row>
    <row r="74" spans="3:23" x14ac:dyDescent="0.35">
      <c r="C74" s="8">
        <v>70</v>
      </c>
      <c r="D74" s="8">
        <v>202532062</v>
      </c>
      <c r="E74" s="12" t="s">
        <v>72</v>
      </c>
      <c r="F74" s="25">
        <f>IF(Hoja1!F74="","",(Hoja1!F74/100)*$F$3)</f>
        <v>0</v>
      </c>
      <c r="G74" s="8">
        <f>IF(Hoja1!G74="","",(Hoja1!G74/100)*$G$3)</f>
        <v>0</v>
      </c>
      <c r="H74" s="8">
        <f>IF(Hoja1!H74="","",(Hoja1!H74/100)*$H$3)</f>
        <v>0.5</v>
      </c>
      <c r="I74" s="26">
        <f>IF(Hoja1!I74="","",(Hoja1!I74/100)*$I$3)</f>
        <v>0</v>
      </c>
      <c r="J74" s="25">
        <f>IF(Hoja1!J74="","",(Hoja1!J74/100)*$J$3)</f>
        <v>0.85</v>
      </c>
      <c r="K74" s="8">
        <f>IF(Hoja1!K74="","",(Hoja1!K74/100)*$K$3)</f>
        <v>0</v>
      </c>
      <c r="L74" s="8">
        <f>IF(Hoja1!L74="","",(Hoja1!L74/100)*$L$3)</f>
        <v>1</v>
      </c>
      <c r="M74" s="8">
        <f>IF(Hoja1!M74="","",(Hoja1!M74/100)*$M$3)</f>
        <v>1.5</v>
      </c>
      <c r="N74" s="8">
        <f>IF(Hoja1!N74="","",(Hoja1!N74/100)*$N$3)</f>
        <v>1</v>
      </c>
      <c r="O74" s="8">
        <f>IF(Hoja1!O74="","",(Hoja1!O74/100)*$O$3)</f>
        <v>0</v>
      </c>
      <c r="P74" s="8">
        <f>IF(Hoja1!P74="","",(Hoja1!P74/100)*$P$3)</f>
        <v>0.4</v>
      </c>
      <c r="Q74" s="8">
        <f>IF(Hoja1!Q74="","",(Hoja1!Q74/100)*$Q$3)</f>
        <v>1</v>
      </c>
      <c r="R74" s="8">
        <f>IF(Hoja1!R74="","",(Hoja1!R74/100)*$R$3)</f>
        <v>1.5</v>
      </c>
      <c r="S74" s="8">
        <f>IF(Hoja1!S74="","",(Hoja1!S74/100)*$S$3)</f>
        <v>5</v>
      </c>
      <c r="T74" s="61">
        <f t="shared" si="2"/>
        <v>12.75</v>
      </c>
      <c r="U74" s="17">
        <f>IF(Hoja1!U74="","",(Hoja1!U74/100)*$U$3)</f>
        <v>0</v>
      </c>
      <c r="W74" t="str">
        <f t="shared" si="3"/>
        <v>APROBADO</v>
      </c>
    </row>
    <row r="75" spans="3:23" x14ac:dyDescent="0.35">
      <c r="C75" s="8">
        <v>71</v>
      </c>
      <c r="D75" s="8">
        <v>202532079</v>
      </c>
      <c r="E75" s="12" t="s">
        <v>73</v>
      </c>
      <c r="F75" s="25">
        <f>IF(Hoja1!F75="","",(Hoja1!F75/100)*$F$3)</f>
        <v>0</v>
      </c>
      <c r="G75" s="8">
        <f>IF(Hoja1!G75="","",(Hoja1!G75/100)*$G$3)</f>
        <v>0</v>
      </c>
      <c r="H75" s="8">
        <f>IF(Hoja1!H75="","",(Hoja1!H75/100)*$H$3)</f>
        <v>0.5</v>
      </c>
      <c r="I75" s="26">
        <f>IF(Hoja1!I75="","",(Hoja1!I75/100)*$I$3)</f>
        <v>0</v>
      </c>
      <c r="J75" s="25">
        <f>IF(Hoja1!J75="","",(Hoja1!J75/100)*$J$3)</f>
        <v>0</v>
      </c>
      <c r="K75" s="8">
        <f>IF(Hoja1!K75="","",(Hoja1!K75/100)*$K$3)</f>
        <v>0.5</v>
      </c>
      <c r="L75" s="8">
        <f>IF(Hoja1!L75="","",(Hoja1!L75/100)*$L$3)</f>
        <v>0</v>
      </c>
      <c r="M75" s="8">
        <f>IF(Hoja1!M75="","",(Hoja1!M75/100)*$M$3)</f>
        <v>0</v>
      </c>
      <c r="N75" s="8">
        <f>IF(Hoja1!N75="","",(Hoja1!N75/100)*$N$3)</f>
        <v>0</v>
      </c>
      <c r="O75" s="8">
        <f>IF(Hoja1!O75="","",(Hoja1!O75/100)*$O$3)</f>
        <v>0</v>
      </c>
      <c r="P75" s="8">
        <f>IF(Hoja1!P75="","",(Hoja1!P75/100)*$P$3)</f>
        <v>0</v>
      </c>
      <c r="Q75" s="8">
        <f>IF(Hoja1!Q75="","",(Hoja1!Q75/100)*$Q$3)</f>
        <v>0</v>
      </c>
      <c r="R75" s="8">
        <f>IF(Hoja1!R75="","",(Hoja1!R75/100)*$R$3)</f>
        <v>0</v>
      </c>
      <c r="S75" s="8">
        <f>IF(Hoja1!S75="","",(Hoja1!S75/100)*$S$3)</f>
        <v>0</v>
      </c>
      <c r="T75" s="61">
        <f t="shared" si="2"/>
        <v>1</v>
      </c>
      <c r="U75" s="17">
        <f>IF(Hoja1!U75="","",(Hoja1!U75/100)*$U$3)</f>
        <v>0</v>
      </c>
      <c r="W75" t="str">
        <f t="shared" si="3"/>
        <v>REPROBADO</v>
      </c>
    </row>
    <row r="76" spans="3:23" x14ac:dyDescent="0.35">
      <c r="C76" s="8">
        <v>72</v>
      </c>
      <c r="D76" s="8">
        <v>202530466</v>
      </c>
      <c r="E76" s="12" t="s">
        <v>74</v>
      </c>
      <c r="F76" s="25">
        <f>IF(Hoja1!F76="","",(Hoja1!F76/100)*$F$3)</f>
        <v>0.5</v>
      </c>
      <c r="G76" s="8">
        <f>IF(Hoja1!G76="","",(Hoja1!G76/100)*$G$3)</f>
        <v>0</v>
      </c>
      <c r="H76" s="8">
        <f>IF(Hoja1!H76="","",(Hoja1!H76/100)*$H$3)</f>
        <v>0.5</v>
      </c>
      <c r="I76" s="26">
        <f>IF(Hoja1!I76="","",(Hoja1!I76/100)*$I$3)</f>
        <v>0.5</v>
      </c>
      <c r="J76" s="25">
        <f>IF(Hoja1!J76="","",(Hoja1!J76/100)*$J$3)</f>
        <v>1</v>
      </c>
      <c r="K76" s="8">
        <f>IF(Hoja1!K76="","",(Hoja1!K76/100)*$K$3)</f>
        <v>1</v>
      </c>
      <c r="L76" s="8">
        <f>IF(Hoja1!L76="","",(Hoja1!L76/100)*$L$3)</f>
        <v>1</v>
      </c>
      <c r="M76" s="8">
        <f>IF(Hoja1!M76="","",(Hoja1!M76/100)*$M$3)</f>
        <v>1.5</v>
      </c>
      <c r="N76" s="8">
        <f>IF(Hoja1!N76="","",(Hoja1!N76/100)*$N$3)</f>
        <v>2</v>
      </c>
      <c r="O76" s="8">
        <f>IF(Hoja1!O76="","",(Hoja1!O76/100)*$O$3)</f>
        <v>2</v>
      </c>
      <c r="P76" s="8">
        <f>IF(Hoja1!P76="","",(Hoja1!P76/100)*$P$3)</f>
        <v>2</v>
      </c>
      <c r="Q76" s="8">
        <f>IF(Hoja1!Q76="","",(Hoja1!Q76/100)*$Q$3)</f>
        <v>1</v>
      </c>
      <c r="R76" s="8">
        <f>IF(Hoja1!R76="","",(Hoja1!R76/100)*$R$3)</f>
        <v>1.5</v>
      </c>
      <c r="S76" s="8">
        <f>IF(Hoja1!S76="","",(Hoja1!S76/100)*$S$3)</f>
        <v>5</v>
      </c>
      <c r="T76" s="61">
        <f t="shared" si="2"/>
        <v>19.5</v>
      </c>
      <c r="U76" s="17">
        <f>IF(Hoja1!U76="","",(Hoja1!U76/100)*$U$3)</f>
        <v>0</v>
      </c>
      <c r="W76" t="str">
        <f t="shared" si="3"/>
        <v>APROBADO</v>
      </c>
    </row>
    <row r="77" spans="3:23" ht="15" thickBot="1" x14ac:dyDescent="0.4">
      <c r="C77" s="8">
        <v>73</v>
      </c>
      <c r="D77" s="8">
        <v>202030192</v>
      </c>
      <c r="E77" s="12" t="s">
        <v>75</v>
      </c>
      <c r="F77" s="27">
        <f>IF(Hoja1!F77="","",(Hoja1!F77/100)*$F$3)</f>
        <v>0</v>
      </c>
      <c r="G77" s="28">
        <f>IF(Hoja1!G77="","",(Hoja1!G77/100)*$G$3)</f>
        <v>0</v>
      </c>
      <c r="H77" s="28">
        <f>IF(Hoja1!H77="","",(Hoja1!H77/100)*$H$3)</f>
        <v>0.25</v>
      </c>
      <c r="I77" s="29">
        <f>IF(Hoja1!I77="","",(Hoja1!I77/100)*$I$3)</f>
        <v>0.375</v>
      </c>
      <c r="J77" s="27">
        <f>IF(Hoja1!J77="","",(Hoja1!J77/100)*$J$3)</f>
        <v>0</v>
      </c>
      <c r="K77" s="28">
        <f>IF(Hoja1!K77="","",(Hoja1!K77/100)*$K$3)</f>
        <v>1</v>
      </c>
      <c r="L77" s="28">
        <f>IF(Hoja1!L77="","",(Hoja1!L77/100)*$L$3)</f>
        <v>1</v>
      </c>
      <c r="M77" s="28">
        <f>IF(Hoja1!M77="","",(Hoja1!M77/100)*$M$3)</f>
        <v>1.5</v>
      </c>
      <c r="N77" s="28">
        <f>IF(Hoja1!N77="","",(Hoja1!N77/100)*$N$3)</f>
        <v>2</v>
      </c>
      <c r="O77" s="28">
        <f>IF(Hoja1!O77="","",(Hoja1!O77/100)*$O$3)</f>
        <v>1.7</v>
      </c>
      <c r="P77" s="28">
        <f>IF(Hoja1!P77="","",(Hoja1!P77/100)*$P$3)</f>
        <v>0</v>
      </c>
      <c r="Q77" s="28">
        <f>IF(Hoja1!Q77="","",(Hoja1!Q77/100)*$Q$3)</f>
        <v>0</v>
      </c>
      <c r="R77" s="28">
        <f>IF(Hoja1!R77="","",(Hoja1!R77/100)*$R$3)</f>
        <v>0</v>
      </c>
      <c r="S77" s="28">
        <f>IF(Hoja1!S77="","",(Hoja1!S77/100)*$S$3)</f>
        <v>0</v>
      </c>
      <c r="T77" s="62">
        <f t="shared" si="2"/>
        <v>7.8250000000000002</v>
      </c>
      <c r="U77" s="17">
        <f>IF(Hoja1!U77="","",(Hoja1!U77/100)*$U$3)</f>
        <v>0</v>
      </c>
      <c r="W77" t="str">
        <f t="shared" si="3"/>
        <v>REPROBADO</v>
      </c>
    </row>
  </sheetData>
  <conditionalFormatting sqref="W5:W77">
    <cfRule type="containsText" dxfId="1" priority="1" operator="containsText" text="REPROBADO">
      <formula>NOT(ISERROR(SEARCH("REPROBADO",W5)))</formula>
    </cfRule>
    <cfRule type="containsText" dxfId="0" priority="2" operator="containsText" text="APROBADO">
      <formula>NOT(ISERROR(SEARCH("APROBADO",W5)))</formula>
    </cfRule>
  </conditionalFormatting>
  <pageMargins left="0.25" right="0.25" top="0.75" bottom="0.75" header="0.3" footer="0.3"/>
  <pageSetup orientation="landscape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CF4D4-3218-43A8-AA91-88CF858413FA}">
  <dimension ref="A1:S76"/>
  <sheetViews>
    <sheetView zoomScale="55" zoomScaleNormal="55" workbookViewId="0">
      <selection activeCell="M5" sqref="M5"/>
    </sheetView>
  </sheetViews>
  <sheetFormatPr baseColWidth="10" defaultRowHeight="15.5" x14ac:dyDescent="0.35"/>
  <cols>
    <col min="1" max="1" width="4.90625" style="43" customWidth="1"/>
    <col min="2" max="2" width="12.6328125" style="43" customWidth="1"/>
    <col min="3" max="3" width="39.36328125" style="43" customWidth="1"/>
    <col min="4" max="7" width="7.453125" style="43" customWidth="1"/>
    <col min="8" max="17" width="9.6328125" style="43" customWidth="1"/>
    <col min="18" max="18" width="9.6328125" style="35" customWidth="1"/>
    <col min="19" max="19" width="9.6328125" style="43" customWidth="1"/>
    <col min="20" max="16384" width="10.90625" style="43"/>
  </cols>
  <sheetData>
    <row r="1" spans="1:19" ht="109.5" x14ac:dyDescent="0.35">
      <c r="A1" s="36"/>
      <c r="B1" s="37"/>
      <c r="C1" s="38"/>
      <c r="D1" s="39" t="s">
        <v>89</v>
      </c>
      <c r="E1" s="40" t="s">
        <v>90</v>
      </c>
      <c r="F1" s="40" t="s">
        <v>91</v>
      </c>
      <c r="G1" s="41" t="s">
        <v>92</v>
      </c>
      <c r="H1" s="39" t="s">
        <v>93</v>
      </c>
      <c r="I1" s="40" t="s">
        <v>94</v>
      </c>
      <c r="J1" s="40" t="s">
        <v>95</v>
      </c>
      <c r="K1" s="40" t="s">
        <v>106</v>
      </c>
      <c r="L1" s="40" t="s">
        <v>108</v>
      </c>
      <c r="M1" s="40" t="s">
        <v>97</v>
      </c>
      <c r="N1" s="40" t="s">
        <v>98</v>
      </c>
      <c r="O1" s="40" t="s">
        <v>99</v>
      </c>
      <c r="P1" s="40" t="s">
        <v>100</v>
      </c>
      <c r="Q1" s="40" t="s">
        <v>102</v>
      </c>
      <c r="R1" s="30" t="s">
        <v>105</v>
      </c>
      <c r="S1" s="42" t="s">
        <v>101</v>
      </c>
    </row>
    <row r="2" spans="1:19" x14ac:dyDescent="0.35">
      <c r="A2" s="44"/>
      <c r="B2" s="44"/>
      <c r="C2" s="45" t="s">
        <v>107</v>
      </c>
      <c r="D2" s="46">
        <v>0.5</v>
      </c>
      <c r="E2" s="47">
        <v>0.5</v>
      </c>
      <c r="F2" s="47">
        <v>0.5</v>
      </c>
      <c r="G2" s="31">
        <v>0.5</v>
      </c>
      <c r="H2" s="46">
        <v>1</v>
      </c>
      <c r="I2" s="47">
        <v>1</v>
      </c>
      <c r="J2" s="47">
        <v>1</v>
      </c>
      <c r="K2" s="47">
        <v>1.5</v>
      </c>
      <c r="L2" s="47">
        <v>2</v>
      </c>
      <c r="M2" s="47">
        <v>2</v>
      </c>
      <c r="N2" s="47">
        <v>2</v>
      </c>
      <c r="O2" s="47">
        <v>1</v>
      </c>
      <c r="P2" s="47">
        <v>1.5</v>
      </c>
      <c r="Q2" s="47">
        <v>5</v>
      </c>
      <c r="R2" s="31">
        <f>SUM(D2:Q2)</f>
        <v>20</v>
      </c>
      <c r="S2" s="48">
        <v>1</v>
      </c>
    </row>
    <row r="3" spans="1:19" x14ac:dyDescent="0.35">
      <c r="A3" s="37" t="s">
        <v>0</v>
      </c>
      <c r="B3" s="37" t="s">
        <v>1</v>
      </c>
      <c r="C3" s="38" t="s">
        <v>2</v>
      </c>
      <c r="D3" s="49" t="s">
        <v>81</v>
      </c>
      <c r="E3" s="50" t="s">
        <v>82</v>
      </c>
      <c r="F3" s="50" t="s">
        <v>83</v>
      </c>
      <c r="G3" s="51" t="s">
        <v>84</v>
      </c>
      <c r="H3" s="49" t="s">
        <v>85</v>
      </c>
      <c r="I3" s="50" t="s">
        <v>85</v>
      </c>
      <c r="J3" s="50" t="s">
        <v>86</v>
      </c>
      <c r="K3" s="50" t="s">
        <v>86</v>
      </c>
      <c r="L3" s="50" t="s">
        <v>87</v>
      </c>
      <c r="M3" s="50" t="s">
        <v>88</v>
      </c>
      <c r="N3" s="50" t="s">
        <v>86</v>
      </c>
      <c r="O3" s="50" t="s">
        <v>86</v>
      </c>
      <c r="P3" s="50" t="s">
        <v>86</v>
      </c>
      <c r="Q3" s="50" t="s">
        <v>103</v>
      </c>
      <c r="R3" s="32" t="s">
        <v>104</v>
      </c>
      <c r="S3" s="52" t="s">
        <v>80</v>
      </c>
    </row>
    <row r="4" spans="1:19" x14ac:dyDescent="0.35">
      <c r="A4" s="37">
        <v>1</v>
      </c>
      <c r="B4" s="37">
        <v>202030174</v>
      </c>
      <c r="C4" s="38" t="s">
        <v>3</v>
      </c>
      <c r="D4" s="53">
        <v>0</v>
      </c>
      <c r="E4" s="37">
        <v>0</v>
      </c>
      <c r="F4" s="37">
        <v>0.25</v>
      </c>
      <c r="G4" s="54">
        <v>0</v>
      </c>
      <c r="H4" s="53">
        <v>0</v>
      </c>
      <c r="I4" s="37">
        <v>0</v>
      </c>
      <c r="J4" s="37">
        <v>0</v>
      </c>
      <c r="K4" s="37">
        <v>1.5</v>
      </c>
      <c r="L4" s="37">
        <v>0</v>
      </c>
      <c r="M4" s="37">
        <v>0</v>
      </c>
      <c r="N4" s="37">
        <v>2</v>
      </c>
      <c r="O4" s="37">
        <v>0</v>
      </c>
      <c r="P4" s="37">
        <v>0</v>
      </c>
      <c r="Q4" s="37">
        <v>0</v>
      </c>
      <c r="R4" s="33">
        <v>3.75</v>
      </c>
      <c r="S4" s="55">
        <v>0</v>
      </c>
    </row>
    <row r="5" spans="1:19" x14ac:dyDescent="0.35">
      <c r="A5" s="37">
        <v>2</v>
      </c>
      <c r="B5" s="37">
        <v>202032032</v>
      </c>
      <c r="C5" s="38" t="s">
        <v>4</v>
      </c>
      <c r="D5" s="53">
        <v>0.5</v>
      </c>
      <c r="E5" s="37">
        <v>0</v>
      </c>
      <c r="F5" s="37">
        <v>0.25</v>
      </c>
      <c r="G5" s="54">
        <v>0.5</v>
      </c>
      <c r="H5" s="53">
        <v>1</v>
      </c>
      <c r="I5" s="37">
        <v>1</v>
      </c>
      <c r="J5" s="37">
        <v>1</v>
      </c>
      <c r="K5" s="37">
        <v>1.5</v>
      </c>
      <c r="L5" s="37">
        <v>1.6</v>
      </c>
      <c r="M5" s="37">
        <v>2</v>
      </c>
      <c r="N5" s="37">
        <v>2</v>
      </c>
      <c r="O5" s="37">
        <v>1</v>
      </c>
      <c r="P5" s="37">
        <v>1.5</v>
      </c>
      <c r="Q5" s="37">
        <v>5</v>
      </c>
      <c r="R5" s="33">
        <v>18.850000000000001</v>
      </c>
      <c r="S5" s="55">
        <v>0</v>
      </c>
    </row>
    <row r="6" spans="1:19" x14ac:dyDescent="0.35">
      <c r="A6" s="37">
        <v>3</v>
      </c>
      <c r="B6" s="37">
        <v>202231116</v>
      </c>
      <c r="C6" s="38" t="s">
        <v>5</v>
      </c>
      <c r="D6" s="53">
        <v>0.5</v>
      </c>
      <c r="E6" s="37">
        <v>0</v>
      </c>
      <c r="F6" s="37">
        <v>0.5</v>
      </c>
      <c r="G6" s="54">
        <v>0</v>
      </c>
      <c r="H6" s="53">
        <v>0.85</v>
      </c>
      <c r="I6" s="37">
        <v>1</v>
      </c>
      <c r="J6" s="37">
        <v>1</v>
      </c>
      <c r="K6" s="37">
        <v>1.5</v>
      </c>
      <c r="L6" s="37">
        <v>1.4</v>
      </c>
      <c r="M6" s="37">
        <v>0</v>
      </c>
      <c r="N6" s="37">
        <v>1.7</v>
      </c>
      <c r="O6" s="37">
        <v>0.8</v>
      </c>
      <c r="P6" s="37">
        <v>0</v>
      </c>
      <c r="Q6" s="37">
        <v>5</v>
      </c>
      <c r="R6" s="33">
        <v>15.25</v>
      </c>
      <c r="S6" s="55">
        <v>1</v>
      </c>
    </row>
    <row r="7" spans="1:19" x14ac:dyDescent="0.35">
      <c r="A7" s="37">
        <v>4</v>
      </c>
      <c r="B7" s="37">
        <v>202330276</v>
      </c>
      <c r="C7" s="38" t="s">
        <v>6</v>
      </c>
      <c r="D7" s="53">
        <v>0</v>
      </c>
      <c r="E7" s="37">
        <v>0</v>
      </c>
      <c r="F7" s="37">
        <v>0</v>
      </c>
      <c r="G7" s="54">
        <v>0</v>
      </c>
      <c r="H7" s="53">
        <v>0</v>
      </c>
      <c r="I7" s="37">
        <v>0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  <c r="Q7" s="37">
        <v>0</v>
      </c>
      <c r="R7" s="33">
        <v>0</v>
      </c>
      <c r="S7" s="55">
        <v>0</v>
      </c>
    </row>
    <row r="8" spans="1:19" x14ac:dyDescent="0.35">
      <c r="A8" s="37">
        <v>5</v>
      </c>
      <c r="B8" s="37">
        <v>202331587</v>
      </c>
      <c r="C8" s="38" t="s">
        <v>7</v>
      </c>
      <c r="D8" s="53">
        <v>0</v>
      </c>
      <c r="E8" s="37">
        <v>0</v>
      </c>
      <c r="F8" s="37">
        <v>0.5</v>
      </c>
      <c r="G8" s="54">
        <v>0.45</v>
      </c>
      <c r="H8" s="53">
        <v>0</v>
      </c>
      <c r="I8" s="37">
        <v>0.5</v>
      </c>
      <c r="J8" s="37">
        <v>0.9</v>
      </c>
      <c r="K8" s="37">
        <v>1.2000000000000002</v>
      </c>
      <c r="L8" s="37">
        <v>1.5</v>
      </c>
      <c r="M8" s="37">
        <v>1.7</v>
      </c>
      <c r="N8" s="37">
        <v>0</v>
      </c>
      <c r="O8" s="37">
        <v>1</v>
      </c>
      <c r="P8" s="37">
        <v>1.5</v>
      </c>
      <c r="Q8" s="37">
        <v>5</v>
      </c>
      <c r="R8" s="33">
        <v>15.25</v>
      </c>
      <c r="S8" s="55">
        <v>1</v>
      </c>
    </row>
    <row r="9" spans="1:19" x14ac:dyDescent="0.35">
      <c r="A9" s="37">
        <v>6</v>
      </c>
      <c r="B9" s="37">
        <v>202332049</v>
      </c>
      <c r="C9" s="38" t="s">
        <v>8</v>
      </c>
      <c r="D9" s="53">
        <v>0</v>
      </c>
      <c r="E9" s="37">
        <v>0</v>
      </c>
      <c r="F9" s="37">
        <v>0</v>
      </c>
      <c r="G9" s="54">
        <v>0</v>
      </c>
      <c r="H9" s="53">
        <v>0</v>
      </c>
      <c r="I9" s="37">
        <v>0</v>
      </c>
      <c r="J9" s="37">
        <v>0</v>
      </c>
      <c r="K9" s="37">
        <v>0</v>
      </c>
      <c r="L9" s="37">
        <v>0</v>
      </c>
      <c r="M9" s="37">
        <v>0</v>
      </c>
      <c r="N9" s="37">
        <v>0</v>
      </c>
      <c r="O9" s="37">
        <v>0</v>
      </c>
      <c r="P9" s="37">
        <v>0</v>
      </c>
      <c r="Q9" s="37">
        <v>0</v>
      </c>
      <c r="R9" s="33">
        <v>0</v>
      </c>
      <c r="S9" s="55">
        <v>0</v>
      </c>
    </row>
    <row r="10" spans="1:19" x14ac:dyDescent="0.35">
      <c r="A10" s="37">
        <v>7</v>
      </c>
      <c r="B10" s="37">
        <v>202402553</v>
      </c>
      <c r="C10" s="38" t="s">
        <v>9</v>
      </c>
      <c r="D10" s="53">
        <v>0.5</v>
      </c>
      <c r="E10" s="37">
        <v>0</v>
      </c>
      <c r="F10" s="37">
        <v>0.5</v>
      </c>
      <c r="G10" s="54">
        <v>0.45</v>
      </c>
      <c r="H10" s="53">
        <v>0.6</v>
      </c>
      <c r="I10" s="37">
        <v>0</v>
      </c>
      <c r="J10" s="37">
        <v>1</v>
      </c>
      <c r="K10" s="37">
        <v>1.5</v>
      </c>
      <c r="L10" s="37">
        <v>1</v>
      </c>
      <c r="M10" s="37">
        <v>0</v>
      </c>
      <c r="N10" s="37">
        <v>1.3</v>
      </c>
      <c r="O10" s="37">
        <v>0.8</v>
      </c>
      <c r="P10" s="37">
        <v>1.5</v>
      </c>
      <c r="Q10" s="37">
        <v>0</v>
      </c>
      <c r="R10" s="33">
        <v>9.1499999999999986</v>
      </c>
      <c r="S10" s="55">
        <v>0</v>
      </c>
    </row>
    <row r="11" spans="1:19" x14ac:dyDescent="0.35">
      <c r="A11" s="37">
        <v>8</v>
      </c>
      <c r="B11" s="37">
        <v>202430271</v>
      </c>
      <c r="C11" s="38" t="s">
        <v>10</v>
      </c>
      <c r="D11" s="53">
        <v>0</v>
      </c>
      <c r="E11" s="37">
        <v>0.5</v>
      </c>
      <c r="F11" s="37">
        <v>0</v>
      </c>
      <c r="G11" s="54">
        <v>0</v>
      </c>
      <c r="H11" s="53">
        <v>1</v>
      </c>
      <c r="I11" s="37">
        <v>1</v>
      </c>
      <c r="J11" s="37">
        <v>0</v>
      </c>
      <c r="K11" s="37">
        <v>0</v>
      </c>
      <c r="L11" s="37">
        <v>0</v>
      </c>
      <c r="M11" s="37">
        <v>0</v>
      </c>
      <c r="N11" s="37">
        <v>1.4</v>
      </c>
      <c r="O11" s="37">
        <v>0.8</v>
      </c>
      <c r="P11" s="37">
        <v>0</v>
      </c>
      <c r="Q11" s="37">
        <v>5</v>
      </c>
      <c r="R11" s="33">
        <v>9.6999999999999993</v>
      </c>
      <c r="S11" s="55">
        <v>0</v>
      </c>
    </row>
    <row r="12" spans="1:19" x14ac:dyDescent="0.35">
      <c r="A12" s="37">
        <v>9</v>
      </c>
      <c r="B12" s="37">
        <v>202430532</v>
      </c>
      <c r="C12" s="38" t="s">
        <v>11</v>
      </c>
      <c r="D12" s="53">
        <v>0.5</v>
      </c>
      <c r="E12" s="37">
        <v>0</v>
      </c>
      <c r="F12" s="37">
        <v>0.5</v>
      </c>
      <c r="G12" s="54">
        <v>0.5</v>
      </c>
      <c r="H12" s="53">
        <v>1</v>
      </c>
      <c r="I12" s="37">
        <v>1</v>
      </c>
      <c r="J12" s="37">
        <v>1</v>
      </c>
      <c r="K12" s="37">
        <v>1.5</v>
      </c>
      <c r="L12" s="37">
        <v>2</v>
      </c>
      <c r="M12" s="37">
        <v>1.3</v>
      </c>
      <c r="N12" s="37">
        <v>1.6</v>
      </c>
      <c r="O12" s="37">
        <v>1</v>
      </c>
      <c r="P12" s="37">
        <v>1.5</v>
      </c>
      <c r="Q12" s="37">
        <v>5</v>
      </c>
      <c r="R12" s="33">
        <v>18.399999999999999</v>
      </c>
      <c r="S12" s="55">
        <v>0</v>
      </c>
    </row>
    <row r="13" spans="1:19" x14ac:dyDescent="0.35">
      <c r="A13" s="37">
        <v>10</v>
      </c>
      <c r="B13" s="37">
        <v>202430589</v>
      </c>
      <c r="C13" s="38" t="s">
        <v>12</v>
      </c>
      <c r="D13" s="53">
        <v>0</v>
      </c>
      <c r="E13" s="37">
        <v>0</v>
      </c>
      <c r="F13" s="37">
        <v>0</v>
      </c>
      <c r="G13" s="54">
        <v>0.5</v>
      </c>
      <c r="H13" s="53">
        <v>0</v>
      </c>
      <c r="I13" s="37">
        <v>0</v>
      </c>
      <c r="J13" s="37">
        <v>1</v>
      </c>
      <c r="K13" s="37">
        <v>1.2000000000000002</v>
      </c>
      <c r="L13" s="37">
        <v>1.4</v>
      </c>
      <c r="M13" s="37">
        <v>0</v>
      </c>
      <c r="N13" s="37">
        <v>0</v>
      </c>
      <c r="O13" s="37">
        <v>0</v>
      </c>
      <c r="P13" s="37">
        <v>0</v>
      </c>
      <c r="Q13" s="37">
        <v>5</v>
      </c>
      <c r="R13" s="33">
        <v>9.1</v>
      </c>
      <c r="S13" s="55">
        <v>0</v>
      </c>
    </row>
    <row r="14" spans="1:19" x14ac:dyDescent="0.35">
      <c r="A14" s="37">
        <v>11</v>
      </c>
      <c r="B14" s="37">
        <v>202430602</v>
      </c>
      <c r="C14" s="38" t="s">
        <v>13</v>
      </c>
      <c r="D14" s="53">
        <v>0</v>
      </c>
      <c r="E14" s="37">
        <v>0</v>
      </c>
      <c r="F14" s="37">
        <v>0.5</v>
      </c>
      <c r="G14" s="54">
        <v>0</v>
      </c>
      <c r="H14" s="53">
        <v>0.6</v>
      </c>
      <c r="I14" s="37">
        <v>0</v>
      </c>
      <c r="J14" s="37">
        <v>0.9</v>
      </c>
      <c r="K14" s="37">
        <v>1.5</v>
      </c>
      <c r="L14" s="37">
        <v>0</v>
      </c>
      <c r="M14" s="37">
        <v>0</v>
      </c>
      <c r="N14" s="37">
        <v>0.6</v>
      </c>
      <c r="O14" s="37">
        <v>0</v>
      </c>
      <c r="P14" s="37">
        <v>0</v>
      </c>
      <c r="Q14" s="37">
        <v>0</v>
      </c>
      <c r="R14" s="33">
        <v>4.0999999999999996</v>
      </c>
      <c r="S14" s="55">
        <v>0</v>
      </c>
    </row>
    <row r="15" spans="1:19" x14ac:dyDescent="0.35">
      <c r="A15" s="37">
        <v>12</v>
      </c>
      <c r="B15" s="37">
        <v>202430633</v>
      </c>
      <c r="C15" s="38" t="s">
        <v>14</v>
      </c>
      <c r="D15" s="53">
        <v>0.5</v>
      </c>
      <c r="E15" s="37">
        <v>0</v>
      </c>
      <c r="F15" s="37">
        <v>0.5</v>
      </c>
      <c r="G15" s="54">
        <v>0.5</v>
      </c>
      <c r="H15" s="53">
        <v>1</v>
      </c>
      <c r="I15" s="37">
        <v>1</v>
      </c>
      <c r="J15" s="37">
        <v>1</v>
      </c>
      <c r="K15" s="37">
        <v>1.5</v>
      </c>
      <c r="L15" s="37">
        <v>1</v>
      </c>
      <c r="M15" s="37">
        <v>2</v>
      </c>
      <c r="N15" s="37">
        <v>1</v>
      </c>
      <c r="O15" s="37">
        <v>0</v>
      </c>
      <c r="P15" s="37">
        <v>0</v>
      </c>
      <c r="Q15" s="37">
        <v>5</v>
      </c>
      <c r="R15" s="33">
        <v>16</v>
      </c>
      <c r="S15" s="55">
        <v>1</v>
      </c>
    </row>
    <row r="16" spans="1:19" x14ac:dyDescent="0.35">
      <c r="A16" s="37">
        <v>13</v>
      </c>
      <c r="B16" s="37">
        <v>202430645</v>
      </c>
      <c r="C16" s="38" t="s">
        <v>15</v>
      </c>
      <c r="D16" s="53">
        <v>0.5</v>
      </c>
      <c r="E16" s="37">
        <v>0</v>
      </c>
      <c r="F16" s="37">
        <v>0.25</v>
      </c>
      <c r="G16" s="54">
        <v>0</v>
      </c>
      <c r="H16" s="53">
        <v>1</v>
      </c>
      <c r="I16" s="37">
        <v>0.85</v>
      </c>
      <c r="J16" s="37">
        <v>1</v>
      </c>
      <c r="K16" s="37">
        <v>1.5</v>
      </c>
      <c r="L16" s="37">
        <v>1.4</v>
      </c>
      <c r="M16" s="37">
        <v>1.5</v>
      </c>
      <c r="N16" s="37">
        <v>1.4</v>
      </c>
      <c r="O16" s="37">
        <v>1</v>
      </c>
      <c r="P16" s="37">
        <v>1.5</v>
      </c>
      <c r="Q16" s="37">
        <v>5</v>
      </c>
      <c r="R16" s="33">
        <v>16.899999999999999</v>
      </c>
      <c r="S16" s="55">
        <v>0</v>
      </c>
    </row>
    <row r="17" spans="1:19" x14ac:dyDescent="0.35">
      <c r="A17" s="37">
        <v>14</v>
      </c>
      <c r="B17" s="37">
        <v>202430733</v>
      </c>
      <c r="C17" s="38" t="s">
        <v>16</v>
      </c>
      <c r="D17" s="53">
        <v>0.5</v>
      </c>
      <c r="E17" s="37">
        <v>0</v>
      </c>
      <c r="F17" s="37">
        <v>0.25</v>
      </c>
      <c r="G17" s="54">
        <v>0.5</v>
      </c>
      <c r="H17" s="53">
        <v>0.85</v>
      </c>
      <c r="I17" s="37">
        <v>1</v>
      </c>
      <c r="J17" s="37">
        <v>1</v>
      </c>
      <c r="K17" s="37">
        <v>1.5</v>
      </c>
      <c r="L17" s="37">
        <v>1</v>
      </c>
      <c r="M17" s="37">
        <v>2</v>
      </c>
      <c r="N17" s="37">
        <v>2</v>
      </c>
      <c r="O17" s="37">
        <v>1</v>
      </c>
      <c r="P17" s="37">
        <v>1.5</v>
      </c>
      <c r="Q17" s="37">
        <v>5</v>
      </c>
      <c r="R17" s="33">
        <v>19.100000000000001</v>
      </c>
      <c r="S17" s="55">
        <v>1</v>
      </c>
    </row>
    <row r="18" spans="1:19" x14ac:dyDescent="0.35">
      <c r="A18" s="37">
        <v>15</v>
      </c>
      <c r="B18" s="37">
        <v>202430804</v>
      </c>
      <c r="C18" s="38" t="s">
        <v>17</v>
      </c>
      <c r="D18" s="53">
        <v>0.5</v>
      </c>
      <c r="E18" s="37">
        <v>0</v>
      </c>
      <c r="F18" s="37">
        <v>0</v>
      </c>
      <c r="G18" s="54">
        <v>0</v>
      </c>
      <c r="H18" s="53">
        <v>1</v>
      </c>
      <c r="I18" s="37">
        <v>1</v>
      </c>
      <c r="J18" s="37">
        <v>1</v>
      </c>
      <c r="K18" s="37">
        <v>1.5</v>
      </c>
      <c r="L18" s="37">
        <v>1.6</v>
      </c>
      <c r="M18" s="37">
        <v>2</v>
      </c>
      <c r="N18" s="37">
        <v>2</v>
      </c>
      <c r="O18" s="37">
        <v>0</v>
      </c>
      <c r="P18" s="37">
        <v>0</v>
      </c>
      <c r="Q18" s="37">
        <v>0</v>
      </c>
      <c r="R18" s="33">
        <v>10.6</v>
      </c>
      <c r="S18" s="55">
        <v>0</v>
      </c>
    </row>
    <row r="19" spans="1:19" x14ac:dyDescent="0.35">
      <c r="A19" s="37">
        <v>16</v>
      </c>
      <c r="B19" s="37">
        <v>202430829</v>
      </c>
      <c r="C19" s="38" t="s">
        <v>18</v>
      </c>
      <c r="D19" s="53">
        <v>0.5</v>
      </c>
      <c r="E19" s="37">
        <v>0.5</v>
      </c>
      <c r="F19" s="37">
        <v>0.5</v>
      </c>
      <c r="G19" s="54">
        <v>0.45</v>
      </c>
      <c r="H19" s="53">
        <v>0.85</v>
      </c>
      <c r="I19" s="37">
        <v>1</v>
      </c>
      <c r="J19" s="37">
        <v>1</v>
      </c>
      <c r="K19" s="37">
        <v>1.5</v>
      </c>
      <c r="L19" s="37">
        <v>1.4</v>
      </c>
      <c r="M19" s="37">
        <v>1.7</v>
      </c>
      <c r="N19" s="37">
        <v>1.7</v>
      </c>
      <c r="O19" s="37">
        <v>0.8</v>
      </c>
      <c r="P19" s="37">
        <v>1.5</v>
      </c>
      <c r="Q19" s="37">
        <v>5</v>
      </c>
      <c r="R19" s="33">
        <v>18.399999999999999</v>
      </c>
      <c r="S19" s="55">
        <v>0</v>
      </c>
    </row>
    <row r="20" spans="1:19" x14ac:dyDescent="0.35">
      <c r="A20" s="37">
        <v>17</v>
      </c>
      <c r="B20" s="37">
        <v>202431169</v>
      </c>
      <c r="C20" s="38" t="s">
        <v>19</v>
      </c>
      <c r="D20" s="53">
        <v>0.5</v>
      </c>
      <c r="E20" s="37">
        <v>0</v>
      </c>
      <c r="F20" s="37">
        <v>0.25</v>
      </c>
      <c r="G20" s="54">
        <v>0.5</v>
      </c>
      <c r="H20" s="53">
        <v>0.85</v>
      </c>
      <c r="I20" s="37">
        <v>1</v>
      </c>
      <c r="J20" s="37">
        <v>1</v>
      </c>
      <c r="K20" s="37">
        <v>1.5</v>
      </c>
      <c r="L20" s="37">
        <v>1</v>
      </c>
      <c r="M20" s="37">
        <v>2</v>
      </c>
      <c r="N20" s="37">
        <v>2</v>
      </c>
      <c r="O20" s="37">
        <v>1</v>
      </c>
      <c r="P20" s="37">
        <v>1.5</v>
      </c>
      <c r="Q20" s="37">
        <v>5</v>
      </c>
      <c r="R20" s="33">
        <v>19.100000000000001</v>
      </c>
      <c r="S20" s="55">
        <v>1</v>
      </c>
    </row>
    <row r="21" spans="1:19" x14ac:dyDescent="0.35">
      <c r="A21" s="37">
        <v>18</v>
      </c>
      <c r="B21" s="37">
        <v>202431502</v>
      </c>
      <c r="C21" s="38" t="s">
        <v>20</v>
      </c>
      <c r="D21" s="53">
        <v>0.5</v>
      </c>
      <c r="E21" s="37">
        <v>0.5</v>
      </c>
      <c r="F21" s="37">
        <v>0.5</v>
      </c>
      <c r="G21" s="54">
        <v>0.5</v>
      </c>
      <c r="H21" s="53">
        <v>1</v>
      </c>
      <c r="I21" s="37">
        <v>1</v>
      </c>
      <c r="J21" s="37">
        <v>1</v>
      </c>
      <c r="K21" s="37">
        <v>1.5</v>
      </c>
      <c r="L21" s="37">
        <v>1</v>
      </c>
      <c r="M21" s="37">
        <v>1.8</v>
      </c>
      <c r="N21" s="37">
        <v>0.9</v>
      </c>
      <c r="O21" s="37">
        <v>0.8</v>
      </c>
      <c r="P21" s="37">
        <v>1.5</v>
      </c>
      <c r="Q21" s="37">
        <v>5</v>
      </c>
      <c r="R21" s="33">
        <v>17.5</v>
      </c>
      <c r="S21" s="55">
        <v>0</v>
      </c>
    </row>
    <row r="22" spans="1:19" x14ac:dyDescent="0.35">
      <c r="A22" s="37">
        <v>19</v>
      </c>
      <c r="B22" s="37">
        <v>202431726</v>
      </c>
      <c r="C22" s="38" t="s">
        <v>21</v>
      </c>
      <c r="D22" s="53">
        <v>0.5</v>
      </c>
      <c r="E22" s="37">
        <v>0</v>
      </c>
      <c r="F22" s="37">
        <v>0.5</v>
      </c>
      <c r="G22" s="54">
        <v>0.5</v>
      </c>
      <c r="H22" s="53">
        <v>0.75</v>
      </c>
      <c r="I22" s="37">
        <v>1</v>
      </c>
      <c r="J22" s="37">
        <v>1</v>
      </c>
      <c r="K22" s="37">
        <v>1.5</v>
      </c>
      <c r="L22" s="37">
        <v>1.8</v>
      </c>
      <c r="M22" s="37">
        <v>1.9</v>
      </c>
      <c r="N22" s="37">
        <v>1.8</v>
      </c>
      <c r="O22" s="37">
        <v>0</v>
      </c>
      <c r="P22" s="37">
        <v>0</v>
      </c>
      <c r="Q22" s="37">
        <v>0</v>
      </c>
      <c r="R22" s="33">
        <v>11.25</v>
      </c>
      <c r="S22" s="55">
        <v>0</v>
      </c>
    </row>
    <row r="23" spans="1:19" x14ac:dyDescent="0.35">
      <c r="A23" s="37">
        <v>20</v>
      </c>
      <c r="B23" s="37">
        <v>202431817</v>
      </c>
      <c r="C23" s="38" t="s">
        <v>22</v>
      </c>
      <c r="D23" s="53">
        <v>0</v>
      </c>
      <c r="E23" s="37">
        <v>0</v>
      </c>
      <c r="F23" s="37">
        <v>0.5</v>
      </c>
      <c r="G23" s="54">
        <v>0.5</v>
      </c>
      <c r="H23" s="53">
        <v>0</v>
      </c>
      <c r="I23" s="37">
        <v>0</v>
      </c>
      <c r="J23" s="37">
        <v>1</v>
      </c>
      <c r="K23" s="37">
        <v>0</v>
      </c>
      <c r="L23" s="37">
        <v>0</v>
      </c>
      <c r="M23" s="37">
        <v>0.3</v>
      </c>
      <c r="N23" s="37">
        <v>1.8</v>
      </c>
      <c r="O23" s="37">
        <v>1</v>
      </c>
      <c r="P23" s="37">
        <v>0</v>
      </c>
      <c r="Q23" s="37">
        <v>5</v>
      </c>
      <c r="R23" s="33">
        <v>10.1</v>
      </c>
      <c r="S23" s="55">
        <v>0</v>
      </c>
    </row>
    <row r="24" spans="1:19" x14ac:dyDescent="0.35">
      <c r="A24" s="37">
        <v>21</v>
      </c>
      <c r="B24" s="37">
        <v>202431819</v>
      </c>
      <c r="C24" s="38" t="s">
        <v>23</v>
      </c>
      <c r="D24" s="53">
        <v>0</v>
      </c>
      <c r="E24" s="37">
        <v>0.5</v>
      </c>
      <c r="F24" s="37">
        <v>0</v>
      </c>
      <c r="G24" s="54">
        <v>0</v>
      </c>
      <c r="H24" s="53">
        <v>0</v>
      </c>
      <c r="I24" s="37">
        <v>1</v>
      </c>
      <c r="J24" s="37">
        <v>0</v>
      </c>
      <c r="K24" s="37">
        <v>1.5</v>
      </c>
      <c r="L24" s="37">
        <v>0</v>
      </c>
      <c r="M24" s="37">
        <v>1.7</v>
      </c>
      <c r="N24" s="37">
        <v>1.4</v>
      </c>
      <c r="O24" s="37">
        <v>0.8</v>
      </c>
      <c r="P24" s="37">
        <v>1.5</v>
      </c>
      <c r="Q24" s="37">
        <v>5</v>
      </c>
      <c r="R24" s="33">
        <v>13.399999999999999</v>
      </c>
      <c r="S24" s="55">
        <v>0</v>
      </c>
    </row>
    <row r="25" spans="1:19" x14ac:dyDescent="0.35">
      <c r="A25" s="37">
        <v>22</v>
      </c>
      <c r="B25" s="37">
        <v>202431863</v>
      </c>
      <c r="C25" s="38" t="s">
        <v>24</v>
      </c>
      <c r="D25" s="53">
        <v>0.5</v>
      </c>
      <c r="E25" s="37">
        <v>0</v>
      </c>
      <c r="F25" s="37">
        <v>0</v>
      </c>
      <c r="G25" s="54">
        <v>0.5</v>
      </c>
      <c r="H25" s="53">
        <v>0.5</v>
      </c>
      <c r="I25" s="37">
        <v>0.5</v>
      </c>
      <c r="J25" s="37">
        <v>0.5</v>
      </c>
      <c r="K25" s="37">
        <v>1.5</v>
      </c>
      <c r="L25" s="37">
        <v>0.5</v>
      </c>
      <c r="M25" s="37">
        <v>0.5</v>
      </c>
      <c r="N25" s="37">
        <v>2</v>
      </c>
      <c r="O25" s="37">
        <v>0.8</v>
      </c>
      <c r="P25" s="37">
        <v>0</v>
      </c>
      <c r="Q25" s="37">
        <v>5</v>
      </c>
      <c r="R25" s="33">
        <v>12.8</v>
      </c>
      <c r="S25" s="55">
        <v>0</v>
      </c>
    </row>
    <row r="26" spans="1:19" x14ac:dyDescent="0.35">
      <c r="A26" s="37">
        <v>23</v>
      </c>
      <c r="B26" s="37">
        <v>202432080</v>
      </c>
      <c r="C26" s="38" t="s">
        <v>25</v>
      </c>
      <c r="D26" s="53">
        <v>0.5</v>
      </c>
      <c r="E26" s="37">
        <v>0</v>
      </c>
      <c r="F26" s="37">
        <v>0</v>
      </c>
      <c r="G26" s="54">
        <v>0</v>
      </c>
      <c r="H26" s="53">
        <v>0</v>
      </c>
      <c r="I26" s="37">
        <v>1</v>
      </c>
      <c r="J26" s="37">
        <v>1</v>
      </c>
      <c r="K26" s="37">
        <v>1.5</v>
      </c>
      <c r="L26" s="37">
        <v>1.4</v>
      </c>
      <c r="M26" s="37">
        <v>2</v>
      </c>
      <c r="N26" s="37">
        <v>2</v>
      </c>
      <c r="O26" s="37">
        <v>0</v>
      </c>
      <c r="P26" s="37">
        <v>0</v>
      </c>
      <c r="Q26" s="37">
        <v>0</v>
      </c>
      <c r="R26" s="33">
        <v>9.4</v>
      </c>
      <c r="S26" s="55">
        <v>0</v>
      </c>
    </row>
    <row r="27" spans="1:19" x14ac:dyDescent="0.35">
      <c r="A27" s="37">
        <v>24</v>
      </c>
      <c r="B27" s="37">
        <v>202432085</v>
      </c>
      <c r="C27" s="38" t="s">
        <v>26</v>
      </c>
      <c r="D27" s="53">
        <v>0.5</v>
      </c>
      <c r="E27" s="37">
        <v>0</v>
      </c>
      <c r="F27" s="37">
        <v>0.5</v>
      </c>
      <c r="G27" s="54">
        <v>0.5</v>
      </c>
      <c r="H27" s="53">
        <v>0.75</v>
      </c>
      <c r="I27" s="37">
        <v>1</v>
      </c>
      <c r="J27" s="37">
        <v>0.9</v>
      </c>
      <c r="K27" s="37">
        <v>1.5</v>
      </c>
      <c r="L27" s="37">
        <v>1.4</v>
      </c>
      <c r="M27" s="37">
        <v>1.9</v>
      </c>
      <c r="N27" s="37">
        <v>1.8</v>
      </c>
      <c r="O27" s="37">
        <v>0</v>
      </c>
      <c r="P27" s="37">
        <v>0</v>
      </c>
      <c r="Q27" s="37">
        <v>0</v>
      </c>
      <c r="R27" s="33">
        <v>10.750000000000002</v>
      </c>
      <c r="S27" s="55">
        <v>0</v>
      </c>
    </row>
    <row r="28" spans="1:19" x14ac:dyDescent="0.35">
      <c r="A28" s="37">
        <v>25</v>
      </c>
      <c r="B28" s="37">
        <v>202432137</v>
      </c>
      <c r="C28" s="38" t="s">
        <v>27</v>
      </c>
      <c r="D28" s="53">
        <v>0.5</v>
      </c>
      <c r="E28" s="37">
        <v>0</v>
      </c>
      <c r="F28" s="37">
        <v>0</v>
      </c>
      <c r="G28" s="54">
        <v>0.5</v>
      </c>
      <c r="H28" s="53">
        <v>0.5</v>
      </c>
      <c r="I28" s="37">
        <v>0.5</v>
      </c>
      <c r="J28" s="37">
        <v>0.5</v>
      </c>
      <c r="K28" s="37">
        <v>0</v>
      </c>
      <c r="L28" s="37">
        <v>0.5</v>
      </c>
      <c r="M28" s="37">
        <v>0.5</v>
      </c>
      <c r="N28" s="37">
        <v>2</v>
      </c>
      <c r="O28" s="37">
        <v>0.8</v>
      </c>
      <c r="P28" s="37">
        <v>0</v>
      </c>
      <c r="Q28" s="37">
        <v>5</v>
      </c>
      <c r="R28" s="33">
        <v>11.3</v>
      </c>
      <c r="S28" s="55">
        <v>0</v>
      </c>
    </row>
    <row r="29" spans="1:19" x14ac:dyDescent="0.35">
      <c r="A29" s="37">
        <v>26</v>
      </c>
      <c r="B29" s="37">
        <v>202530125</v>
      </c>
      <c r="C29" s="38" t="s">
        <v>28</v>
      </c>
      <c r="D29" s="53">
        <v>0</v>
      </c>
      <c r="E29" s="37">
        <v>0</v>
      </c>
      <c r="F29" s="37">
        <v>0.5</v>
      </c>
      <c r="G29" s="54">
        <v>0.5</v>
      </c>
      <c r="H29" s="53">
        <v>1</v>
      </c>
      <c r="I29" s="37">
        <v>0.75</v>
      </c>
      <c r="J29" s="37">
        <v>0.9</v>
      </c>
      <c r="K29" s="37">
        <v>1.5</v>
      </c>
      <c r="L29" s="37">
        <v>1.6</v>
      </c>
      <c r="M29" s="37">
        <v>1.8</v>
      </c>
      <c r="N29" s="37">
        <v>1.2</v>
      </c>
      <c r="O29" s="37">
        <v>0</v>
      </c>
      <c r="P29" s="37">
        <v>0</v>
      </c>
      <c r="Q29" s="37">
        <v>0</v>
      </c>
      <c r="R29" s="33">
        <v>9.75</v>
      </c>
      <c r="S29" s="55">
        <v>0</v>
      </c>
    </row>
    <row r="30" spans="1:19" x14ac:dyDescent="0.35">
      <c r="A30" s="37">
        <v>27</v>
      </c>
      <c r="B30" s="37">
        <v>202530235</v>
      </c>
      <c r="C30" s="38" t="s">
        <v>29</v>
      </c>
      <c r="D30" s="53">
        <v>0.5</v>
      </c>
      <c r="E30" s="37">
        <v>0</v>
      </c>
      <c r="F30" s="37">
        <v>0.5</v>
      </c>
      <c r="G30" s="54">
        <v>0.5</v>
      </c>
      <c r="H30" s="53">
        <v>1</v>
      </c>
      <c r="I30" s="37">
        <v>1</v>
      </c>
      <c r="J30" s="37">
        <v>1</v>
      </c>
      <c r="K30" s="37">
        <v>1.5</v>
      </c>
      <c r="L30" s="37">
        <v>2</v>
      </c>
      <c r="M30" s="37">
        <v>0</v>
      </c>
      <c r="N30" s="37">
        <v>2</v>
      </c>
      <c r="O30" s="37">
        <v>0.8</v>
      </c>
      <c r="P30" s="37">
        <v>1.5</v>
      </c>
      <c r="Q30" s="37">
        <v>5</v>
      </c>
      <c r="R30" s="33">
        <v>18.3</v>
      </c>
      <c r="S30" s="55">
        <v>1</v>
      </c>
    </row>
    <row r="31" spans="1:19" x14ac:dyDescent="0.35">
      <c r="A31" s="37">
        <v>28</v>
      </c>
      <c r="B31" s="37">
        <v>202530265</v>
      </c>
      <c r="C31" s="38" t="s">
        <v>30</v>
      </c>
      <c r="D31" s="53">
        <v>0.5</v>
      </c>
      <c r="E31" s="37">
        <v>0.5</v>
      </c>
      <c r="F31" s="37">
        <v>0.5</v>
      </c>
      <c r="G31" s="54">
        <v>0.5</v>
      </c>
      <c r="H31" s="53">
        <v>1</v>
      </c>
      <c r="I31" s="37">
        <v>0.9</v>
      </c>
      <c r="J31" s="37">
        <v>1</v>
      </c>
      <c r="K31" s="37">
        <v>1.5</v>
      </c>
      <c r="L31" s="37">
        <v>1.4</v>
      </c>
      <c r="M31" s="37">
        <v>2</v>
      </c>
      <c r="N31" s="37">
        <v>2</v>
      </c>
      <c r="O31" s="37">
        <v>0.9</v>
      </c>
      <c r="P31" s="37">
        <v>1.5</v>
      </c>
      <c r="Q31" s="37">
        <v>5</v>
      </c>
      <c r="R31" s="33">
        <v>19.200000000000003</v>
      </c>
      <c r="S31" s="55">
        <v>0</v>
      </c>
    </row>
    <row r="32" spans="1:19" x14ac:dyDescent="0.35">
      <c r="A32" s="37">
        <v>29</v>
      </c>
      <c r="B32" s="37">
        <v>202530315</v>
      </c>
      <c r="C32" s="38" t="s">
        <v>31</v>
      </c>
      <c r="D32" s="53">
        <v>0.5</v>
      </c>
      <c r="E32" s="37">
        <v>0</v>
      </c>
      <c r="F32" s="37">
        <v>0.5</v>
      </c>
      <c r="G32" s="54">
        <v>0.5</v>
      </c>
      <c r="H32" s="53">
        <v>1</v>
      </c>
      <c r="I32" s="37">
        <v>1</v>
      </c>
      <c r="J32" s="37">
        <v>1</v>
      </c>
      <c r="K32" s="37">
        <v>1.5</v>
      </c>
      <c r="L32" s="37">
        <v>1</v>
      </c>
      <c r="M32" s="37">
        <v>2</v>
      </c>
      <c r="N32" s="37">
        <v>1</v>
      </c>
      <c r="O32" s="37">
        <v>0.8</v>
      </c>
      <c r="P32" s="37">
        <v>1.5</v>
      </c>
      <c r="Q32" s="37">
        <v>5</v>
      </c>
      <c r="R32" s="33">
        <v>17.3</v>
      </c>
      <c r="S32" s="55">
        <v>0</v>
      </c>
    </row>
    <row r="33" spans="1:19" x14ac:dyDescent="0.35">
      <c r="A33" s="37">
        <v>30</v>
      </c>
      <c r="B33" s="37">
        <v>202530329</v>
      </c>
      <c r="C33" s="38" t="s">
        <v>32</v>
      </c>
      <c r="D33" s="53">
        <v>0.5</v>
      </c>
      <c r="E33" s="37">
        <v>0</v>
      </c>
      <c r="F33" s="37">
        <v>0.5</v>
      </c>
      <c r="G33" s="54">
        <v>0</v>
      </c>
      <c r="H33" s="53">
        <v>1</v>
      </c>
      <c r="I33" s="37">
        <v>0.95</v>
      </c>
      <c r="J33" s="37">
        <v>1</v>
      </c>
      <c r="K33" s="37">
        <v>1.5</v>
      </c>
      <c r="L33" s="37">
        <v>1.4</v>
      </c>
      <c r="M33" s="37">
        <v>1.7</v>
      </c>
      <c r="N33" s="37">
        <v>1.3</v>
      </c>
      <c r="O33" s="37">
        <v>0.8</v>
      </c>
      <c r="P33" s="37">
        <v>1.5</v>
      </c>
      <c r="Q33" s="37">
        <v>5</v>
      </c>
      <c r="R33" s="33">
        <v>17.149999999999999</v>
      </c>
      <c r="S33" s="55">
        <v>0</v>
      </c>
    </row>
    <row r="34" spans="1:19" x14ac:dyDescent="0.35">
      <c r="A34" s="37">
        <v>31</v>
      </c>
      <c r="B34" s="37">
        <v>202530349</v>
      </c>
      <c r="C34" s="38" t="s">
        <v>33</v>
      </c>
      <c r="D34" s="53">
        <v>0</v>
      </c>
      <c r="E34" s="37">
        <v>0</v>
      </c>
      <c r="F34" s="37">
        <v>0.5</v>
      </c>
      <c r="G34" s="54">
        <v>0.5</v>
      </c>
      <c r="H34" s="53">
        <v>1</v>
      </c>
      <c r="I34" s="37">
        <v>0.75</v>
      </c>
      <c r="J34" s="37">
        <v>1</v>
      </c>
      <c r="K34" s="37">
        <v>1.5</v>
      </c>
      <c r="L34" s="37">
        <v>1.6</v>
      </c>
      <c r="M34" s="37">
        <v>1.8</v>
      </c>
      <c r="N34" s="37">
        <v>1.2</v>
      </c>
      <c r="O34" s="37">
        <v>1</v>
      </c>
      <c r="P34" s="37">
        <v>1.5</v>
      </c>
      <c r="Q34" s="37">
        <v>5</v>
      </c>
      <c r="R34" s="33">
        <v>17.350000000000001</v>
      </c>
      <c r="S34" s="55">
        <v>0</v>
      </c>
    </row>
    <row r="35" spans="1:19" x14ac:dyDescent="0.35">
      <c r="A35" s="37">
        <v>32</v>
      </c>
      <c r="B35" s="37">
        <v>202530357</v>
      </c>
      <c r="C35" s="38" t="s">
        <v>34</v>
      </c>
      <c r="D35" s="53">
        <v>0.5</v>
      </c>
      <c r="E35" s="37">
        <v>0</v>
      </c>
      <c r="F35" s="37">
        <v>0.5</v>
      </c>
      <c r="G35" s="54">
        <v>0.5</v>
      </c>
      <c r="H35" s="53">
        <v>1</v>
      </c>
      <c r="I35" s="37">
        <v>1</v>
      </c>
      <c r="J35" s="37">
        <v>1</v>
      </c>
      <c r="K35" s="37">
        <v>1.5</v>
      </c>
      <c r="L35" s="37">
        <v>1.6</v>
      </c>
      <c r="M35" s="37">
        <v>1.3</v>
      </c>
      <c r="N35" s="37">
        <v>1.6</v>
      </c>
      <c r="O35" s="37">
        <v>1</v>
      </c>
      <c r="P35" s="37">
        <v>1.5</v>
      </c>
      <c r="Q35" s="37">
        <v>5</v>
      </c>
      <c r="R35" s="33">
        <v>18</v>
      </c>
      <c r="S35" s="55">
        <v>0</v>
      </c>
    </row>
    <row r="36" spans="1:19" x14ac:dyDescent="0.35">
      <c r="A36" s="37">
        <v>33</v>
      </c>
      <c r="B36" s="37">
        <v>202530381</v>
      </c>
      <c r="C36" s="38" t="s">
        <v>35</v>
      </c>
      <c r="D36" s="53">
        <v>0.5</v>
      </c>
      <c r="E36" s="37">
        <v>0.5</v>
      </c>
      <c r="F36" s="37">
        <v>0.5</v>
      </c>
      <c r="G36" s="54">
        <v>0.5</v>
      </c>
      <c r="H36" s="53">
        <v>1</v>
      </c>
      <c r="I36" s="37">
        <v>1</v>
      </c>
      <c r="J36" s="37">
        <v>1</v>
      </c>
      <c r="K36" s="37">
        <v>1.5</v>
      </c>
      <c r="L36" s="37">
        <v>1</v>
      </c>
      <c r="M36" s="37">
        <v>1.8</v>
      </c>
      <c r="N36" s="37">
        <v>0.9</v>
      </c>
      <c r="O36" s="37">
        <v>0.8</v>
      </c>
      <c r="P36" s="37">
        <v>1.5</v>
      </c>
      <c r="Q36" s="37">
        <v>5</v>
      </c>
      <c r="R36" s="33">
        <v>18.5</v>
      </c>
      <c r="S36" s="55">
        <v>1</v>
      </c>
    </row>
    <row r="37" spans="1:19" x14ac:dyDescent="0.35">
      <c r="A37" s="37">
        <v>34</v>
      </c>
      <c r="B37" s="37">
        <v>202530434</v>
      </c>
      <c r="C37" s="38" t="s">
        <v>36</v>
      </c>
      <c r="D37" s="53">
        <v>0.5</v>
      </c>
      <c r="E37" s="37">
        <v>0</v>
      </c>
      <c r="F37" s="37">
        <v>0.5</v>
      </c>
      <c r="G37" s="54">
        <v>0.45</v>
      </c>
      <c r="H37" s="53">
        <v>0.75</v>
      </c>
      <c r="I37" s="37">
        <v>0.55000000000000004</v>
      </c>
      <c r="J37" s="37">
        <v>1</v>
      </c>
      <c r="K37" s="37">
        <v>1.5</v>
      </c>
      <c r="L37" s="37">
        <v>1.8</v>
      </c>
      <c r="M37" s="37">
        <v>1.5</v>
      </c>
      <c r="N37" s="37">
        <v>2</v>
      </c>
      <c r="O37" s="37">
        <v>0.95</v>
      </c>
      <c r="P37" s="37">
        <v>1.5</v>
      </c>
      <c r="Q37" s="37">
        <v>5</v>
      </c>
      <c r="R37" s="33">
        <v>18</v>
      </c>
      <c r="S37" s="55">
        <v>0</v>
      </c>
    </row>
    <row r="38" spans="1:19" x14ac:dyDescent="0.35">
      <c r="A38" s="37">
        <v>35</v>
      </c>
      <c r="B38" s="37">
        <v>202530446</v>
      </c>
      <c r="C38" s="38" t="s">
        <v>37</v>
      </c>
      <c r="D38" s="53">
        <v>0.5</v>
      </c>
      <c r="E38" s="37">
        <v>0</v>
      </c>
      <c r="F38" s="37">
        <v>0.5</v>
      </c>
      <c r="G38" s="54">
        <v>0</v>
      </c>
      <c r="H38" s="53">
        <v>1</v>
      </c>
      <c r="I38" s="37">
        <v>1</v>
      </c>
      <c r="J38" s="37">
        <v>1</v>
      </c>
      <c r="K38" s="37">
        <v>1.5</v>
      </c>
      <c r="L38" s="37">
        <v>1</v>
      </c>
      <c r="M38" s="37">
        <v>1.7</v>
      </c>
      <c r="N38" s="37">
        <v>1.6</v>
      </c>
      <c r="O38" s="37">
        <v>1</v>
      </c>
      <c r="P38" s="37">
        <v>1.5</v>
      </c>
      <c r="Q38" s="37">
        <v>5</v>
      </c>
      <c r="R38" s="33">
        <v>17.299999999999997</v>
      </c>
      <c r="S38" s="55">
        <v>0</v>
      </c>
    </row>
    <row r="39" spans="1:19" x14ac:dyDescent="0.35">
      <c r="A39" s="37">
        <v>36</v>
      </c>
      <c r="B39" s="37">
        <v>202530522</v>
      </c>
      <c r="C39" s="38" t="s">
        <v>38</v>
      </c>
      <c r="D39" s="53">
        <v>0.5</v>
      </c>
      <c r="E39" s="37">
        <v>0</v>
      </c>
      <c r="F39" s="37">
        <v>0.5</v>
      </c>
      <c r="G39" s="54">
        <v>0</v>
      </c>
      <c r="H39" s="53">
        <v>1</v>
      </c>
      <c r="I39" s="37">
        <v>1</v>
      </c>
      <c r="J39" s="37">
        <v>1</v>
      </c>
      <c r="K39" s="37">
        <v>1.5</v>
      </c>
      <c r="L39" s="37">
        <v>1</v>
      </c>
      <c r="M39" s="37">
        <v>1.6</v>
      </c>
      <c r="N39" s="37">
        <v>1.6</v>
      </c>
      <c r="O39" s="37">
        <v>0</v>
      </c>
      <c r="P39" s="37">
        <v>0</v>
      </c>
      <c r="Q39" s="37">
        <v>0</v>
      </c>
      <c r="R39" s="33">
        <v>9.6999999999999993</v>
      </c>
      <c r="S39" s="55">
        <v>0</v>
      </c>
    </row>
    <row r="40" spans="1:19" x14ac:dyDescent="0.35">
      <c r="A40" s="37">
        <v>37</v>
      </c>
      <c r="B40" s="37">
        <v>202530613</v>
      </c>
      <c r="C40" s="38" t="s">
        <v>39</v>
      </c>
      <c r="D40" s="53">
        <v>0</v>
      </c>
      <c r="E40" s="37">
        <v>0.5</v>
      </c>
      <c r="F40" s="37">
        <v>0</v>
      </c>
      <c r="G40" s="54">
        <v>0</v>
      </c>
      <c r="H40" s="53">
        <v>0</v>
      </c>
      <c r="I40" s="37">
        <v>0</v>
      </c>
      <c r="J40" s="37">
        <v>0</v>
      </c>
      <c r="K40" s="37">
        <v>0</v>
      </c>
      <c r="L40" s="37">
        <v>0</v>
      </c>
      <c r="M40" s="37">
        <v>0</v>
      </c>
      <c r="N40" s="37">
        <v>0</v>
      </c>
      <c r="O40" s="37">
        <v>0</v>
      </c>
      <c r="P40" s="37">
        <v>0</v>
      </c>
      <c r="Q40" s="37">
        <v>0</v>
      </c>
      <c r="R40" s="33">
        <v>0.5</v>
      </c>
      <c r="S40" s="55">
        <v>0</v>
      </c>
    </row>
    <row r="41" spans="1:19" x14ac:dyDescent="0.35">
      <c r="A41" s="37">
        <v>38</v>
      </c>
      <c r="B41" s="37">
        <v>202530621</v>
      </c>
      <c r="C41" s="38" t="s">
        <v>40</v>
      </c>
      <c r="D41" s="53">
        <v>0.5</v>
      </c>
      <c r="E41" s="37">
        <v>0</v>
      </c>
      <c r="F41" s="37">
        <v>0.5</v>
      </c>
      <c r="G41" s="54">
        <v>0.45</v>
      </c>
      <c r="H41" s="53">
        <v>0.7</v>
      </c>
      <c r="I41" s="37">
        <v>1</v>
      </c>
      <c r="J41" s="37">
        <v>1</v>
      </c>
      <c r="K41" s="37">
        <v>1.5</v>
      </c>
      <c r="L41" s="37">
        <v>0</v>
      </c>
      <c r="M41" s="37">
        <v>1.2</v>
      </c>
      <c r="N41" s="37">
        <v>1.3</v>
      </c>
      <c r="O41" s="37">
        <v>0.8</v>
      </c>
      <c r="P41" s="37">
        <v>1.5</v>
      </c>
      <c r="Q41" s="37">
        <v>5</v>
      </c>
      <c r="R41" s="33">
        <v>15.450000000000001</v>
      </c>
      <c r="S41" s="55">
        <v>0</v>
      </c>
    </row>
    <row r="42" spans="1:19" x14ac:dyDescent="0.35">
      <c r="A42" s="37">
        <v>39</v>
      </c>
      <c r="B42" s="37">
        <v>202530673</v>
      </c>
      <c r="C42" s="38" t="s">
        <v>41</v>
      </c>
      <c r="D42" s="53">
        <v>0</v>
      </c>
      <c r="E42" s="37">
        <v>0</v>
      </c>
      <c r="F42" s="37">
        <v>0</v>
      </c>
      <c r="G42" s="54">
        <v>0.5</v>
      </c>
      <c r="H42" s="53">
        <v>0</v>
      </c>
      <c r="I42" s="37">
        <v>0</v>
      </c>
      <c r="J42" s="37">
        <v>1</v>
      </c>
      <c r="K42" s="37">
        <v>1.5</v>
      </c>
      <c r="L42" s="37">
        <v>1.4</v>
      </c>
      <c r="M42" s="37">
        <v>1.9</v>
      </c>
      <c r="N42" s="37">
        <v>0</v>
      </c>
      <c r="O42" s="37">
        <v>0</v>
      </c>
      <c r="P42" s="37">
        <v>0</v>
      </c>
      <c r="Q42" s="37">
        <v>5</v>
      </c>
      <c r="R42" s="33">
        <v>11.3</v>
      </c>
      <c r="S42" s="55">
        <v>0</v>
      </c>
    </row>
    <row r="43" spans="1:19" x14ac:dyDescent="0.35">
      <c r="A43" s="37">
        <v>40</v>
      </c>
      <c r="B43" s="37">
        <v>202530674</v>
      </c>
      <c r="C43" s="38" t="s">
        <v>42</v>
      </c>
      <c r="D43" s="53">
        <v>0</v>
      </c>
      <c r="E43" s="37">
        <v>0</v>
      </c>
      <c r="F43" s="37">
        <v>0.25</v>
      </c>
      <c r="G43" s="54">
        <v>0</v>
      </c>
      <c r="H43" s="53">
        <v>1</v>
      </c>
      <c r="I43" s="37">
        <v>1</v>
      </c>
      <c r="J43" s="37">
        <v>0.9</v>
      </c>
      <c r="K43" s="37">
        <v>1.5</v>
      </c>
      <c r="L43" s="37">
        <v>1</v>
      </c>
      <c r="M43" s="37">
        <v>1.7</v>
      </c>
      <c r="N43" s="37">
        <v>1.4</v>
      </c>
      <c r="O43" s="37">
        <v>0</v>
      </c>
      <c r="P43" s="37">
        <v>0</v>
      </c>
      <c r="Q43" s="37">
        <v>0</v>
      </c>
      <c r="R43" s="33">
        <v>8.75</v>
      </c>
      <c r="S43" s="55">
        <v>0</v>
      </c>
    </row>
    <row r="44" spans="1:19" x14ac:dyDescent="0.35">
      <c r="A44" s="37">
        <v>41</v>
      </c>
      <c r="B44" s="37">
        <v>202530677</v>
      </c>
      <c r="C44" s="38" t="s">
        <v>43</v>
      </c>
      <c r="D44" s="53">
        <v>0.5</v>
      </c>
      <c r="E44" s="37">
        <v>0</v>
      </c>
      <c r="F44" s="37">
        <v>0.5</v>
      </c>
      <c r="G44" s="54">
        <v>0</v>
      </c>
      <c r="H44" s="53">
        <v>1</v>
      </c>
      <c r="I44" s="37">
        <v>0</v>
      </c>
      <c r="J44" s="37">
        <v>1</v>
      </c>
      <c r="K44" s="37">
        <v>0</v>
      </c>
      <c r="L44" s="37">
        <v>0</v>
      </c>
      <c r="M44" s="37">
        <v>0</v>
      </c>
      <c r="N44" s="37">
        <v>0</v>
      </c>
      <c r="O44" s="37">
        <v>0</v>
      </c>
      <c r="P44" s="37">
        <v>0</v>
      </c>
      <c r="Q44" s="37">
        <v>0</v>
      </c>
      <c r="R44" s="33">
        <v>3</v>
      </c>
      <c r="S44" s="55">
        <v>0</v>
      </c>
    </row>
    <row r="45" spans="1:19" x14ac:dyDescent="0.35">
      <c r="A45" s="37">
        <v>42</v>
      </c>
      <c r="B45" s="37">
        <v>202530728</v>
      </c>
      <c r="C45" s="38" t="s">
        <v>44</v>
      </c>
      <c r="D45" s="53">
        <v>0.5</v>
      </c>
      <c r="E45" s="37">
        <v>0</v>
      </c>
      <c r="F45" s="37">
        <v>0.5</v>
      </c>
      <c r="G45" s="54">
        <v>0</v>
      </c>
      <c r="H45" s="53">
        <v>0</v>
      </c>
      <c r="I45" s="37">
        <v>0</v>
      </c>
      <c r="J45" s="37">
        <v>0</v>
      </c>
      <c r="K45" s="37">
        <v>1.5</v>
      </c>
      <c r="L45" s="37">
        <v>1.4</v>
      </c>
      <c r="M45" s="37">
        <v>1.7</v>
      </c>
      <c r="N45" s="37">
        <v>1</v>
      </c>
      <c r="O45" s="37">
        <v>0.8</v>
      </c>
      <c r="P45" s="37">
        <v>1.5</v>
      </c>
      <c r="Q45" s="37">
        <v>5</v>
      </c>
      <c r="R45" s="33">
        <v>13.899999999999999</v>
      </c>
      <c r="S45" s="55">
        <v>0</v>
      </c>
    </row>
    <row r="46" spans="1:19" x14ac:dyDescent="0.35">
      <c r="A46" s="37">
        <v>43</v>
      </c>
      <c r="B46" s="37">
        <v>202530843</v>
      </c>
      <c r="C46" s="38" t="s">
        <v>45</v>
      </c>
      <c r="D46" s="53">
        <v>0</v>
      </c>
      <c r="E46" s="37">
        <v>0</v>
      </c>
      <c r="F46" s="37">
        <v>0</v>
      </c>
      <c r="G46" s="54">
        <v>0</v>
      </c>
      <c r="H46" s="53">
        <v>0</v>
      </c>
      <c r="I46" s="37">
        <v>0</v>
      </c>
      <c r="J46" s="37">
        <v>0</v>
      </c>
      <c r="K46" s="37">
        <v>1.5</v>
      </c>
      <c r="L46" s="37">
        <v>1.4</v>
      </c>
      <c r="M46" s="37">
        <v>1.7</v>
      </c>
      <c r="N46" s="37">
        <v>1.7</v>
      </c>
      <c r="O46" s="37">
        <v>0</v>
      </c>
      <c r="P46" s="37">
        <v>0</v>
      </c>
      <c r="Q46" s="37">
        <v>0</v>
      </c>
      <c r="R46" s="33">
        <v>6.3</v>
      </c>
      <c r="S46" s="55">
        <v>0</v>
      </c>
    </row>
    <row r="47" spans="1:19" x14ac:dyDescent="0.35">
      <c r="A47" s="37">
        <v>44</v>
      </c>
      <c r="B47" s="37">
        <v>202530866</v>
      </c>
      <c r="C47" s="38" t="s">
        <v>46</v>
      </c>
      <c r="D47" s="53">
        <v>0.5</v>
      </c>
      <c r="E47" s="37">
        <v>0</v>
      </c>
      <c r="F47" s="37">
        <v>0.5</v>
      </c>
      <c r="G47" s="54">
        <v>0.45</v>
      </c>
      <c r="H47" s="53">
        <v>1</v>
      </c>
      <c r="I47" s="37">
        <v>1</v>
      </c>
      <c r="J47" s="37">
        <v>0.9</v>
      </c>
      <c r="K47" s="37">
        <v>1.5</v>
      </c>
      <c r="L47" s="37">
        <v>1</v>
      </c>
      <c r="M47" s="37">
        <v>1.7</v>
      </c>
      <c r="N47" s="37">
        <v>1.1000000000000001</v>
      </c>
      <c r="O47" s="37">
        <v>1</v>
      </c>
      <c r="P47" s="37">
        <v>1.5</v>
      </c>
      <c r="Q47" s="37">
        <v>5</v>
      </c>
      <c r="R47" s="33">
        <v>17.149999999999999</v>
      </c>
      <c r="S47" s="55">
        <v>0</v>
      </c>
    </row>
    <row r="48" spans="1:19" x14ac:dyDescent="0.35">
      <c r="A48" s="37">
        <v>45</v>
      </c>
      <c r="B48" s="37">
        <v>202530917</v>
      </c>
      <c r="C48" s="38" t="s">
        <v>47</v>
      </c>
      <c r="D48" s="53">
        <v>0</v>
      </c>
      <c r="E48" s="37">
        <v>0</v>
      </c>
      <c r="F48" s="37">
        <v>0.25</v>
      </c>
      <c r="G48" s="54">
        <v>0.5</v>
      </c>
      <c r="H48" s="53">
        <v>0.75</v>
      </c>
      <c r="I48" s="37">
        <v>0</v>
      </c>
      <c r="J48" s="37">
        <v>1</v>
      </c>
      <c r="K48" s="37">
        <v>1.5</v>
      </c>
      <c r="L48" s="37">
        <v>1.8</v>
      </c>
      <c r="M48" s="37">
        <v>1.9</v>
      </c>
      <c r="N48" s="37">
        <v>1.3</v>
      </c>
      <c r="O48" s="37">
        <v>1</v>
      </c>
      <c r="P48" s="37">
        <v>1.5</v>
      </c>
      <c r="Q48" s="37">
        <v>5</v>
      </c>
      <c r="R48" s="33">
        <v>16.5</v>
      </c>
      <c r="S48" s="55">
        <v>0</v>
      </c>
    </row>
    <row r="49" spans="1:19" x14ac:dyDescent="0.35">
      <c r="A49" s="37">
        <v>46</v>
      </c>
      <c r="B49" s="37">
        <v>202531013</v>
      </c>
      <c r="C49" s="38" t="s">
        <v>48</v>
      </c>
      <c r="D49" s="53">
        <v>0.5</v>
      </c>
      <c r="E49" s="37">
        <v>0</v>
      </c>
      <c r="F49" s="37">
        <v>0.5</v>
      </c>
      <c r="G49" s="54">
        <v>0.45</v>
      </c>
      <c r="H49" s="53">
        <v>1</v>
      </c>
      <c r="I49" s="37">
        <v>0.75</v>
      </c>
      <c r="J49" s="37">
        <v>1</v>
      </c>
      <c r="K49" s="37">
        <v>1.5</v>
      </c>
      <c r="L49" s="37">
        <v>2</v>
      </c>
      <c r="M49" s="37">
        <v>1.8</v>
      </c>
      <c r="N49" s="37">
        <v>1.4</v>
      </c>
      <c r="O49" s="37">
        <v>1</v>
      </c>
      <c r="P49" s="37">
        <v>1.5</v>
      </c>
      <c r="Q49" s="37">
        <v>5</v>
      </c>
      <c r="R49" s="33">
        <v>18.399999999999999</v>
      </c>
      <c r="S49" s="55">
        <v>0</v>
      </c>
    </row>
    <row r="50" spans="1:19" x14ac:dyDescent="0.35">
      <c r="A50" s="37">
        <v>47</v>
      </c>
      <c r="B50" s="37">
        <v>202531019</v>
      </c>
      <c r="C50" s="38" t="s">
        <v>49</v>
      </c>
      <c r="D50" s="53">
        <v>0</v>
      </c>
      <c r="E50" s="37">
        <v>0</v>
      </c>
      <c r="F50" s="37">
        <v>0.5</v>
      </c>
      <c r="G50" s="54">
        <v>0.45</v>
      </c>
      <c r="H50" s="53">
        <v>1</v>
      </c>
      <c r="I50" s="37">
        <v>0.55000000000000004</v>
      </c>
      <c r="J50" s="37">
        <v>1</v>
      </c>
      <c r="K50" s="37">
        <v>1.5</v>
      </c>
      <c r="L50" s="37">
        <v>1.9</v>
      </c>
      <c r="M50" s="37">
        <v>0</v>
      </c>
      <c r="N50" s="37">
        <v>1.1000000000000001</v>
      </c>
      <c r="O50" s="37">
        <v>1</v>
      </c>
      <c r="P50" s="37">
        <v>1.5</v>
      </c>
      <c r="Q50" s="37">
        <v>5</v>
      </c>
      <c r="R50" s="33">
        <v>16.5</v>
      </c>
      <c r="S50" s="55">
        <v>1</v>
      </c>
    </row>
    <row r="51" spans="1:19" x14ac:dyDescent="0.35">
      <c r="A51" s="37">
        <v>48</v>
      </c>
      <c r="B51" s="37">
        <v>202531089</v>
      </c>
      <c r="C51" s="38" t="s">
        <v>50</v>
      </c>
      <c r="D51" s="53">
        <v>0.5</v>
      </c>
      <c r="E51" s="37">
        <v>0</v>
      </c>
      <c r="F51" s="37">
        <v>0.5</v>
      </c>
      <c r="G51" s="54">
        <v>0.45</v>
      </c>
      <c r="H51" s="53">
        <v>0.7</v>
      </c>
      <c r="I51" s="37">
        <v>1</v>
      </c>
      <c r="J51" s="37">
        <v>0.9</v>
      </c>
      <c r="K51" s="37">
        <v>1.5</v>
      </c>
      <c r="L51" s="37">
        <v>1</v>
      </c>
      <c r="M51" s="37">
        <v>1.7</v>
      </c>
      <c r="N51" s="37">
        <v>1.1000000000000001</v>
      </c>
      <c r="O51" s="37">
        <v>1</v>
      </c>
      <c r="P51" s="37">
        <v>1.5</v>
      </c>
      <c r="Q51" s="37">
        <v>5</v>
      </c>
      <c r="R51" s="33">
        <v>16.850000000000001</v>
      </c>
      <c r="S51" s="55">
        <v>0</v>
      </c>
    </row>
    <row r="52" spans="1:19" x14ac:dyDescent="0.35">
      <c r="A52" s="37">
        <v>49</v>
      </c>
      <c r="B52" s="37">
        <v>202531127</v>
      </c>
      <c r="C52" s="38" t="s">
        <v>51</v>
      </c>
      <c r="D52" s="53">
        <v>0</v>
      </c>
      <c r="E52" s="37">
        <v>0</v>
      </c>
      <c r="F52" s="37">
        <v>0.5</v>
      </c>
      <c r="G52" s="54">
        <v>0</v>
      </c>
      <c r="H52" s="53">
        <v>0</v>
      </c>
      <c r="I52" s="37">
        <v>0</v>
      </c>
      <c r="J52" s="37">
        <v>0</v>
      </c>
      <c r="K52" s="37">
        <v>1.5</v>
      </c>
      <c r="L52" s="37">
        <v>1.4</v>
      </c>
      <c r="M52" s="37">
        <v>1.7</v>
      </c>
      <c r="N52" s="37">
        <v>1.7</v>
      </c>
      <c r="O52" s="37">
        <v>0.8</v>
      </c>
      <c r="P52" s="37">
        <v>1.5</v>
      </c>
      <c r="Q52" s="37">
        <v>5</v>
      </c>
      <c r="R52" s="33">
        <v>14.1</v>
      </c>
      <c r="S52" s="55">
        <v>0</v>
      </c>
    </row>
    <row r="53" spans="1:19" x14ac:dyDescent="0.35">
      <c r="A53" s="37">
        <v>50</v>
      </c>
      <c r="B53" s="37">
        <v>202531213</v>
      </c>
      <c r="C53" s="38" t="s">
        <v>52</v>
      </c>
      <c r="D53" s="53">
        <v>0.5</v>
      </c>
      <c r="E53" s="37">
        <v>0.5</v>
      </c>
      <c r="F53" s="37">
        <v>0.5</v>
      </c>
      <c r="G53" s="54">
        <v>0.45</v>
      </c>
      <c r="H53" s="53">
        <v>1</v>
      </c>
      <c r="I53" s="37">
        <v>0.9</v>
      </c>
      <c r="J53" s="37">
        <v>1</v>
      </c>
      <c r="K53" s="37">
        <v>1.5</v>
      </c>
      <c r="L53" s="37">
        <v>1.6</v>
      </c>
      <c r="M53" s="37">
        <v>2</v>
      </c>
      <c r="N53" s="37">
        <v>2</v>
      </c>
      <c r="O53" s="37">
        <v>0.9</v>
      </c>
      <c r="P53" s="37">
        <v>1.5</v>
      </c>
      <c r="Q53" s="37">
        <v>5</v>
      </c>
      <c r="R53" s="33">
        <v>19.350000000000001</v>
      </c>
      <c r="S53" s="55">
        <v>0</v>
      </c>
    </row>
    <row r="54" spans="1:19" x14ac:dyDescent="0.35">
      <c r="A54" s="37">
        <v>51</v>
      </c>
      <c r="B54" s="37">
        <v>202531219</v>
      </c>
      <c r="C54" s="38" t="s">
        <v>53</v>
      </c>
      <c r="D54" s="53">
        <v>0</v>
      </c>
      <c r="E54" s="37">
        <v>0</v>
      </c>
      <c r="F54" s="37">
        <v>0.5</v>
      </c>
      <c r="G54" s="54">
        <v>0.5</v>
      </c>
      <c r="H54" s="53">
        <v>0</v>
      </c>
      <c r="I54" s="37">
        <v>0</v>
      </c>
      <c r="J54" s="37">
        <v>1</v>
      </c>
      <c r="K54" s="37">
        <v>1.2000000000000002</v>
      </c>
      <c r="L54" s="37">
        <v>1.4</v>
      </c>
      <c r="M54" s="37">
        <v>0.9</v>
      </c>
      <c r="N54" s="37">
        <v>0</v>
      </c>
      <c r="O54" s="37">
        <v>0.8</v>
      </c>
      <c r="P54" s="37">
        <v>1.5</v>
      </c>
      <c r="Q54" s="37">
        <v>5</v>
      </c>
      <c r="R54" s="33">
        <v>12.8</v>
      </c>
      <c r="S54" s="55">
        <v>0</v>
      </c>
    </row>
    <row r="55" spans="1:19" x14ac:dyDescent="0.35">
      <c r="A55" s="37">
        <v>52</v>
      </c>
      <c r="B55" s="37">
        <v>202531289</v>
      </c>
      <c r="C55" s="38" t="s">
        <v>54</v>
      </c>
      <c r="D55" s="53">
        <v>0.5</v>
      </c>
      <c r="E55" s="37">
        <v>0</v>
      </c>
      <c r="F55" s="37">
        <v>0.5</v>
      </c>
      <c r="G55" s="54">
        <v>0.5</v>
      </c>
      <c r="H55" s="53">
        <v>0.85</v>
      </c>
      <c r="I55" s="37">
        <v>1</v>
      </c>
      <c r="J55" s="37">
        <v>1</v>
      </c>
      <c r="K55" s="37">
        <v>1.5</v>
      </c>
      <c r="L55" s="37">
        <v>2</v>
      </c>
      <c r="M55" s="37">
        <v>1.9</v>
      </c>
      <c r="N55" s="37">
        <v>1.7</v>
      </c>
      <c r="O55" s="37">
        <v>0.95</v>
      </c>
      <c r="P55" s="37">
        <v>0</v>
      </c>
      <c r="Q55" s="37">
        <v>5</v>
      </c>
      <c r="R55" s="33">
        <v>18.399999999999999</v>
      </c>
      <c r="S55" s="55">
        <v>1</v>
      </c>
    </row>
    <row r="56" spans="1:19" x14ac:dyDescent="0.35">
      <c r="A56" s="37">
        <v>53</v>
      </c>
      <c r="B56" s="37">
        <v>202531319</v>
      </c>
      <c r="C56" s="38" t="s">
        <v>55</v>
      </c>
      <c r="D56" s="53">
        <v>0.5</v>
      </c>
      <c r="E56" s="37">
        <v>0</v>
      </c>
      <c r="F56" s="37">
        <v>0.25</v>
      </c>
      <c r="G56" s="54">
        <v>0.5</v>
      </c>
      <c r="H56" s="53">
        <v>0.75</v>
      </c>
      <c r="I56" s="37">
        <v>0</v>
      </c>
      <c r="J56" s="37">
        <v>1</v>
      </c>
      <c r="K56" s="37">
        <v>1.5</v>
      </c>
      <c r="L56" s="37">
        <v>1</v>
      </c>
      <c r="M56" s="37">
        <v>0</v>
      </c>
      <c r="N56" s="37">
        <v>1</v>
      </c>
      <c r="O56" s="37">
        <v>1</v>
      </c>
      <c r="P56" s="37">
        <v>1.5</v>
      </c>
      <c r="Q56" s="37">
        <v>5</v>
      </c>
      <c r="R56" s="33">
        <v>14</v>
      </c>
      <c r="S56" s="55">
        <v>0</v>
      </c>
    </row>
    <row r="57" spans="1:19" x14ac:dyDescent="0.35">
      <c r="A57" s="37">
        <v>54</v>
      </c>
      <c r="B57" s="37">
        <v>202531351</v>
      </c>
      <c r="C57" s="38" t="s">
        <v>56</v>
      </c>
      <c r="D57" s="53">
        <v>0.5</v>
      </c>
      <c r="E57" s="37">
        <v>0.5</v>
      </c>
      <c r="F57" s="37">
        <v>0.5</v>
      </c>
      <c r="G57" s="54">
        <v>0.45</v>
      </c>
      <c r="H57" s="53">
        <v>1</v>
      </c>
      <c r="I57" s="37">
        <v>1</v>
      </c>
      <c r="J57" s="37">
        <v>1</v>
      </c>
      <c r="K57" s="37">
        <v>1.5</v>
      </c>
      <c r="L57" s="37">
        <v>1.6</v>
      </c>
      <c r="M57" s="37">
        <v>1.8</v>
      </c>
      <c r="N57" s="37">
        <v>2</v>
      </c>
      <c r="O57" s="37">
        <v>0.9</v>
      </c>
      <c r="P57" s="37">
        <v>1.5</v>
      </c>
      <c r="Q57" s="37">
        <v>5</v>
      </c>
      <c r="R57" s="33">
        <v>19.25</v>
      </c>
      <c r="S57" s="55">
        <v>0</v>
      </c>
    </row>
    <row r="58" spans="1:19" x14ac:dyDescent="0.35">
      <c r="A58" s="37">
        <v>55</v>
      </c>
      <c r="B58" s="37">
        <v>202531352</v>
      </c>
      <c r="C58" s="38" t="s">
        <v>57</v>
      </c>
      <c r="D58" s="53">
        <v>0.5</v>
      </c>
      <c r="E58" s="37">
        <v>0</v>
      </c>
      <c r="F58" s="37">
        <v>0.5</v>
      </c>
      <c r="G58" s="54">
        <v>0.5</v>
      </c>
      <c r="H58" s="53">
        <v>1</v>
      </c>
      <c r="I58" s="37">
        <v>1</v>
      </c>
      <c r="J58" s="37">
        <v>1</v>
      </c>
      <c r="K58" s="37">
        <v>1.5</v>
      </c>
      <c r="L58" s="37">
        <v>1.4</v>
      </c>
      <c r="M58" s="37">
        <v>0</v>
      </c>
      <c r="N58" s="37">
        <v>1.5</v>
      </c>
      <c r="O58" s="37">
        <v>0.8</v>
      </c>
      <c r="P58" s="37">
        <v>0</v>
      </c>
      <c r="Q58" s="37">
        <v>5</v>
      </c>
      <c r="R58" s="33">
        <v>14.700000000000001</v>
      </c>
      <c r="S58" s="55">
        <v>0</v>
      </c>
    </row>
    <row r="59" spans="1:19" x14ac:dyDescent="0.35">
      <c r="A59" s="37">
        <v>56</v>
      </c>
      <c r="B59" s="37">
        <v>202531384</v>
      </c>
      <c r="C59" s="38" t="s">
        <v>58</v>
      </c>
      <c r="D59" s="53">
        <v>0.5</v>
      </c>
      <c r="E59" s="37">
        <v>0.5</v>
      </c>
      <c r="F59" s="37">
        <v>0.25</v>
      </c>
      <c r="G59" s="54">
        <v>0.45</v>
      </c>
      <c r="H59" s="53">
        <v>1</v>
      </c>
      <c r="I59" s="37">
        <v>1</v>
      </c>
      <c r="J59" s="37">
        <v>1</v>
      </c>
      <c r="K59" s="37">
        <v>1.5</v>
      </c>
      <c r="L59" s="37">
        <v>1.4</v>
      </c>
      <c r="M59" s="37">
        <v>2</v>
      </c>
      <c r="N59" s="37">
        <v>1.8</v>
      </c>
      <c r="O59" s="37">
        <v>0.8</v>
      </c>
      <c r="P59" s="37">
        <v>1.5</v>
      </c>
      <c r="Q59" s="37">
        <v>5</v>
      </c>
      <c r="R59" s="33">
        <v>19.700000000000003</v>
      </c>
      <c r="S59" s="55">
        <v>1</v>
      </c>
    </row>
    <row r="60" spans="1:19" x14ac:dyDescent="0.35">
      <c r="A60" s="37">
        <v>57</v>
      </c>
      <c r="B60" s="37">
        <v>202531399</v>
      </c>
      <c r="C60" s="38" t="s">
        <v>59</v>
      </c>
      <c r="D60" s="53">
        <v>0</v>
      </c>
      <c r="E60" s="37">
        <v>0</v>
      </c>
      <c r="F60" s="37">
        <v>0.25</v>
      </c>
      <c r="G60" s="54">
        <v>0</v>
      </c>
      <c r="H60" s="53">
        <v>0</v>
      </c>
      <c r="I60" s="37">
        <v>0</v>
      </c>
      <c r="J60" s="37">
        <v>0</v>
      </c>
      <c r="K60" s="37">
        <v>0</v>
      </c>
      <c r="L60" s="37">
        <v>0</v>
      </c>
      <c r="M60" s="37">
        <v>0</v>
      </c>
      <c r="N60" s="37">
        <v>0</v>
      </c>
      <c r="O60" s="37">
        <v>0</v>
      </c>
      <c r="P60" s="37">
        <v>0</v>
      </c>
      <c r="Q60" s="37">
        <v>0</v>
      </c>
      <c r="R60" s="33">
        <v>0.25</v>
      </c>
      <c r="S60" s="55">
        <v>0</v>
      </c>
    </row>
    <row r="61" spans="1:19" x14ac:dyDescent="0.35">
      <c r="A61" s="37">
        <v>58</v>
      </c>
      <c r="B61" s="37">
        <v>202531441</v>
      </c>
      <c r="C61" s="38" t="s">
        <v>60</v>
      </c>
      <c r="D61" s="53">
        <v>0</v>
      </c>
      <c r="E61" s="37">
        <v>0</v>
      </c>
      <c r="F61" s="37">
        <v>0</v>
      </c>
      <c r="G61" s="54">
        <v>0</v>
      </c>
      <c r="H61" s="53">
        <v>0</v>
      </c>
      <c r="I61" s="37">
        <v>0</v>
      </c>
      <c r="J61" s="37">
        <v>0</v>
      </c>
      <c r="K61" s="37">
        <v>0</v>
      </c>
      <c r="L61" s="37">
        <v>0</v>
      </c>
      <c r="M61" s="37">
        <v>0</v>
      </c>
      <c r="N61" s="37">
        <v>0</v>
      </c>
      <c r="O61" s="37">
        <v>0</v>
      </c>
      <c r="P61" s="37">
        <v>0</v>
      </c>
      <c r="Q61" s="37">
        <v>0</v>
      </c>
      <c r="R61" s="33">
        <v>0</v>
      </c>
      <c r="S61" s="55">
        <v>0</v>
      </c>
    </row>
    <row r="62" spans="1:19" x14ac:dyDescent="0.35">
      <c r="A62" s="37">
        <v>59</v>
      </c>
      <c r="B62" s="37">
        <v>202531444</v>
      </c>
      <c r="C62" s="38" t="s">
        <v>61</v>
      </c>
      <c r="D62" s="53">
        <v>0.5</v>
      </c>
      <c r="E62" s="37">
        <v>0</v>
      </c>
      <c r="F62" s="37">
        <v>0.5</v>
      </c>
      <c r="G62" s="54">
        <v>0.45</v>
      </c>
      <c r="H62" s="53">
        <v>1</v>
      </c>
      <c r="I62" s="37">
        <v>0.95</v>
      </c>
      <c r="J62" s="37">
        <v>1</v>
      </c>
      <c r="K62" s="37">
        <v>1.5</v>
      </c>
      <c r="L62" s="37">
        <v>1</v>
      </c>
      <c r="M62" s="37">
        <v>0</v>
      </c>
      <c r="N62" s="37">
        <v>1.3</v>
      </c>
      <c r="O62" s="37">
        <v>0</v>
      </c>
      <c r="P62" s="37">
        <v>0</v>
      </c>
      <c r="Q62" s="37">
        <v>0</v>
      </c>
      <c r="R62" s="33">
        <v>8.2000000000000011</v>
      </c>
      <c r="S62" s="55">
        <v>0</v>
      </c>
    </row>
    <row r="63" spans="1:19" x14ac:dyDescent="0.35">
      <c r="A63" s="37">
        <v>60</v>
      </c>
      <c r="B63" s="37">
        <v>202531566</v>
      </c>
      <c r="C63" s="38" t="s">
        <v>62</v>
      </c>
      <c r="D63" s="53">
        <v>0.5</v>
      </c>
      <c r="E63" s="37">
        <v>0</v>
      </c>
      <c r="F63" s="37">
        <v>0.5</v>
      </c>
      <c r="G63" s="54">
        <v>0.45</v>
      </c>
      <c r="H63" s="53">
        <v>1</v>
      </c>
      <c r="I63" s="37">
        <v>0.85</v>
      </c>
      <c r="J63" s="37">
        <v>1</v>
      </c>
      <c r="K63" s="37">
        <v>1.5</v>
      </c>
      <c r="L63" s="37">
        <v>1.4</v>
      </c>
      <c r="M63" s="37">
        <v>1.5</v>
      </c>
      <c r="N63" s="37">
        <v>1.1000000000000001</v>
      </c>
      <c r="O63" s="37">
        <v>0.95</v>
      </c>
      <c r="P63" s="37">
        <v>1.5</v>
      </c>
      <c r="Q63" s="37">
        <v>5</v>
      </c>
      <c r="R63" s="33">
        <v>17.25</v>
      </c>
      <c r="S63" s="55">
        <v>0</v>
      </c>
    </row>
    <row r="64" spans="1:19" x14ac:dyDescent="0.35">
      <c r="A64" s="37">
        <v>61</v>
      </c>
      <c r="B64" s="37">
        <v>202531611</v>
      </c>
      <c r="C64" s="38" t="s">
        <v>63</v>
      </c>
      <c r="D64" s="53">
        <v>0.5</v>
      </c>
      <c r="E64" s="37">
        <v>0</v>
      </c>
      <c r="F64" s="37">
        <v>0.5</v>
      </c>
      <c r="G64" s="54">
        <v>0</v>
      </c>
      <c r="H64" s="53">
        <v>0</v>
      </c>
      <c r="I64" s="37">
        <v>0</v>
      </c>
      <c r="J64" s="37">
        <v>1</v>
      </c>
      <c r="K64" s="37">
        <v>1.5</v>
      </c>
      <c r="L64" s="37">
        <v>1.4</v>
      </c>
      <c r="M64" s="37">
        <v>0.9</v>
      </c>
      <c r="N64" s="37">
        <v>1.5</v>
      </c>
      <c r="O64" s="37">
        <v>0</v>
      </c>
      <c r="P64" s="37">
        <v>0</v>
      </c>
      <c r="Q64" s="37">
        <v>5</v>
      </c>
      <c r="R64" s="33">
        <v>12.3</v>
      </c>
      <c r="S64" s="55">
        <v>0</v>
      </c>
    </row>
    <row r="65" spans="1:19" x14ac:dyDescent="0.35">
      <c r="A65" s="37">
        <v>62</v>
      </c>
      <c r="B65" s="37">
        <v>202531645</v>
      </c>
      <c r="C65" s="38" t="s">
        <v>64</v>
      </c>
      <c r="D65" s="53">
        <v>0.5</v>
      </c>
      <c r="E65" s="37">
        <v>0.5</v>
      </c>
      <c r="F65" s="37">
        <v>0.5</v>
      </c>
      <c r="G65" s="54">
        <v>0.45</v>
      </c>
      <c r="H65" s="53">
        <v>1</v>
      </c>
      <c r="I65" s="37">
        <v>1</v>
      </c>
      <c r="J65" s="37">
        <v>1</v>
      </c>
      <c r="K65" s="37">
        <v>0</v>
      </c>
      <c r="L65" s="37">
        <v>0</v>
      </c>
      <c r="M65" s="37">
        <v>1.8</v>
      </c>
      <c r="N65" s="37">
        <v>2</v>
      </c>
      <c r="O65" s="37">
        <v>0.9</v>
      </c>
      <c r="P65" s="37">
        <v>1.5</v>
      </c>
      <c r="Q65" s="37">
        <v>5</v>
      </c>
      <c r="R65" s="33">
        <v>16.149999999999999</v>
      </c>
      <c r="S65" s="55">
        <v>0</v>
      </c>
    </row>
    <row r="66" spans="1:19" x14ac:dyDescent="0.35">
      <c r="A66" s="37">
        <v>63</v>
      </c>
      <c r="B66" s="37">
        <v>202531663</v>
      </c>
      <c r="C66" s="38" t="s">
        <v>65</v>
      </c>
      <c r="D66" s="53">
        <v>0.5</v>
      </c>
      <c r="E66" s="37">
        <v>0</v>
      </c>
      <c r="F66" s="37">
        <v>0</v>
      </c>
      <c r="G66" s="54">
        <v>0</v>
      </c>
      <c r="H66" s="53">
        <v>0</v>
      </c>
      <c r="I66" s="37">
        <v>0</v>
      </c>
      <c r="J66" s="37">
        <v>0</v>
      </c>
      <c r="K66" s="37">
        <v>0</v>
      </c>
      <c r="L66" s="37">
        <v>0</v>
      </c>
      <c r="M66" s="37">
        <v>0</v>
      </c>
      <c r="N66" s="37">
        <v>0</v>
      </c>
      <c r="O66" s="37">
        <v>0</v>
      </c>
      <c r="P66" s="37">
        <v>0</v>
      </c>
      <c r="Q66" s="37">
        <v>0</v>
      </c>
      <c r="R66" s="33">
        <v>0.5</v>
      </c>
      <c r="S66" s="55">
        <v>0</v>
      </c>
    </row>
    <row r="67" spans="1:19" x14ac:dyDescent="0.35">
      <c r="A67" s="37">
        <v>64</v>
      </c>
      <c r="B67" s="37">
        <v>202531724</v>
      </c>
      <c r="C67" s="38" t="s">
        <v>66</v>
      </c>
      <c r="D67" s="53">
        <v>0.5</v>
      </c>
      <c r="E67" s="37">
        <v>0</v>
      </c>
      <c r="F67" s="37">
        <v>0.25</v>
      </c>
      <c r="G67" s="54">
        <v>0.45</v>
      </c>
      <c r="H67" s="53">
        <v>0.4</v>
      </c>
      <c r="I67" s="37">
        <v>0.85</v>
      </c>
      <c r="J67" s="37">
        <v>1</v>
      </c>
      <c r="K67" s="37">
        <v>1.5</v>
      </c>
      <c r="L67" s="37">
        <v>1.4</v>
      </c>
      <c r="M67" s="37">
        <v>1.5</v>
      </c>
      <c r="N67" s="37">
        <v>1.4</v>
      </c>
      <c r="O67" s="37">
        <v>1</v>
      </c>
      <c r="P67" s="37">
        <v>1.5</v>
      </c>
      <c r="Q67" s="37">
        <v>5</v>
      </c>
      <c r="R67" s="33">
        <v>16.75</v>
      </c>
      <c r="S67" s="55">
        <v>0</v>
      </c>
    </row>
    <row r="68" spans="1:19" x14ac:dyDescent="0.35">
      <c r="A68" s="37">
        <v>65</v>
      </c>
      <c r="B68" s="37">
        <v>202531736</v>
      </c>
      <c r="C68" s="38" t="s">
        <v>67</v>
      </c>
      <c r="D68" s="53">
        <v>0.5</v>
      </c>
      <c r="E68" s="37">
        <v>0</v>
      </c>
      <c r="F68" s="37">
        <v>0.5</v>
      </c>
      <c r="G68" s="54">
        <v>0</v>
      </c>
      <c r="H68" s="53">
        <v>0</v>
      </c>
      <c r="I68" s="37">
        <v>1</v>
      </c>
      <c r="J68" s="37">
        <v>1</v>
      </c>
      <c r="K68" s="37">
        <v>1.5</v>
      </c>
      <c r="L68" s="37">
        <v>0</v>
      </c>
      <c r="M68" s="37">
        <v>1.2</v>
      </c>
      <c r="N68" s="37">
        <v>1.3</v>
      </c>
      <c r="O68" s="37">
        <v>0.8</v>
      </c>
      <c r="P68" s="37">
        <v>1.5</v>
      </c>
      <c r="Q68" s="37">
        <v>5</v>
      </c>
      <c r="R68" s="33">
        <v>14.3</v>
      </c>
      <c r="S68" s="55">
        <v>0</v>
      </c>
    </row>
    <row r="69" spans="1:19" x14ac:dyDescent="0.35">
      <c r="A69" s="37">
        <v>66</v>
      </c>
      <c r="B69" s="37">
        <v>202531778</v>
      </c>
      <c r="C69" s="38" t="s">
        <v>68</v>
      </c>
      <c r="D69" s="53">
        <v>0.5</v>
      </c>
      <c r="E69" s="37">
        <v>0</v>
      </c>
      <c r="F69" s="37">
        <v>0.5</v>
      </c>
      <c r="G69" s="54">
        <v>0.45</v>
      </c>
      <c r="H69" s="53">
        <v>0.75</v>
      </c>
      <c r="I69" s="37">
        <v>0.85</v>
      </c>
      <c r="J69" s="37">
        <v>1</v>
      </c>
      <c r="K69" s="37">
        <v>1.5</v>
      </c>
      <c r="L69" s="37">
        <v>1.4</v>
      </c>
      <c r="M69" s="37">
        <v>1.8</v>
      </c>
      <c r="N69" s="37">
        <v>2</v>
      </c>
      <c r="O69" s="37">
        <v>1</v>
      </c>
      <c r="P69" s="37">
        <v>1.5</v>
      </c>
      <c r="Q69" s="37">
        <v>5</v>
      </c>
      <c r="R69" s="33">
        <v>18.25</v>
      </c>
      <c r="S69" s="55">
        <v>0</v>
      </c>
    </row>
    <row r="70" spans="1:19" x14ac:dyDescent="0.35">
      <c r="A70" s="37">
        <v>67</v>
      </c>
      <c r="B70" s="37">
        <v>202531844</v>
      </c>
      <c r="C70" s="38" t="s">
        <v>69</v>
      </c>
      <c r="D70" s="53">
        <v>0.5</v>
      </c>
      <c r="E70" s="37">
        <v>0</v>
      </c>
      <c r="F70" s="37">
        <v>0.5</v>
      </c>
      <c r="G70" s="54">
        <v>0.5</v>
      </c>
      <c r="H70" s="53">
        <v>1</v>
      </c>
      <c r="I70" s="37">
        <v>1</v>
      </c>
      <c r="J70" s="37">
        <v>1</v>
      </c>
      <c r="K70" s="37">
        <v>1.5</v>
      </c>
      <c r="L70" s="37">
        <v>2</v>
      </c>
      <c r="M70" s="37">
        <v>0</v>
      </c>
      <c r="N70" s="37">
        <v>2</v>
      </c>
      <c r="O70" s="37">
        <v>0</v>
      </c>
      <c r="P70" s="37">
        <v>0</v>
      </c>
      <c r="Q70" s="37">
        <v>0</v>
      </c>
      <c r="R70" s="33">
        <v>10</v>
      </c>
      <c r="S70" s="55">
        <v>0</v>
      </c>
    </row>
    <row r="71" spans="1:19" x14ac:dyDescent="0.35">
      <c r="A71" s="37">
        <v>68</v>
      </c>
      <c r="B71" s="37">
        <v>202531883</v>
      </c>
      <c r="C71" s="38" t="s">
        <v>70</v>
      </c>
      <c r="D71" s="53">
        <v>0.5</v>
      </c>
      <c r="E71" s="37">
        <v>0</v>
      </c>
      <c r="F71" s="37">
        <v>0.5</v>
      </c>
      <c r="G71" s="54">
        <v>0.5</v>
      </c>
      <c r="H71" s="53">
        <v>0.85</v>
      </c>
      <c r="I71" s="37">
        <v>1</v>
      </c>
      <c r="J71" s="37">
        <v>1</v>
      </c>
      <c r="K71" s="37">
        <v>1.5</v>
      </c>
      <c r="L71" s="37">
        <v>1.8</v>
      </c>
      <c r="M71" s="37">
        <v>1.9</v>
      </c>
      <c r="N71" s="37">
        <v>1.7</v>
      </c>
      <c r="O71" s="37">
        <v>0.95</v>
      </c>
      <c r="P71" s="37">
        <v>0</v>
      </c>
      <c r="Q71" s="37">
        <v>5</v>
      </c>
      <c r="R71" s="33">
        <v>18.199999999999996</v>
      </c>
      <c r="S71" s="55">
        <v>1</v>
      </c>
    </row>
    <row r="72" spans="1:19" x14ac:dyDescent="0.35">
      <c r="A72" s="37">
        <v>69</v>
      </c>
      <c r="B72" s="37">
        <v>202531947</v>
      </c>
      <c r="C72" s="38" t="s">
        <v>71</v>
      </c>
      <c r="D72" s="53">
        <v>0.5</v>
      </c>
      <c r="E72" s="37">
        <v>0</v>
      </c>
      <c r="F72" s="37">
        <v>0.5</v>
      </c>
      <c r="G72" s="54">
        <v>0</v>
      </c>
      <c r="H72" s="53">
        <v>0.85</v>
      </c>
      <c r="I72" s="37">
        <v>0.75</v>
      </c>
      <c r="J72" s="37">
        <v>1</v>
      </c>
      <c r="K72" s="37">
        <v>1.5</v>
      </c>
      <c r="L72" s="37">
        <v>1</v>
      </c>
      <c r="M72" s="37">
        <v>1.8</v>
      </c>
      <c r="N72" s="37">
        <v>1.4</v>
      </c>
      <c r="O72" s="37">
        <v>0</v>
      </c>
      <c r="P72" s="37">
        <v>0</v>
      </c>
      <c r="Q72" s="37">
        <v>0</v>
      </c>
      <c r="R72" s="33">
        <v>9.2999999999999989</v>
      </c>
      <c r="S72" s="55">
        <v>0</v>
      </c>
    </row>
    <row r="73" spans="1:19" x14ac:dyDescent="0.35">
      <c r="A73" s="37">
        <v>70</v>
      </c>
      <c r="B73" s="37">
        <v>202532062</v>
      </c>
      <c r="C73" s="38" t="s">
        <v>72</v>
      </c>
      <c r="D73" s="53">
        <v>0</v>
      </c>
      <c r="E73" s="37">
        <v>0</v>
      </c>
      <c r="F73" s="37">
        <v>0.5</v>
      </c>
      <c r="G73" s="54">
        <v>0</v>
      </c>
      <c r="H73" s="53">
        <v>0.85</v>
      </c>
      <c r="I73" s="37">
        <v>0</v>
      </c>
      <c r="J73" s="37">
        <v>1</v>
      </c>
      <c r="K73" s="37">
        <v>1.5</v>
      </c>
      <c r="L73" s="37">
        <v>1</v>
      </c>
      <c r="M73" s="37">
        <v>0</v>
      </c>
      <c r="N73" s="37">
        <v>0.4</v>
      </c>
      <c r="O73" s="37">
        <v>1</v>
      </c>
      <c r="P73" s="37">
        <v>1.5</v>
      </c>
      <c r="Q73" s="37">
        <v>5</v>
      </c>
      <c r="R73" s="33">
        <v>12.75</v>
      </c>
      <c r="S73" s="55">
        <v>0</v>
      </c>
    </row>
    <row r="74" spans="1:19" x14ac:dyDescent="0.35">
      <c r="A74" s="37">
        <v>71</v>
      </c>
      <c r="B74" s="37">
        <v>202532079</v>
      </c>
      <c r="C74" s="38" t="s">
        <v>73</v>
      </c>
      <c r="D74" s="53">
        <v>0</v>
      </c>
      <c r="E74" s="37">
        <v>0</v>
      </c>
      <c r="F74" s="37">
        <v>0.5</v>
      </c>
      <c r="G74" s="54">
        <v>0</v>
      </c>
      <c r="H74" s="53">
        <v>0</v>
      </c>
      <c r="I74" s="37">
        <v>0.5</v>
      </c>
      <c r="J74" s="37">
        <v>0</v>
      </c>
      <c r="K74" s="37">
        <v>0</v>
      </c>
      <c r="L74" s="37">
        <v>0</v>
      </c>
      <c r="M74" s="37">
        <v>0</v>
      </c>
      <c r="N74" s="37">
        <v>0</v>
      </c>
      <c r="O74" s="37">
        <v>0</v>
      </c>
      <c r="P74" s="37">
        <v>0</v>
      </c>
      <c r="Q74" s="37">
        <v>0</v>
      </c>
      <c r="R74" s="33">
        <v>1</v>
      </c>
      <c r="S74" s="55">
        <v>0</v>
      </c>
    </row>
    <row r="75" spans="1:19" x14ac:dyDescent="0.35">
      <c r="A75" s="37">
        <v>72</v>
      </c>
      <c r="B75" s="37">
        <v>202530466</v>
      </c>
      <c r="C75" s="38" t="s">
        <v>74</v>
      </c>
      <c r="D75" s="53">
        <v>0.5</v>
      </c>
      <c r="E75" s="37">
        <v>0</v>
      </c>
      <c r="F75" s="37">
        <v>0.5</v>
      </c>
      <c r="G75" s="54">
        <v>0.5</v>
      </c>
      <c r="H75" s="53">
        <v>1</v>
      </c>
      <c r="I75" s="37">
        <v>1</v>
      </c>
      <c r="J75" s="37">
        <v>1</v>
      </c>
      <c r="K75" s="37">
        <v>1.5</v>
      </c>
      <c r="L75" s="37">
        <v>2</v>
      </c>
      <c r="M75" s="37">
        <v>2</v>
      </c>
      <c r="N75" s="37">
        <v>2</v>
      </c>
      <c r="O75" s="37">
        <v>1</v>
      </c>
      <c r="P75" s="37">
        <v>1.5</v>
      </c>
      <c r="Q75" s="37">
        <v>5</v>
      </c>
      <c r="R75" s="33">
        <v>19.5</v>
      </c>
      <c r="S75" s="55">
        <v>0</v>
      </c>
    </row>
    <row r="76" spans="1:19" ht="16" thickBot="1" x14ac:dyDescent="0.4">
      <c r="A76" s="37">
        <v>73</v>
      </c>
      <c r="B76" s="37">
        <v>202030192</v>
      </c>
      <c r="C76" s="38" t="s">
        <v>75</v>
      </c>
      <c r="D76" s="56">
        <v>0</v>
      </c>
      <c r="E76" s="57">
        <v>0</v>
      </c>
      <c r="F76" s="57">
        <v>0.25</v>
      </c>
      <c r="G76" s="58">
        <v>0.375</v>
      </c>
      <c r="H76" s="56">
        <v>0</v>
      </c>
      <c r="I76" s="57">
        <v>1</v>
      </c>
      <c r="J76" s="57">
        <v>1</v>
      </c>
      <c r="K76" s="57">
        <v>1.5</v>
      </c>
      <c r="L76" s="57">
        <v>2</v>
      </c>
      <c r="M76" s="57">
        <v>1.7</v>
      </c>
      <c r="N76" s="57">
        <v>0</v>
      </c>
      <c r="O76" s="57">
        <v>0</v>
      </c>
      <c r="P76" s="57">
        <v>0</v>
      </c>
      <c r="Q76" s="57">
        <v>0</v>
      </c>
      <c r="R76" s="34">
        <v>7.8250000000000002</v>
      </c>
      <c r="S76" s="5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Marlon Ivan Carreto Rivera</dc:creator>
  <cp:lastModifiedBy>Ivan Rivera</cp:lastModifiedBy>
  <cp:lastPrinted>2025-10-27T06:41:58Z</cp:lastPrinted>
  <dcterms:created xsi:type="dcterms:W3CDTF">2025-10-26T19:08:22Z</dcterms:created>
  <dcterms:modified xsi:type="dcterms:W3CDTF">2025-10-27T08:35:27Z</dcterms:modified>
</cp:coreProperties>
</file>