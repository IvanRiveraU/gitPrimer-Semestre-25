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PRACTICAS DOCENCIA\LABORATORIO MB1\LISTADO COMPLETO MACROS\"/>
    </mc:Choice>
  </mc:AlternateContent>
  <xr:revisionPtr revIDLastSave="0" documentId="13_ncr:1_{88B1BF53-31BC-4FEA-AEFB-C35F3C2BEDFF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S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5" i="1"/>
  <c r="S78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5" i="1"/>
  <c r="R78" i="1" l="1"/>
  <c r="Q26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 l="1"/>
  <c r="F78" i="1"/>
  <c r="G78" i="1"/>
  <c r="H78" i="1"/>
  <c r="I78" i="1"/>
  <c r="J78" i="1"/>
  <c r="K78" i="1"/>
  <c r="L78" i="1"/>
  <c r="M78" i="1"/>
  <c r="N78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5" i="1"/>
  <c r="O78" i="1"/>
  <c r="P78" i="1"/>
</calcChain>
</file>

<file path=xl/sharedStrings.xml><?xml version="1.0" encoding="utf-8"?>
<sst xmlns="http://schemas.openxmlformats.org/spreadsheetml/2006/main" count="142" uniqueCount="122">
  <si>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</si>
  <si>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</si>
  <si>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</si>
  <si>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</si>
  <si>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</si>
  <si>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</si>
  <si>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</si>
  <si>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</si>
  <si>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</si>
  <si>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</si>
  <si>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</si>
  <si>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</si>
  <si>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</si>
  <si>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</si>
  <si>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</si>
  <si>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</si>
  <si>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</si>
  <si>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</si>
  <si>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</si>
  <si>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</si>
  <si>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</si>
  <si>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</si>
  <si>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</si>
  <si>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</si>
  <si>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</si>
  <si>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</si>
  <si>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</si>
  <si>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</si>
  <si>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</si>
  <si>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</si>
  <si>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</si>
  <si>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</si>
  <si>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</si>
  <si>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</si>
  <si>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</si>
  <si>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</si>
  <si>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</si>
  <si>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</si>
  <si>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</si>
  <si>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</si>
  <si>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</si>
  <si>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</si>
  <si>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</si>
  <si>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</si>
  <si>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</si>
  <si>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</si>
  <si>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</si>
  <si>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</si>
  <si>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</si>
  <si>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</si>
  <si>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</si>
  <si>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</si>
  <si>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</si>
  <si>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</si>
  <si>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</si>
  <si>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</si>
  <si>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</si>
  <si>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</si>
  <si>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</si>
  <si>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</si>
  <si>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</si>
  <si>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</si>
  <si>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</si>
  <si>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</si>
  <si>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</si>
  <si>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</si>
  <si>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</si>
  <si>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</si>
  <si>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</si>
  <si>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</si>
  <si>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</si>
  <si>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</si>
  <si>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</si>
  <si>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</si>
  <si>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</si>
  <si>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</si>
  <si>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</si>
  <si>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</si>
  <si>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</si>
  <si>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</si>
  <si>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</si>
  <si>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</si>
  <si>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</si>
  <si>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</si>
  <si>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</si>
  <si>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</si>
  <si>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</si>
  <si>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</si>
  <si>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</si>
  <si>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</si>
  <si>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</si>
  <si>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</si>
  <si>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 Ingeniero  (29/07/2025)</t>
  </si>
  <si>
    <t>HT Ingeniero   (1/08/2025)</t>
  </si>
  <si>
    <t>HT Ingeniero  (13/08/2025)</t>
  </si>
  <si>
    <t>HT Ingeniero  (29/08/2025)</t>
  </si>
  <si>
    <t>Geometria y ecuaciones (12/08/2025)</t>
  </si>
  <si>
    <t>Evaluar Funciones (19/08/2025)</t>
  </si>
  <si>
    <t>Dominio Funciones (28/08/2025)</t>
  </si>
  <si>
    <t>Investigacion T. Polinomios (2/09/2025)</t>
  </si>
  <si>
    <t>Graficas   (2/09/2025)</t>
  </si>
  <si>
    <t>Representación Polinomios (11/09/2025)</t>
  </si>
  <si>
    <t>Division de Polinomios (23/09/2025)</t>
  </si>
  <si>
    <t>Funciones Racionales, Asintotas (9/10/2025)</t>
  </si>
  <si>
    <t>Funciones Exp, N, Log      (16/10/2025)</t>
  </si>
  <si>
    <t>Proyecto Final      (23/10/2025)</t>
  </si>
  <si>
    <t>NOTAS FINALES</t>
  </si>
  <si>
    <t>Puntaje asignado por actividad</t>
  </si>
  <si>
    <t>HT1</t>
  </si>
  <si>
    <t xml:space="preserve">HT2 </t>
  </si>
  <si>
    <t xml:space="preserve">HT3 </t>
  </si>
  <si>
    <t xml:space="preserve">HT4  </t>
  </si>
  <si>
    <t xml:space="preserve">TAREA </t>
  </si>
  <si>
    <t>PF</t>
  </si>
  <si>
    <t>NTF</t>
  </si>
  <si>
    <t>HT2</t>
  </si>
  <si>
    <t>HT 3</t>
  </si>
  <si>
    <t>HT4</t>
  </si>
  <si>
    <t xml:space="preserve">HT5 </t>
  </si>
  <si>
    <t xml:space="preserve">HT6 </t>
  </si>
  <si>
    <t>HT7</t>
  </si>
  <si>
    <t>HT8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</si>
</sst>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2" fillId="0" borderId="0" xfId="0" applyFont="1" applyFill="1"/>
    <xf numFmtId="0" fontId="0" fillId="0" borderId="0" xfId="0" applyFill="1"/>
    <xf numFmtId="0" fontId="3" fillId="0" borderId="0" xfId="0" applyFont="1" applyFill="1"/>
    <xf numFmtId="0" fontId="4" fillId="0" borderId="0" xfId="0" applyFont="1"/>
    <xf numFmtId="0" fontId="5" fillId="0" borderId="0" xfId="0" applyFont="1"/>
    <xf numFmtId="0" fontId="5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4" fillId="0" borderId="5" xfId="0" applyFont="1" applyBorder="1" applyAlignment="1">
      <alignment horizontal="center" vertical="center" textRotation="90" wrapText="1"/>
    </xf>
    <xf numFmtId="0" fontId="4" fillId="0" borderId="6" xfId="0" applyFont="1" applyBorder="1" applyAlignment="1">
      <alignment horizontal="center" vertical="center" textRotation="90" wrapText="1"/>
    </xf>
    <xf numFmtId="0" fontId="4" fillId="0" borderId="7" xfId="0" applyFont="1" applyBorder="1" applyAlignment="1">
      <alignment horizontal="center" vertical="center" textRotation="90" wrapText="1"/>
    </xf>
    <xf numFmtId="0" fontId="4" fillId="0" borderId="5" xfId="0" applyFont="1" applyFill="1" applyBorder="1" applyAlignment="1">
      <alignment horizontal="center" vertical="center" textRotation="90" wrapText="1"/>
    </xf>
    <xf numFmtId="0" fontId="4" fillId="0" borderId="6" xfId="0" applyFont="1" applyFill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4" fillId="0" borderId="0" xfId="0" applyFont="1" applyFill="1"/>
    <xf numFmtId="20" fontId="4" fillId="0" borderId="0" xfId="0" applyNumberFormat="1" applyFont="1"/>
    <xf numFmtId="20" fontId="4" fillId="0" borderId="0" xfId="0" applyNumberFormat="1" applyFont="1" applyFill="1"/>
    <xf numFmtId="0" fontId="4" fillId="0" borderId="3" xfId="0" applyFont="1" applyBorder="1"/>
    <xf numFmtId="0" fontId="5" fillId="0" borderId="3" xfId="0" applyFont="1" applyBorder="1"/>
    <xf numFmtId="0" fontId="5" fillId="0" borderId="3" xfId="0" applyFont="1" applyFill="1" applyBorder="1"/>
    <xf numFmtId="0" fontId="5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htasintota.xlsm" TargetMode="External"/><Relationship Id="rId1" Type="http://schemas.openxmlformats.org/officeDocument/2006/relationships/externalLinkPath" Target="htasintota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htfxexp.xlsm" TargetMode="External"/><Relationship Id="rId1" Type="http://schemas.openxmlformats.org/officeDocument/2006/relationships/externalLinkPath" Target="htfxexp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proyfn.xlsm" TargetMode="External"/><Relationship Id="rId1" Type="http://schemas.openxmlformats.org/officeDocument/2006/relationships/externalLinkPath" Target="proyf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 refreshError="1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80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80</v>
          </cell>
        </row>
        <row r="13">
          <cell r="L13">
            <v>80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80</v>
          </cell>
        </row>
        <row r="22">
          <cell r="L22">
            <v>100</v>
          </cell>
        </row>
        <row r="23">
          <cell r="L23">
            <v>80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80</v>
          </cell>
        </row>
        <row r="27">
          <cell r="L27">
            <v>80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80</v>
          </cell>
        </row>
        <row r="31">
          <cell r="L31">
            <v>0</v>
          </cell>
        </row>
        <row r="32">
          <cell r="L32">
            <v>80</v>
          </cell>
        </row>
        <row r="33">
          <cell r="L33">
            <v>90</v>
          </cell>
        </row>
        <row r="34">
          <cell r="L34">
            <v>80</v>
          </cell>
        </row>
        <row r="35">
          <cell r="L35">
            <v>80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80</v>
          </cell>
        </row>
        <row r="39">
          <cell r="L39">
            <v>95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80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80</v>
          </cell>
        </row>
        <row r="48">
          <cell r="L48">
            <v>80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80</v>
          </cell>
        </row>
        <row r="55">
          <cell r="L55">
            <v>90</v>
          </cell>
        </row>
        <row r="56">
          <cell r="L56">
            <v>80</v>
          </cell>
        </row>
        <row r="57">
          <cell r="L57">
            <v>95</v>
          </cell>
        </row>
        <row r="58">
          <cell r="L58">
            <v>100</v>
          </cell>
        </row>
        <row r="59">
          <cell r="L59">
            <v>90</v>
          </cell>
        </row>
        <row r="60">
          <cell r="L60">
            <v>80</v>
          </cell>
        </row>
        <row r="61">
          <cell r="L61">
            <v>80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95</v>
          </cell>
        </row>
        <row r="66">
          <cell r="L66">
            <v>0</v>
          </cell>
        </row>
        <row r="67">
          <cell r="L67">
            <v>90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80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95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exp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100</v>
          </cell>
        </row>
        <row r="13">
          <cell r="L13">
            <v>0</v>
          </cell>
        </row>
        <row r="14">
          <cell r="L14">
            <v>100</v>
          </cell>
        </row>
        <row r="15">
          <cell r="L15">
            <v>0</v>
          </cell>
        </row>
        <row r="16">
          <cell r="L16">
            <v>0</v>
          </cell>
        </row>
        <row r="17">
          <cell r="L17">
            <v>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100</v>
          </cell>
        </row>
        <row r="22">
          <cell r="L22">
            <v>100</v>
          </cell>
        </row>
        <row r="23">
          <cell r="L23">
            <v>100</v>
          </cell>
        </row>
        <row r="24">
          <cell r="L24">
            <v>0</v>
          </cell>
        </row>
        <row r="25">
          <cell r="L25">
            <v>0</v>
          </cell>
        </row>
        <row r="26">
          <cell r="L26">
            <v>100</v>
          </cell>
        </row>
        <row r="27">
          <cell r="L27">
            <v>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100</v>
          </cell>
        </row>
        <row r="34">
          <cell r="L34">
            <v>100</v>
          </cell>
        </row>
        <row r="35">
          <cell r="L35">
            <v>100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100</v>
          </cell>
        </row>
        <row r="39">
          <cell r="L39">
            <v>100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100</v>
          </cell>
        </row>
        <row r="44">
          <cell r="L44">
            <v>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100</v>
          </cell>
        </row>
        <row r="48">
          <cell r="L48">
            <v>100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100</v>
          </cell>
        </row>
        <row r="55">
          <cell r="L55">
            <v>100</v>
          </cell>
        </row>
        <row r="56">
          <cell r="L56">
            <v>100</v>
          </cell>
        </row>
        <row r="57">
          <cell r="L57">
            <v>0</v>
          </cell>
        </row>
        <row r="58">
          <cell r="L58">
            <v>100</v>
          </cell>
        </row>
        <row r="59">
          <cell r="L59">
            <v>100</v>
          </cell>
        </row>
        <row r="60">
          <cell r="L60">
            <v>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100</v>
          </cell>
        </row>
        <row r="66">
          <cell r="L66">
            <v>0</v>
          </cell>
        </row>
        <row r="67">
          <cell r="L67">
            <v>100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100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0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tfxasint"/>
      <sheetName val="punteo"/>
    </sheetNames>
    <sheetDataSet>
      <sheetData sheetId="0"/>
      <sheetData sheetId="1">
        <row r="6">
          <cell r="L6">
            <v>0</v>
          </cell>
        </row>
        <row r="7">
          <cell r="L7">
            <v>100</v>
          </cell>
        </row>
        <row r="8">
          <cell r="L8">
            <v>100</v>
          </cell>
        </row>
        <row r="9">
          <cell r="L9">
            <v>0</v>
          </cell>
        </row>
        <row r="10">
          <cell r="L10">
            <v>100</v>
          </cell>
        </row>
        <row r="11">
          <cell r="L11">
            <v>0</v>
          </cell>
        </row>
        <row r="12">
          <cell r="L12">
            <v>0</v>
          </cell>
        </row>
        <row r="13">
          <cell r="L13">
            <v>100</v>
          </cell>
        </row>
        <row r="14">
          <cell r="L14">
            <v>100</v>
          </cell>
        </row>
        <row r="15">
          <cell r="L15">
            <v>100</v>
          </cell>
        </row>
        <row r="16">
          <cell r="L16">
            <v>0</v>
          </cell>
        </row>
        <row r="17">
          <cell r="L17">
            <v>100</v>
          </cell>
        </row>
        <row r="18">
          <cell r="L18">
            <v>100</v>
          </cell>
        </row>
        <row r="19">
          <cell r="L19">
            <v>100</v>
          </cell>
        </row>
        <row r="20">
          <cell r="L20">
            <v>0</v>
          </cell>
        </row>
        <row r="21">
          <cell r="L21">
            <v>100</v>
          </cell>
        </row>
        <row r="22">
          <cell r="L22">
            <v>100</v>
          </cell>
        </row>
        <row r="23">
          <cell r="L23">
            <v>100</v>
          </cell>
        </row>
        <row r="24">
          <cell r="L24">
            <v>0</v>
          </cell>
        </row>
        <row r="25">
          <cell r="L25">
            <v>100</v>
          </cell>
        </row>
        <row r="26">
          <cell r="L26">
            <v>100</v>
          </cell>
        </row>
        <row r="27">
          <cell r="L27">
            <v>100</v>
          </cell>
        </row>
        <row r="28">
          <cell r="L28">
            <v>0</v>
          </cell>
        </row>
        <row r="29">
          <cell r="L29">
            <v>0</v>
          </cell>
        </row>
        <row r="30">
          <cell r="L30">
            <v>100</v>
          </cell>
        </row>
        <row r="31">
          <cell r="L31">
            <v>0</v>
          </cell>
        </row>
        <row r="32">
          <cell r="L32">
            <v>100</v>
          </cell>
        </row>
        <row r="33">
          <cell r="L33">
            <v>100</v>
          </cell>
        </row>
        <row r="34">
          <cell r="L34">
            <v>100</v>
          </cell>
        </row>
        <row r="35">
          <cell r="L35">
            <v>100</v>
          </cell>
        </row>
        <row r="36">
          <cell r="L36">
            <v>100</v>
          </cell>
        </row>
        <row r="37">
          <cell r="L37">
            <v>100</v>
          </cell>
        </row>
        <row r="38">
          <cell r="L38">
            <v>100</v>
          </cell>
        </row>
        <row r="39">
          <cell r="L39">
            <v>100</v>
          </cell>
        </row>
        <row r="40">
          <cell r="L40">
            <v>100</v>
          </cell>
        </row>
        <row r="41">
          <cell r="L41">
            <v>0</v>
          </cell>
        </row>
        <row r="42">
          <cell r="L42">
            <v>0</v>
          </cell>
        </row>
        <row r="43">
          <cell r="L43">
            <v>100</v>
          </cell>
        </row>
        <row r="44">
          <cell r="L44">
            <v>100</v>
          </cell>
        </row>
        <row r="45">
          <cell r="L45">
            <v>0</v>
          </cell>
        </row>
        <row r="46">
          <cell r="L46">
            <v>0</v>
          </cell>
        </row>
        <row r="47">
          <cell r="L47">
            <v>100</v>
          </cell>
        </row>
        <row r="48">
          <cell r="L48">
            <v>100</v>
          </cell>
        </row>
        <row r="49">
          <cell r="L49">
            <v>100</v>
          </cell>
        </row>
        <row r="50">
          <cell r="L50">
            <v>100</v>
          </cell>
        </row>
        <row r="51">
          <cell r="L51">
            <v>100</v>
          </cell>
        </row>
        <row r="52">
          <cell r="L52">
            <v>100</v>
          </cell>
        </row>
        <row r="53">
          <cell r="L53">
            <v>100</v>
          </cell>
        </row>
        <row r="54">
          <cell r="L54">
            <v>100</v>
          </cell>
        </row>
        <row r="55">
          <cell r="L55">
            <v>100</v>
          </cell>
        </row>
        <row r="56">
          <cell r="L56">
            <v>100</v>
          </cell>
        </row>
        <row r="57">
          <cell r="L57">
            <v>100</v>
          </cell>
        </row>
        <row r="58">
          <cell r="L58">
            <v>100</v>
          </cell>
        </row>
        <row r="59">
          <cell r="L59">
            <v>100</v>
          </cell>
        </row>
        <row r="60">
          <cell r="L60">
            <v>100</v>
          </cell>
        </row>
        <row r="61">
          <cell r="L61">
            <v>100</v>
          </cell>
        </row>
        <row r="62">
          <cell r="L62">
            <v>0</v>
          </cell>
        </row>
        <row r="63">
          <cell r="L63">
            <v>0</v>
          </cell>
        </row>
        <row r="64">
          <cell r="L64">
            <v>100</v>
          </cell>
        </row>
        <row r="65">
          <cell r="L65">
            <v>100</v>
          </cell>
        </row>
        <row r="66">
          <cell r="L66">
            <v>100</v>
          </cell>
        </row>
        <row r="67">
          <cell r="L67">
            <v>100</v>
          </cell>
        </row>
        <row r="68">
          <cell r="L68">
            <v>0</v>
          </cell>
        </row>
        <row r="69">
          <cell r="L69">
            <v>100</v>
          </cell>
        </row>
        <row r="70">
          <cell r="L70">
            <v>100</v>
          </cell>
        </row>
        <row r="71">
          <cell r="L71">
            <v>100</v>
          </cell>
        </row>
        <row r="72">
          <cell r="L72">
            <v>0</v>
          </cell>
        </row>
        <row r="73">
          <cell r="L73">
            <v>100</v>
          </cell>
        </row>
        <row r="74">
          <cell r="L74">
            <v>0</v>
          </cell>
        </row>
        <row r="75">
          <cell r="L75">
            <v>100</v>
          </cell>
        </row>
        <row r="76">
          <cell r="L76">
            <v>0</v>
          </cell>
        </row>
        <row r="77">
          <cell r="L77">
            <v>100</v>
          </cell>
        </row>
        <row r="78">
          <cell r="L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1:Y78"/>
  <sheetViews>
    <sheetView tabSelected="1" topLeftCell="A58" zoomScale="70" zoomScaleNormal="70" workbookViewId="0">
      <selection activeCell="I6" sqref="I6"/>
    </sheetView>
  </sheetViews>
  <sheetFormatPr baseColWidth="10" defaultRowHeight="14.5" x14ac:dyDescent="0.35"/>
  <cols>
    <col min="2" max="2" width="29.26953125" style="1" customWidth="1"/>
    <col min="3" max="3" width="4.90625" customWidth="1"/>
    <col min="4" max="4" width="12.6328125" customWidth="1"/>
    <col min="5" max="5" width="33.90625" customWidth="1"/>
    <col min="6" max="9" width="7.453125" customWidth="1"/>
    <col min="10" max="11" width="9.6328125" style="13" customWidth="1"/>
    <col min="12" max="13" width="9.6328125" customWidth="1"/>
    <col min="14" max="14" width="9.6328125" style="13" customWidth="1"/>
    <col min="15" max="15" width="9.6328125" customWidth="1"/>
    <col min="16" max="17" width="9.6328125" style="13" customWidth="1"/>
    <col min="18" max="20" width="9.6328125" customWidth="1"/>
    <col min="21" max="21" width="27.26953125" customWidth="1"/>
    <col min="22" max="23" width="31.81640625" customWidth="1"/>
    <col min="24" max="24" width="22.81640625" customWidth="1"/>
    <col min="25" max="25" width="18.54296875" customWidth="1"/>
  </cols>
  <sheetData>
    <row r="1" spans="1:25" ht="15" thickBot="1" x14ac:dyDescent="0.4"/>
    <row r="2" spans="1:25" ht="109" x14ac:dyDescent="0.35">
      <c r="A2" s="15"/>
      <c r="B2" s="16"/>
      <c r="C2" s="17"/>
      <c r="D2" s="18"/>
      <c r="E2" s="19"/>
      <c r="F2" s="20" t="s">
        <v>92</v>
      </c>
      <c r="G2" s="21" t="s">
        <v>93</v>
      </c>
      <c r="H2" s="21" t="s">
        <v>94</v>
      </c>
      <c r="I2" s="22" t="s">
        <v>95</v>
      </c>
      <c r="J2" s="23" t="s">
        <v>96</v>
      </c>
      <c r="K2" s="24" t="s">
        <v>97</v>
      </c>
      <c r="L2" s="21" t="s">
        <v>98</v>
      </c>
      <c r="M2" s="21" t="s">
        <v>99</v>
      </c>
      <c r="N2" s="24" t="s">
        <v>100</v>
      </c>
      <c r="O2" s="21" t="s">
        <v>101</v>
      </c>
      <c r="P2" s="24" t="s">
        <v>102</v>
      </c>
      <c r="Q2" s="24" t="s">
        <v>103</v>
      </c>
      <c r="R2" s="21" t="s">
        <v>104</v>
      </c>
      <c r="S2" s="21" t="s">
        <v>105</v>
      </c>
      <c r="T2" s="22" t="s">
        <v>106</v>
      </c>
      <c r="V2" s="5" t="s">
        <v>75</v>
      </c>
      <c r="W2" s="5" t="s">
        <v>75</v>
      </c>
      <c r="X2" s="11" t="s">
        <v>91</v>
      </c>
      <c r="Y2" s="11"/>
    </row>
    <row r="3" spans="1:25" x14ac:dyDescent="0.35">
      <c r="A3" s="15"/>
      <c r="B3" s="16"/>
      <c r="C3" s="25"/>
      <c r="D3" s="25"/>
      <c r="E3" s="26" t="s">
        <v>107</v>
      </c>
      <c r="F3" s="27">
        <v>0.5</v>
      </c>
      <c r="G3" s="28">
        <v>0.5</v>
      </c>
      <c r="H3" s="28">
        <v>0.5</v>
      </c>
      <c r="I3" s="29">
        <v>0.5</v>
      </c>
      <c r="J3" s="30">
        <v>1</v>
      </c>
      <c r="K3" s="31">
        <v>1</v>
      </c>
      <c r="L3" s="28">
        <v>1</v>
      </c>
      <c r="M3" s="28">
        <v>1.5</v>
      </c>
      <c r="N3" s="31">
        <v>2</v>
      </c>
      <c r="O3" s="28">
        <v>2</v>
      </c>
      <c r="P3" s="31">
        <v>2</v>
      </c>
      <c r="Q3" s="31">
        <v>1</v>
      </c>
      <c r="R3" s="28">
        <v>1.5</v>
      </c>
      <c r="S3" s="28">
        <v>5</v>
      </c>
      <c r="T3" s="29">
        <f>SUM(F3:S3)</f>
        <v>20</v>
      </c>
      <c r="V3" s="5" t="s">
        <v>77</v>
      </c>
      <c r="W3" s="5" t="s">
        <v>89</v>
      </c>
      <c r="X3" s="4" t="s">
        <v>76</v>
      </c>
      <c r="Y3" s="4" t="s">
        <v>77</v>
      </c>
    </row>
    <row r="4" spans="1:25" x14ac:dyDescent="0.35">
      <c r="A4" s="15"/>
      <c r="B4" s="16"/>
      <c r="C4" s="18" t="s">
        <v>0</v>
      </c>
      <c r="D4" s="18" t="s">
        <v>1</v>
      </c>
      <c r="E4" s="19" t="s">
        <v>2</v>
      </c>
      <c r="F4" s="32" t="s">
        <v>108</v>
      </c>
      <c r="G4" s="33" t="s">
        <v>109</v>
      </c>
      <c r="H4" s="33" t="s">
        <v>110</v>
      </c>
      <c r="I4" s="34" t="s">
        <v>111</v>
      </c>
      <c r="J4" s="35" t="s">
        <v>108</v>
      </c>
      <c r="K4" s="36" t="s">
        <v>115</v>
      </c>
      <c r="L4" s="33" t="s">
        <v>116</v>
      </c>
      <c r="M4" s="33" t="s">
        <v>117</v>
      </c>
      <c r="N4" s="36" t="s">
        <v>112</v>
      </c>
      <c r="O4" s="33" t="s">
        <v>118</v>
      </c>
      <c r="P4" s="36" t="s">
        <v>119</v>
      </c>
      <c r="Q4" s="36" t="s">
        <v>120</v>
      </c>
      <c r="R4" s="33" t="s">
        <v>121</v>
      </c>
      <c r="S4" s="33" t="s">
        <v>113</v>
      </c>
      <c r="T4" s="34" t="s">
        <v>114</v>
      </c>
      <c r="U4" s="4"/>
      <c r="V4" s="6">
        <v>45911</v>
      </c>
      <c r="W4" s="4" t="s">
        <v>90</v>
      </c>
      <c r="X4" s="2">
        <v>45930</v>
      </c>
      <c r="Y4" s="2">
        <v>45902</v>
      </c>
    </row>
    <row r="5" spans="1:25" x14ac:dyDescent="0.35">
      <c r="A5" s="15"/>
      <c r="B5" s="16"/>
      <c r="C5" s="15">
        <v>1</v>
      </c>
      <c r="D5" s="15">
        <v>202030174</v>
      </c>
      <c r="E5" s="15" t="s">
        <v>3</v>
      </c>
      <c r="F5" s="15">
        <v>0</v>
      </c>
      <c r="G5" s="15">
        <v>0</v>
      </c>
      <c r="H5" s="15">
        <v>50</v>
      </c>
      <c r="I5" s="15">
        <v>0</v>
      </c>
      <c r="J5" s="37">
        <v>0</v>
      </c>
      <c r="K5" s="37">
        <v>0</v>
      </c>
      <c r="L5" s="15">
        <v>0</v>
      </c>
      <c r="M5" s="15">
        <v>100</v>
      </c>
      <c r="N5" s="37">
        <v>0</v>
      </c>
      <c r="O5" s="15">
        <v>0</v>
      </c>
      <c r="P5" s="37">
        <v>100</v>
      </c>
      <c r="Q5" s="14">
        <f>IF([1]punteo!L6="",0,[1]punteo!L6)</f>
        <v>0</v>
      </c>
      <c r="R5" s="10">
        <f>IF([2]punteo!L6="",0,[2]punteo!L6)</f>
        <v>0</v>
      </c>
      <c r="S5" s="10">
        <f>IF([3]punteo!L6="",0,[3]punteo!L6)</f>
        <v>0</v>
      </c>
      <c r="T5" s="10"/>
      <c r="U5" s="10"/>
      <c r="V5">
        <f>IF(O5&gt;0,1,0)</f>
        <v>0</v>
      </c>
      <c r="W5">
        <f>IF(P5&gt;0,1,0)</f>
        <v>1</v>
      </c>
      <c r="X5" s="3">
        <v>1</v>
      </c>
    </row>
    <row r="6" spans="1:25" x14ac:dyDescent="0.35">
      <c r="A6" s="15"/>
      <c r="B6" s="16"/>
      <c r="C6" s="15">
        <v>2</v>
      </c>
      <c r="D6" s="15">
        <v>202032032</v>
      </c>
      <c r="E6" s="15" t="s">
        <v>4</v>
      </c>
      <c r="F6" s="15">
        <v>100</v>
      </c>
      <c r="G6" s="15">
        <v>0</v>
      </c>
      <c r="H6" s="15">
        <v>50</v>
      </c>
      <c r="I6" s="15">
        <v>100</v>
      </c>
      <c r="J6" s="37">
        <v>100</v>
      </c>
      <c r="K6" s="37">
        <v>100</v>
      </c>
      <c r="L6" s="15">
        <v>100</v>
      </c>
      <c r="M6" s="15">
        <v>100</v>
      </c>
      <c r="N6" s="37">
        <v>80</v>
      </c>
      <c r="O6" s="15">
        <v>100</v>
      </c>
      <c r="P6" s="37">
        <v>100</v>
      </c>
      <c r="Q6" s="14">
        <f>IF([1]punteo!L7="",0,[1]punteo!L7)</f>
        <v>100</v>
      </c>
      <c r="R6" s="10">
        <f>IF([2]punteo!L7="",0,[2]punteo!L7)</f>
        <v>100</v>
      </c>
      <c r="S6" s="10">
        <f>IF([3]punteo!L7="",0,[3]punteo!L7)</f>
        <v>100</v>
      </c>
      <c r="T6" s="10"/>
      <c r="U6" s="10"/>
      <c r="V6">
        <f t="shared" ref="V6:V69" si="0">IF(O6&gt;0,1,0)</f>
        <v>1</v>
      </c>
      <c r="W6">
        <f t="shared" ref="W6:W69" si="1">IF(P6&gt;0,1,0)</f>
        <v>1</v>
      </c>
      <c r="X6">
        <v>1</v>
      </c>
    </row>
    <row r="7" spans="1:25" x14ac:dyDescent="0.35">
      <c r="A7" s="15"/>
      <c r="B7" s="16"/>
      <c r="C7" s="15">
        <v>3</v>
      </c>
      <c r="D7" s="15">
        <v>202231116</v>
      </c>
      <c r="E7" s="15" t="s">
        <v>5</v>
      </c>
      <c r="F7" s="15">
        <v>100</v>
      </c>
      <c r="G7" s="15">
        <v>0</v>
      </c>
      <c r="H7" s="15">
        <v>100</v>
      </c>
      <c r="I7" s="15">
        <v>0</v>
      </c>
      <c r="J7" s="37">
        <v>85</v>
      </c>
      <c r="K7" s="37">
        <v>100</v>
      </c>
      <c r="L7" s="15">
        <v>100</v>
      </c>
      <c r="M7" s="15">
        <v>100</v>
      </c>
      <c r="N7" s="37">
        <v>70</v>
      </c>
      <c r="O7" s="15">
        <v>0</v>
      </c>
      <c r="P7" s="37">
        <v>85</v>
      </c>
      <c r="Q7" s="14">
        <f>IF([1]punteo!L8="",0,[1]punteo!L8)</f>
        <v>80</v>
      </c>
      <c r="R7" s="10">
        <f>IF([2]punteo!L8="",0,[2]punteo!L8)</f>
        <v>0</v>
      </c>
      <c r="S7" s="10">
        <f>IF([3]punteo!L8="",0,[3]punteo!L8)</f>
        <v>100</v>
      </c>
      <c r="T7" s="10"/>
      <c r="U7" s="10"/>
      <c r="V7">
        <f t="shared" si="0"/>
        <v>0</v>
      </c>
      <c r="W7">
        <f t="shared" si="1"/>
        <v>1</v>
      </c>
      <c r="X7">
        <v>0</v>
      </c>
    </row>
    <row r="8" spans="1:25" x14ac:dyDescent="0.35">
      <c r="A8" s="15"/>
      <c r="B8" s="16"/>
      <c r="C8" s="15">
        <v>4</v>
      </c>
      <c r="D8" s="15">
        <v>202330276</v>
      </c>
      <c r="E8" s="15" t="s">
        <v>6</v>
      </c>
      <c r="F8" s="15">
        <v>0</v>
      </c>
      <c r="G8" s="15">
        <v>0</v>
      </c>
      <c r="H8" s="15">
        <v>0</v>
      </c>
      <c r="I8" s="15">
        <v>0</v>
      </c>
      <c r="J8" s="37">
        <v>0</v>
      </c>
      <c r="K8" s="37">
        <v>0</v>
      </c>
      <c r="L8" s="15">
        <v>0</v>
      </c>
      <c r="M8" s="15">
        <v>0</v>
      </c>
      <c r="N8" s="37">
        <v>0</v>
      </c>
      <c r="O8" s="15">
        <v>0</v>
      </c>
      <c r="P8" s="37">
        <v>0</v>
      </c>
      <c r="Q8" s="14">
        <f>IF([1]punteo!L9="",0,[1]punteo!L9)</f>
        <v>0</v>
      </c>
      <c r="R8" s="10">
        <f>IF([2]punteo!L9="",0,[2]punteo!L9)</f>
        <v>0</v>
      </c>
      <c r="S8" s="10">
        <f>IF([3]punteo!L9="",0,[3]punteo!L9)</f>
        <v>0</v>
      </c>
      <c r="T8" s="10"/>
      <c r="U8" s="10"/>
      <c r="V8">
        <f t="shared" si="0"/>
        <v>0</v>
      </c>
      <c r="W8">
        <f t="shared" si="1"/>
        <v>0</v>
      </c>
      <c r="X8">
        <v>1</v>
      </c>
    </row>
    <row r="9" spans="1:25" x14ac:dyDescent="0.35">
      <c r="A9" s="15"/>
      <c r="B9" s="16"/>
      <c r="C9" s="15">
        <v>5</v>
      </c>
      <c r="D9" s="15">
        <v>202331587</v>
      </c>
      <c r="E9" s="15" t="s">
        <v>7</v>
      </c>
      <c r="F9" s="15">
        <v>0</v>
      </c>
      <c r="G9" s="15">
        <v>0</v>
      </c>
      <c r="H9" s="15">
        <v>100</v>
      </c>
      <c r="I9" s="15">
        <v>90</v>
      </c>
      <c r="J9" s="37">
        <v>0</v>
      </c>
      <c r="K9" s="37">
        <v>50</v>
      </c>
      <c r="L9" s="15">
        <v>90</v>
      </c>
      <c r="M9" s="15">
        <v>80</v>
      </c>
      <c r="N9" s="37">
        <v>75</v>
      </c>
      <c r="O9" s="15">
        <v>85</v>
      </c>
      <c r="P9" s="37">
        <v>0</v>
      </c>
      <c r="Q9" s="14">
        <f>IF([1]punteo!L10="",0,[1]punteo!L10)</f>
        <v>100</v>
      </c>
      <c r="R9" s="10">
        <f>IF([2]punteo!L10="",0,[2]punteo!L10)</f>
        <v>100</v>
      </c>
      <c r="S9" s="10">
        <f>IF([3]punteo!L10="",0,[3]punteo!L10)</f>
        <v>100</v>
      </c>
      <c r="T9" s="10"/>
      <c r="U9" s="10"/>
      <c r="V9">
        <f t="shared" si="0"/>
        <v>1</v>
      </c>
      <c r="W9">
        <f t="shared" si="1"/>
        <v>0</v>
      </c>
      <c r="X9">
        <v>0</v>
      </c>
    </row>
    <row r="10" spans="1:25" x14ac:dyDescent="0.35">
      <c r="A10" s="15"/>
      <c r="B10" s="16"/>
      <c r="C10" s="15">
        <v>6</v>
      </c>
      <c r="D10" s="15">
        <v>202332049</v>
      </c>
      <c r="E10" s="15" t="s">
        <v>8</v>
      </c>
      <c r="F10" s="15">
        <v>0</v>
      </c>
      <c r="G10" s="15">
        <v>0</v>
      </c>
      <c r="H10" s="15">
        <v>0</v>
      </c>
      <c r="I10" s="15">
        <v>0</v>
      </c>
      <c r="J10" s="37">
        <v>0</v>
      </c>
      <c r="K10" s="37">
        <v>0</v>
      </c>
      <c r="L10" s="15">
        <v>0</v>
      </c>
      <c r="M10" s="15">
        <v>0</v>
      </c>
      <c r="N10" s="37">
        <v>0</v>
      </c>
      <c r="O10" s="15">
        <v>0</v>
      </c>
      <c r="P10" s="37">
        <v>0</v>
      </c>
      <c r="Q10" s="14">
        <f>IF([1]punteo!L11="",0,[1]punteo!L11)</f>
        <v>0</v>
      </c>
      <c r="R10" s="10">
        <f>IF([2]punteo!L11="",0,[2]punteo!L11)</f>
        <v>0</v>
      </c>
      <c r="S10" s="10">
        <f>IF([3]punteo!L11="",0,[3]punteo!L11)</f>
        <v>0</v>
      </c>
      <c r="T10" s="10"/>
      <c r="U10" s="10"/>
      <c r="V10">
        <f t="shared" si="0"/>
        <v>0</v>
      </c>
      <c r="W10">
        <f t="shared" si="1"/>
        <v>0</v>
      </c>
      <c r="X10">
        <v>0</v>
      </c>
    </row>
    <row r="11" spans="1:25" x14ac:dyDescent="0.35">
      <c r="A11" s="15"/>
      <c r="B11" s="16"/>
      <c r="C11" s="15">
        <v>7</v>
      </c>
      <c r="D11" s="15">
        <v>202402553</v>
      </c>
      <c r="E11" s="15" t="s">
        <v>9</v>
      </c>
      <c r="F11" s="15">
        <v>100</v>
      </c>
      <c r="G11" s="15">
        <v>0</v>
      </c>
      <c r="H11" s="15">
        <v>100</v>
      </c>
      <c r="I11" s="15">
        <v>90</v>
      </c>
      <c r="J11" s="37">
        <v>60</v>
      </c>
      <c r="K11" s="37">
        <v>0</v>
      </c>
      <c r="L11" s="15">
        <v>100</v>
      </c>
      <c r="M11" s="15">
        <v>100</v>
      </c>
      <c r="N11" s="37">
        <v>50</v>
      </c>
      <c r="O11" s="15">
        <v>0</v>
      </c>
      <c r="P11" s="37">
        <v>65</v>
      </c>
      <c r="Q11" s="14">
        <f>IF([1]punteo!L12="",0,[1]punteo!L12)</f>
        <v>80</v>
      </c>
      <c r="R11" s="10">
        <f>IF([2]punteo!L12="",0,[2]punteo!L12)</f>
        <v>100</v>
      </c>
      <c r="S11" s="10">
        <f>IF([3]punteo!L12="",0,[3]punteo!L12)</f>
        <v>0</v>
      </c>
      <c r="T11" s="10"/>
      <c r="U11" s="10"/>
      <c r="V11">
        <f t="shared" si="0"/>
        <v>0</v>
      </c>
      <c r="W11">
        <f t="shared" si="1"/>
        <v>1</v>
      </c>
      <c r="X11">
        <v>0</v>
      </c>
    </row>
    <row r="12" spans="1:25" x14ac:dyDescent="0.35">
      <c r="A12" s="15"/>
      <c r="B12" s="16"/>
      <c r="C12" s="15">
        <v>8</v>
      </c>
      <c r="D12" s="15">
        <v>202430271</v>
      </c>
      <c r="E12" s="15" t="s">
        <v>10</v>
      </c>
      <c r="F12" s="15">
        <v>0</v>
      </c>
      <c r="G12" s="15">
        <v>100</v>
      </c>
      <c r="H12" s="15">
        <v>0</v>
      </c>
      <c r="I12" s="15">
        <v>0</v>
      </c>
      <c r="J12" s="37">
        <v>100</v>
      </c>
      <c r="K12" s="37">
        <v>100</v>
      </c>
      <c r="L12" s="15">
        <v>0</v>
      </c>
      <c r="M12" s="15">
        <v>0</v>
      </c>
      <c r="N12" s="37">
        <v>0</v>
      </c>
      <c r="O12" s="15">
        <v>0</v>
      </c>
      <c r="P12" s="37">
        <v>70</v>
      </c>
      <c r="Q12" s="14">
        <f>IF([1]punteo!L13="",0,[1]punteo!L13)</f>
        <v>80</v>
      </c>
      <c r="R12" s="10">
        <f>IF([2]punteo!L13="",0,[2]punteo!L13)</f>
        <v>0</v>
      </c>
      <c r="S12" s="10">
        <f>IF([3]punteo!L13="",0,[3]punteo!L13)</f>
        <v>100</v>
      </c>
      <c r="T12" s="10"/>
      <c r="U12" s="10"/>
      <c r="V12">
        <f t="shared" si="0"/>
        <v>0</v>
      </c>
      <c r="W12">
        <f t="shared" si="1"/>
        <v>1</v>
      </c>
      <c r="X12">
        <v>1</v>
      </c>
    </row>
    <row r="13" spans="1:25" x14ac:dyDescent="0.35">
      <c r="A13" s="15"/>
      <c r="B13" s="16"/>
      <c r="C13" s="15">
        <v>9</v>
      </c>
      <c r="D13" s="15">
        <v>202430532</v>
      </c>
      <c r="E13" s="15" t="s">
        <v>11</v>
      </c>
      <c r="F13" s="15">
        <v>100</v>
      </c>
      <c r="G13" s="15">
        <v>0</v>
      </c>
      <c r="H13" s="15">
        <v>100</v>
      </c>
      <c r="I13" s="15">
        <v>100</v>
      </c>
      <c r="J13" s="37">
        <v>100</v>
      </c>
      <c r="K13" s="37">
        <v>100</v>
      </c>
      <c r="L13" s="15">
        <v>100</v>
      </c>
      <c r="M13" s="15">
        <v>100</v>
      </c>
      <c r="N13" s="37">
        <v>100</v>
      </c>
      <c r="O13" s="15">
        <v>65</v>
      </c>
      <c r="P13" s="37">
        <v>80</v>
      </c>
      <c r="Q13" s="14">
        <f>IF([1]punteo!L14="",0,[1]punteo!L14)</f>
        <v>100</v>
      </c>
      <c r="R13" s="10">
        <f>IF([2]punteo!L14="",0,[2]punteo!L14)</f>
        <v>100</v>
      </c>
      <c r="S13" s="10">
        <f>IF([3]punteo!L14="",0,[3]punteo!L14)</f>
        <v>100</v>
      </c>
      <c r="T13" s="10"/>
      <c r="U13" s="10"/>
      <c r="V13">
        <f t="shared" si="0"/>
        <v>1</v>
      </c>
      <c r="W13">
        <f t="shared" si="1"/>
        <v>1</v>
      </c>
      <c r="X13">
        <v>0</v>
      </c>
    </row>
    <row r="14" spans="1:25" x14ac:dyDescent="0.35">
      <c r="A14" s="15"/>
      <c r="B14" s="16"/>
      <c r="C14" s="15">
        <v>10</v>
      </c>
      <c r="D14" s="15">
        <v>202430589</v>
      </c>
      <c r="E14" s="15" t="s">
        <v>12</v>
      </c>
      <c r="F14" s="15">
        <v>0</v>
      </c>
      <c r="G14" s="15">
        <v>0</v>
      </c>
      <c r="H14" s="15">
        <v>0</v>
      </c>
      <c r="I14" s="15">
        <v>100</v>
      </c>
      <c r="J14" s="37">
        <v>75</v>
      </c>
      <c r="K14" s="37">
        <v>90</v>
      </c>
      <c r="L14" s="15">
        <v>100</v>
      </c>
      <c r="M14" s="15">
        <v>80</v>
      </c>
      <c r="N14" s="37">
        <v>70</v>
      </c>
      <c r="O14" s="15">
        <v>0</v>
      </c>
      <c r="P14" s="37">
        <v>0</v>
      </c>
      <c r="Q14" s="14">
        <f>IF([1]punteo!L15="",0,[1]punteo!L15)</f>
        <v>0</v>
      </c>
      <c r="R14" s="10">
        <f>IF([2]punteo!L15="",0,[2]punteo!L15)</f>
        <v>0</v>
      </c>
      <c r="S14" s="10">
        <f>IF([3]punteo!L15="",0,[3]punteo!L15)</f>
        <v>100</v>
      </c>
      <c r="T14" s="10"/>
      <c r="U14" s="10"/>
      <c r="V14">
        <f t="shared" si="0"/>
        <v>0</v>
      </c>
      <c r="W14">
        <f t="shared" si="1"/>
        <v>0</v>
      </c>
      <c r="X14">
        <v>0</v>
      </c>
    </row>
    <row r="15" spans="1:25" x14ac:dyDescent="0.35">
      <c r="A15" s="15"/>
      <c r="B15" s="16"/>
      <c r="C15" s="15">
        <v>11</v>
      </c>
      <c r="D15" s="15">
        <v>202430602</v>
      </c>
      <c r="E15" s="15" t="s">
        <v>13</v>
      </c>
      <c r="F15" s="15">
        <v>0</v>
      </c>
      <c r="G15" s="15">
        <v>0</v>
      </c>
      <c r="H15" s="15">
        <v>100</v>
      </c>
      <c r="I15" s="15">
        <v>0</v>
      </c>
      <c r="J15" s="37">
        <v>60</v>
      </c>
      <c r="K15" s="37">
        <v>0</v>
      </c>
      <c r="L15" s="15">
        <v>90</v>
      </c>
      <c r="M15" s="15">
        <v>100</v>
      </c>
      <c r="N15" s="37">
        <v>0</v>
      </c>
      <c r="O15" s="15">
        <v>0</v>
      </c>
      <c r="P15" s="37">
        <v>30</v>
      </c>
      <c r="Q15" s="14">
        <f>IF([1]punteo!L16="",0,[1]punteo!L16)</f>
        <v>0</v>
      </c>
      <c r="R15" s="10">
        <f>IF([2]punteo!L16="",0,[2]punteo!L16)</f>
        <v>0</v>
      </c>
      <c r="S15" s="10">
        <f>IF([3]punteo!L16="",0,[3]punteo!L16)</f>
        <v>0</v>
      </c>
      <c r="T15" s="10"/>
      <c r="U15" s="10"/>
      <c r="V15">
        <f t="shared" si="0"/>
        <v>0</v>
      </c>
      <c r="W15">
        <f t="shared" si="1"/>
        <v>1</v>
      </c>
      <c r="X15">
        <v>0</v>
      </c>
    </row>
    <row r="16" spans="1:25" x14ac:dyDescent="0.35">
      <c r="A16" s="15"/>
      <c r="B16" s="16"/>
      <c r="C16" s="15">
        <v>12</v>
      </c>
      <c r="D16" s="15">
        <v>202430633</v>
      </c>
      <c r="E16" s="15" t="s">
        <v>14</v>
      </c>
      <c r="F16" s="15">
        <v>100</v>
      </c>
      <c r="G16" s="15">
        <v>0</v>
      </c>
      <c r="H16" s="15">
        <v>100</v>
      </c>
      <c r="I16" s="15">
        <v>100</v>
      </c>
      <c r="J16" s="37">
        <v>100</v>
      </c>
      <c r="K16" s="37">
        <v>100</v>
      </c>
      <c r="L16" s="15">
        <v>100</v>
      </c>
      <c r="M16" s="15">
        <v>100</v>
      </c>
      <c r="N16" s="37">
        <v>50</v>
      </c>
      <c r="O16" s="15">
        <v>100</v>
      </c>
      <c r="P16" s="37">
        <v>50</v>
      </c>
      <c r="Q16" s="14">
        <f>IF([1]punteo!L17="",0,[1]punteo!L17)</f>
        <v>0</v>
      </c>
      <c r="R16" s="10">
        <f>IF([2]punteo!L17="",0,[2]punteo!L17)</f>
        <v>0</v>
      </c>
      <c r="S16" s="10">
        <f>IF([3]punteo!L17="",0,[3]punteo!L17)</f>
        <v>100</v>
      </c>
      <c r="T16" s="10"/>
      <c r="U16" s="10"/>
      <c r="V16">
        <f t="shared" si="0"/>
        <v>1</v>
      </c>
      <c r="W16">
        <f t="shared" si="1"/>
        <v>1</v>
      </c>
      <c r="X16">
        <v>1</v>
      </c>
    </row>
    <row r="17" spans="1:24" x14ac:dyDescent="0.35">
      <c r="A17" s="38">
        <v>0.27777777777777779</v>
      </c>
      <c r="B17" s="9" t="s">
        <v>83</v>
      </c>
      <c r="C17" s="15">
        <v>13</v>
      </c>
      <c r="D17" s="15">
        <v>202430645</v>
      </c>
      <c r="E17" s="15" t="s">
        <v>15</v>
      </c>
      <c r="F17" s="15">
        <v>100</v>
      </c>
      <c r="G17" s="15">
        <v>0</v>
      </c>
      <c r="H17" s="15">
        <v>50</v>
      </c>
      <c r="I17" s="15">
        <v>90</v>
      </c>
      <c r="J17" s="37">
        <v>100</v>
      </c>
      <c r="K17" s="37">
        <v>85</v>
      </c>
      <c r="L17" s="15">
        <v>100</v>
      </c>
      <c r="M17" s="15">
        <v>100</v>
      </c>
      <c r="N17" s="37">
        <v>70</v>
      </c>
      <c r="O17" s="15">
        <v>75</v>
      </c>
      <c r="P17" s="37">
        <v>70</v>
      </c>
      <c r="Q17" s="14">
        <f>IF([1]punteo!L18="",0,[1]punteo!L18)</f>
        <v>100</v>
      </c>
      <c r="R17" s="10">
        <f>IF([2]punteo!L18="",0,[2]punteo!L18)</f>
        <v>100</v>
      </c>
      <c r="S17" s="10">
        <f>IF([3]punteo!L18="",0,[3]punteo!L18)</f>
        <v>100</v>
      </c>
      <c r="T17" s="10"/>
      <c r="U17" s="10"/>
      <c r="V17">
        <f t="shared" si="0"/>
        <v>1</v>
      </c>
      <c r="W17">
        <f t="shared" si="1"/>
        <v>1</v>
      </c>
      <c r="X17">
        <v>1</v>
      </c>
    </row>
    <row r="18" spans="1:24" x14ac:dyDescent="0.35">
      <c r="A18" s="15"/>
      <c r="B18" s="16"/>
      <c r="C18" s="15">
        <v>14</v>
      </c>
      <c r="D18" s="15">
        <v>202430733</v>
      </c>
      <c r="E18" s="15" t="s">
        <v>16</v>
      </c>
      <c r="F18" s="15">
        <v>100</v>
      </c>
      <c r="G18" s="15">
        <v>0</v>
      </c>
      <c r="H18" s="15">
        <v>50</v>
      </c>
      <c r="I18" s="15">
        <v>100</v>
      </c>
      <c r="J18" s="37">
        <v>85</v>
      </c>
      <c r="K18" s="37">
        <v>100</v>
      </c>
      <c r="L18" s="15">
        <v>100</v>
      </c>
      <c r="M18" s="15">
        <v>100</v>
      </c>
      <c r="N18" s="37">
        <v>50</v>
      </c>
      <c r="O18" s="15">
        <v>100</v>
      </c>
      <c r="P18" s="37">
        <v>100</v>
      </c>
      <c r="Q18" s="14">
        <f>IF([1]punteo!L19="",0,[1]punteo!L19)</f>
        <v>100</v>
      </c>
      <c r="R18" s="10">
        <f>IF([2]punteo!L19="",0,[2]punteo!L19)</f>
        <v>100</v>
      </c>
      <c r="S18" s="10">
        <f>IF([3]punteo!L19="",0,[3]punteo!L19)</f>
        <v>100</v>
      </c>
      <c r="T18" s="10"/>
      <c r="U18" s="10"/>
      <c r="V18">
        <f t="shared" si="0"/>
        <v>1</v>
      </c>
      <c r="W18">
        <f t="shared" si="1"/>
        <v>1</v>
      </c>
      <c r="X18">
        <v>0</v>
      </c>
    </row>
    <row r="19" spans="1:24" x14ac:dyDescent="0.35">
      <c r="A19" s="15"/>
      <c r="B19" s="16"/>
      <c r="C19" s="15">
        <v>15</v>
      </c>
      <c r="D19" s="15">
        <v>202430804</v>
      </c>
      <c r="E19" s="15" t="s">
        <v>17</v>
      </c>
      <c r="F19" s="15">
        <v>100</v>
      </c>
      <c r="G19" s="15">
        <v>0</v>
      </c>
      <c r="H19" s="15">
        <v>0</v>
      </c>
      <c r="I19" s="15">
        <v>0</v>
      </c>
      <c r="J19" s="37">
        <v>100</v>
      </c>
      <c r="K19" s="37">
        <v>100</v>
      </c>
      <c r="L19" s="15">
        <v>100</v>
      </c>
      <c r="M19" s="15">
        <v>100</v>
      </c>
      <c r="N19" s="37">
        <v>80</v>
      </c>
      <c r="O19" s="15">
        <v>100</v>
      </c>
      <c r="P19" s="37">
        <v>100</v>
      </c>
      <c r="Q19" s="14">
        <f>IF([1]punteo!L20="",0,[1]punteo!L20)</f>
        <v>0</v>
      </c>
      <c r="R19" s="10">
        <f>IF([2]punteo!L20="",0,[2]punteo!L20)</f>
        <v>0</v>
      </c>
      <c r="S19" s="10">
        <f>IF([3]punteo!L20="",0,[3]punteo!L20)</f>
        <v>0</v>
      </c>
      <c r="T19" s="10"/>
      <c r="U19" s="10"/>
      <c r="V19">
        <f t="shared" si="0"/>
        <v>1</v>
      </c>
      <c r="W19">
        <f t="shared" si="1"/>
        <v>1</v>
      </c>
      <c r="X19">
        <v>0</v>
      </c>
    </row>
    <row r="20" spans="1:24" x14ac:dyDescent="0.35">
      <c r="A20" s="38" t="s">
        <v>88</v>
      </c>
      <c r="B20" s="9" t="s">
        <v>84</v>
      </c>
      <c r="C20" s="15">
        <v>16</v>
      </c>
      <c r="D20" s="15">
        <v>202430829</v>
      </c>
      <c r="E20" s="15" t="s">
        <v>18</v>
      </c>
      <c r="F20" s="15">
        <v>100</v>
      </c>
      <c r="G20" s="15">
        <v>100</v>
      </c>
      <c r="H20" s="15">
        <v>100</v>
      </c>
      <c r="I20" s="15">
        <v>90</v>
      </c>
      <c r="J20" s="37">
        <v>85</v>
      </c>
      <c r="K20" s="37">
        <v>100</v>
      </c>
      <c r="L20" s="15">
        <v>100</v>
      </c>
      <c r="M20" s="15">
        <v>100</v>
      </c>
      <c r="N20" s="37">
        <v>70</v>
      </c>
      <c r="O20" s="15">
        <v>85</v>
      </c>
      <c r="P20" s="37">
        <v>85</v>
      </c>
      <c r="Q20" s="14">
        <f>IF([1]punteo!L21="",0,[1]punteo!L21)</f>
        <v>80</v>
      </c>
      <c r="R20" s="10">
        <f>IF([2]punteo!L21="",0,[2]punteo!L21)</f>
        <v>100</v>
      </c>
      <c r="S20" s="10">
        <f>IF([3]punteo!L21="",0,[3]punteo!L21)</f>
        <v>100</v>
      </c>
      <c r="T20" s="10"/>
      <c r="U20" s="10"/>
      <c r="V20">
        <f t="shared" si="0"/>
        <v>1</v>
      </c>
      <c r="W20">
        <f t="shared" si="1"/>
        <v>1</v>
      </c>
      <c r="X20">
        <v>1</v>
      </c>
    </row>
    <row r="21" spans="1:24" x14ac:dyDescent="0.35">
      <c r="A21" s="15"/>
      <c r="B21" s="16"/>
      <c r="C21" s="15">
        <v>17</v>
      </c>
      <c r="D21" s="15">
        <v>202431169</v>
      </c>
      <c r="E21" s="15" t="s">
        <v>19</v>
      </c>
      <c r="F21" s="15">
        <v>100</v>
      </c>
      <c r="G21" s="15">
        <v>0</v>
      </c>
      <c r="H21" s="15">
        <v>50</v>
      </c>
      <c r="I21" s="15">
        <v>100</v>
      </c>
      <c r="J21" s="37">
        <v>85</v>
      </c>
      <c r="K21" s="37">
        <v>100</v>
      </c>
      <c r="L21" s="15">
        <v>100</v>
      </c>
      <c r="M21" s="15">
        <v>100</v>
      </c>
      <c r="N21" s="37">
        <v>50</v>
      </c>
      <c r="O21" s="15">
        <v>100</v>
      </c>
      <c r="P21" s="37">
        <v>100</v>
      </c>
      <c r="Q21" s="14">
        <f>IF([1]punteo!L22="",0,[1]punteo!L22)</f>
        <v>100</v>
      </c>
      <c r="R21" s="10">
        <f>IF([2]punteo!L22="",0,[2]punteo!L22)</f>
        <v>100</v>
      </c>
      <c r="S21" s="10">
        <f>IF([3]punteo!L22="",0,[3]punteo!L22)</f>
        <v>100</v>
      </c>
      <c r="T21" s="10"/>
      <c r="U21" s="10"/>
      <c r="V21">
        <f t="shared" si="0"/>
        <v>1</v>
      </c>
      <c r="W21">
        <f t="shared" si="1"/>
        <v>1</v>
      </c>
      <c r="X21">
        <v>1</v>
      </c>
    </row>
    <row r="22" spans="1:24" x14ac:dyDescent="0.35">
      <c r="A22" s="38">
        <v>0.27777777777777779</v>
      </c>
      <c r="B22" s="9" t="s">
        <v>85</v>
      </c>
      <c r="C22" s="15">
        <v>18</v>
      </c>
      <c r="D22" s="15">
        <v>202431502</v>
      </c>
      <c r="E22" s="15" t="s">
        <v>20</v>
      </c>
      <c r="F22" s="15">
        <v>100</v>
      </c>
      <c r="G22" s="15">
        <v>100</v>
      </c>
      <c r="H22" s="15">
        <v>100</v>
      </c>
      <c r="I22" s="15">
        <v>100</v>
      </c>
      <c r="J22" s="37">
        <v>100</v>
      </c>
      <c r="K22" s="37">
        <v>100</v>
      </c>
      <c r="L22" s="15">
        <v>100</v>
      </c>
      <c r="M22" s="15">
        <v>100</v>
      </c>
      <c r="N22" s="37">
        <v>50</v>
      </c>
      <c r="O22" s="15">
        <v>90</v>
      </c>
      <c r="P22" s="37">
        <v>45</v>
      </c>
      <c r="Q22" s="14">
        <f>IF([1]punteo!L23="",0,[1]punteo!L23)</f>
        <v>80</v>
      </c>
      <c r="R22" s="10">
        <f>IF([2]punteo!L23="",0,[2]punteo!L23)</f>
        <v>100</v>
      </c>
      <c r="S22" s="10">
        <f>IF([3]punteo!L23="",0,[3]punteo!L23)</f>
        <v>100</v>
      </c>
      <c r="T22" s="10"/>
      <c r="U22" s="10"/>
      <c r="V22">
        <f t="shared" si="0"/>
        <v>1</v>
      </c>
      <c r="W22">
        <f t="shared" si="1"/>
        <v>1</v>
      </c>
      <c r="X22">
        <v>0</v>
      </c>
    </row>
    <row r="23" spans="1:24" x14ac:dyDescent="0.35">
      <c r="A23" s="15"/>
      <c r="B23" s="9"/>
      <c r="C23" s="15">
        <v>19</v>
      </c>
      <c r="D23" s="15">
        <v>202431726</v>
      </c>
      <c r="E23" s="15" t="s">
        <v>21</v>
      </c>
      <c r="F23" s="15">
        <v>100</v>
      </c>
      <c r="G23" s="15">
        <v>0</v>
      </c>
      <c r="H23" s="15">
        <v>100</v>
      </c>
      <c r="I23" s="15">
        <v>100</v>
      </c>
      <c r="J23" s="37">
        <v>75</v>
      </c>
      <c r="K23" s="37">
        <v>100</v>
      </c>
      <c r="L23" s="15">
        <v>100</v>
      </c>
      <c r="M23" s="15">
        <v>100</v>
      </c>
      <c r="N23" s="37">
        <v>90</v>
      </c>
      <c r="O23" s="15">
        <v>95</v>
      </c>
      <c r="P23" s="37">
        <v>90</v>
      </c>
      <c r="Q23" s="14">
        <f>IF([1]punteo!L24="",0,[1]punteo!L24)</f>
        <v>0</v>
      </c>
      <c r="R23" s="10">
        <f>IF([2]punteo!L24="",0,[2]punteo!L24)</f>
        <v>0</v>
      </c>
      <c r="S23" s="10">
        <f>IF([3]punteo!L24="",0,[3]punteo!L24)</f>
        <v>0</v>
      </c>
      <c r="T23" s="10"/>
      <c r="U23" s="10"/>
      <c r="V23">
        <f t="shared" si="0"/>
        <v>1</v>
      </c>
      <c r="W23">
        <f t="shared" si="1"/>
        <v>1</v>
      </c>
      <c r="X23">
        <v>0</v>
      </c>
    </row>
    <row r="24" spans="1:24" x14ac:dyDescent="0.35">
      <c r="A24" s="15"/>
      <c r="B24" s="16"/>
      <c r="C24" s="15">
        <v>20</v>
      </c>
      <c r="D24" s="15">
        <v>202431817</v>
      </c>
      <c r="E24" s="15" t="s">
        <v>22</v>
      </c>
      <c r="F24" s="15">
        <v>0</v>
      </c>
      <c r="G24" s="15">
        <v>0</v>
      </c>
      <c r="H24" s="15">
        <v>100</v>
      </c>
      <c r="I24" s="15">
        <v>100</v>
      </c>
      <c r="J24" s="37">
        <v>0</v>
      </c>
      <c r="K24" s="37">
        <v>0</v>
      </c>
      <c r="L24" s="15">
        <v>100</v>
      </c>
      <c r="M24" s="15">
        <v>0</v>
      </c>
      <c r="N24" s="37">
        <v>0</v>
      </c>
      <c r="O24" s="15">
        <v>15</v>
      </c>
      <c r="P24" s="37">
        <v>90</v>
      </c>
      <c r="Q24" s="14">
        <f>IF([1]punteo!L25="",0,[1]punteo!L25)</f>
        <v>100</v>
      </c>
      <c r="R24" s="10">
        <f>IF([2]punteo!L25="",0,[2]punteo!L25)</f>
        <v>0</v>
      </c>
      <c r="S24" s="10">
        <f>IF([3]punteo!L25="",0,[3]punteo!L25)</f>
        <v>100</v>
      </c>
      <c r="T24" s="10"/>
      <c r="U24" s="10"/>
      <c r="V24">
        <f t="shared" si="0"/>
        <v>1</v>
      </c>
      <c r="W24">
        <f t="shared" si="1"/>
        <v>1</v>
      </c>
      <c r="X24">
        <v>0</v>
      </c>
    </row>
    <row r="25" spans="1:24" x14ac:dyDescent="0.35">
      <c r="A25" s="15"/>
      <c r="B25" s="16"/>
      <c r="C25" s="15">
        <v>21</v>
      </c>
      <c r="D25" s="15">
        <v>202431819</v>
      </c>
      <c r="E25" s="15" t="s">
        <v>23</v>
      </c>
      <c r="F25" s="15">
        <v>0</v>
      </c>
      <c r="G25" s="15">
        <v>100</v>
      </c>
      <c r="H25" s="15">
        <v>0</v>
      </c>
      <c r="I25" s="15">
        <v>0</v>
      </c>
      <c r="J25" s="37">
        <v>0</v>
      </c>
      <c r="K25" s="37">
        <v>100</v>
      </c>
      <c r="L25" s="15">
        <v>0</v>
      </c>
      <c r="M25" s="15">
        <v>100</v>
      </c>
      <c r="N25" s="37">
        <v>0</v>
      </c>
      <c r="O25" s="15">
        <v>85</v>
      </c>
      <c r="P25" s="37">
        <v>70</v>
      </c>
      <c r="Q25" s="14">
        <f>IF([1]punteo!L26="",0,[1]punteo!L26)</f>
        <v>80</v>
      </c>
      <c r="R25" s="10">
        <f>IF([2]punteo!L26="",0,[2]punteo!L26)</f>
        <v>100</v>
      </c>
      <c r="S25" s="10">
        <f>IF([3]punteo!L26="",0,[3]punteo!L26)</f>
        <v>100</v>
      </c>
      <c r="T25" s="10"/>
      <c r="U25" s="10"/>
      <c r="V25">
        <f t="shared" si="0"/>
        <v>1</v>
      </c>
      <c r="W25">
        <f t="shared" si="1"/>
        <v>1</v>
      </c>
      <c r="X25" s="3">
        <v>1</v>
      </c>
    </row>
    <row r="26" spans="1:24" x14ac:dyDescent="0.35">
      <c r="A26" s="15" t="s">
        <v>86</v>
      </c>
      <c r="B26" s="9" t="s">
        <v>81</v>
      </c>
      <c r="C26" s="15">
        <v>22</v>
      </c>
      <c r="D26" s="15">
        <v>202431863</v>
      </c>
      <c r="E26" s="15" t="s">
        <v>24</v>
      </c>
      <c r="F26" s="15">
        <v>100</v>
      </c>
      <c r="G26" s="15">
        <v>0</v>
      </c>
      <c r="H26" s="15">
        <v>0</v>
      </c>
      <c r="I26" s="15">
        <v>100</v>
      </c>
      <c r="J26" s="37">
        <v>50</v>
      </c>
      <c r="K26" s="37">
        <v>50</v>
      </c>
      <c r="L26" s="15">
        <v>50</v>
      </c>
      <c r="M26" s="15">
        <v>100</v>
      </c>
      <c r="N26" s="37">
        <v>25</v>
      </c>
      <c r="O26" s="15">
        <v>25</v>
      </c>
      <c r="P26" s="37">
        <v>100</v>
      </c>
      <c r="Q26" s="14">
        <f>IF([1]punteo!L27="",0,[1]punteo!L27)</f>
        <v>80</v>
      </c>
      <c r="R26" s="10">
        <f>IF([2]punteo!L27="",0,[2]punteo!L27)</f>
        <v>0</v>
      </c>
      <c r="S26" s="10">
        <f>IF([3]punteo!L27="",0,[3]punteo!L27)</f>
        <v>100</v>
      </c>
      <c r="T26" s="10"/>
      <c r="U26" s="10"/>
      <c r="V26">
        <f t="shared" si="0"/>
        <v>1</v>
      </c>
      <c r="W26">
        <f t="shared" si="1"/>
        <v>1</v>
      </c>
      <c r="X26">
        <v>0</v>
      </c>
    </row>
    <row r="27" spans="1:24" x14ac:dyDescent="0.35">
      <c r="A27" s="15"/>
      <c r="B27" s="16"/>
      <c r="C27" s="15">
        <v>23</v>
      </c>
      <c r="D27" s="15">
        <v>202432080</v>
      </c>
      <c r="E27" s="15" t="s">
        <v>25</v>
      </c>
      <c r="F27" s="15">
        <v>100</v>
      </c>
      <c r="G27" s="15">
        <v>0</v>
      </c>
      <c r="H27" s="15">
        <v>0</v>
      </c>
      <c r="I27" s="15">
        <v>0</v>
      </c>
      <c r="J27" s="37">
        <v>0</v>
      </c>
      <c r="K27" s="37">
        <v>100</v>
      </c>
      <c r="L27" s="15">
        <v>100</v>
      </c>
      <c r="M27" s="15">
        <v>100</v>
      </c>
      <c r="N27" s="37">
        <v>70</v>
      </c>
      <c r="O27" s="15">
        <v>100</v>
      </c>
      <c r="P27" s="37">
        <v>100</v>
      </c>
      <c r="Q27" s="14">
        <f>IF([1]punteo!L28="",0,[1]punteo!L28)</f>
        <v>0</v>
      </c>
      <c r="R27" s="10">
        <f>IF([2]punteo!L28="",0,[2]punteo!L28)</f>
        <v>0</v>
      </c>
      <c r="S27" s="10">
        <f>IF([3]punteo!L28="",0,[3]punteo!L28)</f>
        <v>0</v>
      </c>
      <c r="T27" s="10"/>
      <c r="U27" s="10"/>
      <c r="V27">
        <f t="shared" si="0"/>
        <v>1</v>
      </c>
      <c r="W27">
        <f t="shared" si="1"/>
        <v>1</v>
      </c>
      <c r="X27">
        <v>0</v>
      </c>
    </row>
    <row r="28" spans="1:24" x14ac:dyDescent="0.35">
      <c r="A28" s="15"/>
      <c r="B28" s="16"/>
      <c r="C28" s="15">
        <v>24</v>
      </c>
      <c r="D28" s="15">
        <v>202432085</v>
      </c>
      <c r="E28" s="15" t="s">
        <v>26</v>
      </c>
      <c r="F28" s="15">
        <v>100</v>
      </c>
      <c r="G28" s="15">
        <v>0</v>
      </c>
      <c r="H28" s="15">
        <v>100</v>
      </c>
      <c r="I28" s="15">
        <v>100</v>
      </c>
      <c r="J28" s="37">
        <v>75</v>
      </c>
      <c r="K28" s="37">
        <v>100</v>
      </c>
      <c r="L28" s="15">
        <v>90</v>
      </c>
      <c r="M28" s="15">
        <v>100</v>
      </c>
      <c r="N28" s="37">
        <v>70</v>
      </c>
      <c r="O28" s="15">
        <v>95</v>
      </c>
      <c r="P28" s="37">
        <v>90</v>
      </c>
      <c r="Q28" s="14">
        <f>IF([1]punteo!L29="",0,[1]punteo!L29)</f>
        <v>0</v>
      </c>
      <c r="R28" s="10">
        <f>IF([2]punteo!L29="",0,[2]punteo!L29)</f>
        <v>0</v>
      </c>
      <c r="S28" s="10">
        <f>IF([3]punteo!L29="",0,[3]punteo!L29)</f>
        <v>0</v>
      </c>
      <c r="T28" s="10"/>
      <c r="U28" s="10"/>
      <c r="V28">
        <f t="shared" si="0"/>
        <v>1</v>
      </c>
      <c r="W28">
        <f t="shared" si="1"/>
        <v>1</v>
      </c>
      <c r="X28" s="3">
        <v>1</v>
      </c>
    </row>
    <row r="29" spans="1:24" x14ac:dyDescent="0.35">
      <c r="A29" s="38" t="s">
        <v>82</v>
      </c>
      <c r="B29" s="16" t="s">
        <v>81</v>
      </c>
      <c r="C29" s="15">
        <v>25</v>
      </c>
      <c r="D29" s="15">
        <v>202432137</v>
      </c>
      <c r="E29" s="15" t="s">
        <v>27</v>
      </c>
      <c r="F29" s="15">
        <v>100</v>
      </c>
      <c r="G29" s="15">
        <v>0</v>
      </c>
      <c r="H29" s="15">
        <v>0</v>
      </c>
      <c r="I29" s="15">
        <v>100</v>
      </c>
      <c r="J29" s="37">
        <v>50</v>
      </c>
      <c r="K29" s="37">
        <v>50</v>
      </c>
      <c r="L29" s="15">
        <v>50</v>
      </c>
      <c r="M29" s="15">
        <v>0</v>
      </c>
      <c r="N29" s="37">
        <v>25</v>
      </c>
      <c r="O29" s="15">
        <v>25</v>
      </c>
      <c r="P29" s="37">
        <v>100</v>
      </c>
      <c r="Q29" s="14">
        <f>IF([1]punteo!L30="",0,[1]punteo!L30)</f>
        <v>80</v>
      </c>
      <c r="R29" s="10">
        <f>IF([2]punteo!L30="",0,[2]punteo!L30)</f>
        <v>0</v>
      </c>
      <c r="S29" s="10">
        <f>IF([3]punteo!L30="",0,[3]punteo!L30)</f>
        <v>100</v>
      </c>
      <c r="T29" s="10"/>
      <c r="U29" s="10"/>
      <c r="V29">
        <f t="shared" si="0"/>
        <v>1</v>
      </c>
      <c r="W29">
        <f t="shared" si="1"/>
        <v>1</v>
      </c>
      <c r="X29">
        <v>0</v>
      </c>
    </row>
    <row r="30" spans="1:24" x14ac:dyDescent="0.35">
      <c r="A30" s="15"/>
      <c r="B30" s="16"/>
      <c r="C30" s="15">
        <v>26</v>
      </c>
      <c r="D30" s="15">
        <v>202530125</v>
      </c>
      <c r="E30" s="15" t="s">
        <v>28</v>
      </c>
      <c r="F30" s="15">
        <v>0</v>
      </c>
      <c r="G30" s="15">
        <v>0</v>
      </c>
      <c r="H30" s="15">
        <v>100</v>
      </c>
      <c r="I30" s="15">
        <v>100</v>
      </c>
      <c r="J30" s="37">
        <v>100</v>
      </c>
      <c r="K30" s="37">
        <v>75</v>
      </c>
      <c r="L30" s="15">
        <v>90</v>
      </c>
      <c r="M30" s="15">
        <v>100</v>
      </c>
      <c r="N30" s="37">
        <v>80</v>
      </c>
      <c r="O30" s="15">
        <v>90</v>
      </c>
      <c r="P30" s="37">
        <v>60</v>
      </c>
      <c r="Q30" s="14">
        <f>IF([1]punteo!L31="",0,[1]punteo!L31)</f>
        <v>0</v>
      </c>
      <c r="R30" s="10">
        <f>IF([2]punteo!L31="",0,[2]punteo!L31)</f>
        <v>0</v>
      </c>
      <c r="S30" s="10">
        <f>IF([3]punteo!L31="",0,[3]punteo!L31)</f>
        <v>0</v>
      </c>
      <c r="T30" s="10"/>
      <c r="U30" s="10"/>
      <c r="V30">
        <f t="shared" si="0"/>
        <v>1</v>
      </c>
      <c r="W30">
        <f t="shared" si="1"/>
        <v>1</v>
      </c>
      <c r="X30" s="3">
        <v>1</v>
      </c>
    </row>
    <row r="31" spans="1:24" x14ac:dyDescent="0.35">
      <c r="A31" s="38" t="s">
        <v>88</v>
      </c>
      <c r="B31" s="9" t="s">
        <v>84</v>
      </c>
      <c r="C31" s="15">
        <v>27</v>
      </c>
      <c r="D31" s="15">
        <v>202530235</v>
      </c>
      <c r="E31" s="15" t="s">
        <v>29</v>
      </c>
      <c r="F31" s="15">
        <v>100</v>
      </c>
      <c r="G31" s="15">
        <v>0</v>
      </c>
      <c r="H31" s="15">
        <v>100</v>
      </c>
      <c r="I31" s="15">
        <v>100</v>
      </c>
      <c r="J31" s="37">
        <v>100</v>
      </c>
      <c r="K31" s="37">
        <v>100</v>
      </c>
      <c r="L31" s="15">
        <v>100</v>
      </c>
      <c r="M31" s="15">
        <v>100</v>
      </c>
      <c r="N31" s="37">
        <v>100</v>
      </c>
      <c r="O31" s="15">
        <v>0</v>
      </c>
      <c r="P31" s="37">
        <v>100</v>
      </c>
      <c r="Q31" s="14">
        <f>IF([1]punteo!L32="",0,[1]punteo!L32)</f>
        <v>80</v>
      </c>
      <c r="R31" s="10">
        <f>IF([2]punteo!L32="",0,[2]punteo!L32)</f>
        <v>100</v>
      </c>
      <c r="S31" s="10">
        <f>IF([3]punteo!L32="",0,[3]punteo!L32)</f>
        <v>100</v>
      </c>
      <c r="T31" s="10"/>
      <c r="U31" s="10"/>
      <c r="V31">
        <f t="shared" si="0"/>
        <v>0</v>
      </c>
      <c r="W31">
        <f t="shared" si="1"/>
        <v>1</v>
      </c>
      <c r="X31">
        <v>1</v>
      </c>
    </row>
    <row r="32" spans="1:24" x14ac:dyDescent="0.35">
      <c r="A32" s="38">
        <v>0.27777777777777779</v>
      </c>
      <c r="B32" s="9" t="s">
        <v>85</v>
      </c>
      <c r="C32" s="15">
        <v>28</v>
      </c>
      <c r="D32" s="15">
        <v>202530265</v>
      </c>
      <c r="E32" s="15" t="s">
        <v>30</v>
      </c>
      <c r="F32" s="15">
        <v>100</v>
      </c>
      <c r="G32" s="15">
        <v>100</v>
      </c>
      <c r="H32" s="15">
        <v>100</v>
      </c>
      <c r="I32" s="15">
        <v>100</v>
      </c>
      <c r="J32" s="37">
        <v>100</v>
      </c>
      <c r="K32" s="37">
        <v>90</v>
      </c>
      <c r="L32" s="15">
        <v>100</v>
      </c>
      <c r="M32" s="15">
        <v>100</v>
      </c>
      <c r="N32" s="37">
        <v>70</v>
      </c>
      <c r="O32" s="15">
        <v>100</v>
      </c>
      <c r="P32" s="37">
        <v>100</v>
      </c>
      <c r="Q32" s="14">
        <f>IF([1]punteo!L33="",0,[1]punteo!L33)</f>
        <v>90</v>
      </c>
      <c r="R32" s="10">
        <f>IF([2]punteo!L33="",0,[2]punteo!L33)</f>
        <v>100</v>
      </c>
      <c r="S32" s="10">
        <f>IF([3]punteo!L33="",0,[3]punteo!L33)</f>
        <v>100</v>
      </c>
      <c r="T32" s="10"/>
      <c r="U32" s="10"/>
      <c r="V32">
        <f t="shared" si="0"/>
        <v>1</v>
      </c>
      <c r="W32">
        <f t="shared" si="1"/>
        <v>1</v>
      </c>
      <c r="X32">
        <v>1</v>
      </c>
    </row>
    <row r="33" spans="1:24" x14ac:dyDescent="0.35">
      <c r="A33" s="15"/>
      <c r="B33" s="16"/>
      <c r="C33" s="15">
        <v>29</v>
      </c>
      <c r="D33" s="15">
        <v>202530315</v>
      </c>
      <c r="E33" s="15" t="s">
        <v>31</v>
      </c>
      <c r="F33" s="15">
        <v>100</v>
      </c>
      <c r="G33" s="15">
        <v>0</v>
      </c>
      <c r="H33" s="15">
        <v>100</v>
      </c>
      <c r="I33" s="15">
        <v>100</v>
      </c>
      <c r="J33" s="37">
        <v>100</v>
      </c>
      <c r="K33" s="37">
        <v>100</v>
      </c>
      <c r="L33" s="15">
        <v>100</v>
      </c>
      <c r="M33" s="15">
        <v>100</v>
      </c>
      <c r="N33" s="37">
        <v>50</v>
      </c>
      <c r="O33" s="15">
        <v>100</v>
      </c>
      <c r="P33" s="37">
        <v>50</v>
      </c>
      <c r="Q33" s="14">
        <f>IF([1]punteo!L34="",0,[1]punteo!L34)</f>
        <v>80</v>
      </c>
      <c r="R33" s="10">
        <f>IF([2]punteo!L34="",0,[2]punteo!L34)</f>
        <v>100</v>
      </c>
      <c r="S33" s="10">
        <f>IF([3]punteo!L34="",0,[3]punteo!L34)</f>
        <v>100</v>
      </c>
      <c r="T33" s="10"/>
      <c r="U33" s="10"/>
      <c r="V33">
        <f t="shared" si="0"/>
        <v>1</v>
      </c>
      <c r="W33">
        <f t="shared" si="1"/>
        <v>1</v>
      </c>
      <c r="X33">
        <v>1</v>
      </c>
    </row>
    <row r="34" spans="1:24" x14ac:dyDescent="0.35">
      <c r="A34" s="15"/>
      <c r="B34" s="16"/>
      <c r="C34" s="15">
        <v>30</v>
      </c>
      <c r="D34" s="15">
        <v>202530329</v>
      </c>
      <c r="E34" s="15" t="s">
        <v>32</v>
      </c>
      <c r="F34" s="15">
        <v>100</v>
      </c>
      <c r="G34" s="15">
        <v>0</v>
      </c>
      <c r="H34" s="15">
        <v>100</v>
      </c>
      <c r="I34" s="15">
        <v>0</v>
      </c>
      <c r="J34" s="37">
        <v>100</v>
      </c>
      <c r="K34" s="37">
        <v>95</v>
      </c>
      <c r="L34" s="15">
        <v>100</v>
      </c>
      <c r="M34" s="15">
        <v>100</v>
      </c>
      <c r="N34" s="37">
        <v>70</v>
      </c>
      <c r="O34" s="15">
        <v>85</v>
      </c>
      <c r="P34" s="37">
        <v>65</v>
      </c>
      <c r="Q34" s="14">
        <f>IF([1]punteo!L35="",0,[1]punteo!L35)</f>
        <v>80</v>
      </c>
      <c r="R34" s="10">
        <f>IF([2]punteo!L35="",0,[2]punteo!L35)</f>
        <v>100</v>
      </c>
      <c r="S34" s="10">
        <f>IF([3]punteo!L35="",0,[3]punteo!L35)</f>
        <v>100</v>
      </c>
      <c r="T34" s="10"/>
      <c r="U34" s="10"/>
      <c r="V34">
        <f t="shared" si="0"/>
        <v>1</v>
      </c>
      <c r="W34">
        <f t="shared" si="1"/>
        <v>1</v>
      </c>
      <c r="X34">
        <v>0</v>
      </c>
    </row>
    <row r="35" spans="1:24" x14ac:dyDescent="0.35">
      <c r="A35" s="38">
        <v>0.27777777777777779</v>
      </c>
      <c r="B35" s="9" t="s">
        <v>87</v>
      </c>
      <c r="C35" s="15">
        <v>31</v>
      </c>
      <c r="D35" s="15">
        <v>202530349</v>
      </c>
      <c r="E35" s="15" t="s">
        <v>33</v>
      </c>
      <c r="F35" s="15">
        <v>0</v>
      </c>
      <c r="G35" s="15">
        <v>0</v>
      </c>
      <c r="H35" s="15">
        <v>100</v>
      </c>
      <c r="I35" s="15">
        <v>100</v>
      </c>
      <c r="J35" s="37">
        <v>100</v>
      </c>
      <c r="K35" s="37">
        <v>75</v>
      </c>
      <c r="L35" s="15">
        <v>100</v>
      </c>
      <c r="M35" s="15">
        <v>100</v>
      </c>
      <c r="N35" s="37">
        <v>80</v>
      </c>
      <c r="O35" s="15">
        <v>90</v>
      </c>
      <c r="P35" s="37">
        <v>60</v>
      </c>
      <c r="Q35" s="14">
        <f>IF([1]punteo!L36="",0,[1]punteo!L36)</f>
        <v>100</v>
      </c>
      <c r="R35" s="10">
        <f>IF([2]punteo!L36="",0,[2]punteo!L36)</f>
        <v>100</v>
      </c>
      <c r="S35" s="10">
        <f>IF([3]punteo!L36="",0,[3]punteo!L36)</f>
        <v>100</v>
      </c>
      <c r="T35" s="10"/>
      <c r="U35" s="10"/>
      <c r="V35">
        <f t="shared" si="0"/>
        <v>1</v>
      </c>
      <c r="W35">
        <f t="shared" si="1"/>
        <v>1</v>
      </c>
      <c r="X35">
        <v>1</v>
      </c>
    </row>
    <row r="36" spans="1:24" x14ac:dyDescent="0.35">
      <c r="A36" s="15"/>
      <c r="B36" s="16"/>
      <c r="C36" s="15">
        <v>32</v>
      </c>
      <c r="D36" s="15">
        <v>202530357</v>
      </c>
      <c r="E36" s="15" t="s">
        <v>34</v>
      </c>
      <c r="F36" s="15">
        <v>100</v>
      </c>
      <c r="G36" s="15">
        <v>0</v>
      </c>
      <c r="H36" s="15">
        <v>100</v>
      </c>
      <c r="I36" s="15">
        <v>100</v>
      </c>
      <c r="J36" s="37">
        <v>100</v>
      </c>
      <c r="K36" s="37">
        <v>100</v>
      </c>
      <c r="L36" s="15">
        <v>100</v>
      </c>
      <c r="M36" s="15">
        <v>100</v>
      </c>
      <c r="N36" s="37">
        <v>80</v>
      </c>
      <c r="O36" s="15">
        <v>65</v>
      </c>
      <c r="P36" s="37">
        <v>80</v>
      </c>
      <c r="Q36" s="14">
        <f>IF([1]punteo!L37="",0,[1]punteo!L37)</f>
        <v>100</v>
      </c>
      <c r="R36" s="10">
        <f>IF([2]punteo!L37="",0,[2]punteo!L37)</f>
        <v>100</v>
      </c>
      <c r="S36" s="10">
        <f>IF([3]punteo!L37="",0,[3]punteo!L37)</f>
        <v>100</v>
      </c>
      <c r="T36" s="10"/>
      <c r="U36" s="10"/>
      <c r="V36">
        <f t="shared" si="0"/>
        <v>1</v>
      </c>
      <c r="W36">
        <f t="shared" si="1"/>
        <v>1</v>
      </c>
      <c r="X36">
        <v>1</v>
      </c>
    </row>
    <row r="37" spans="1:24" x14ac:dyDescent="0.35">
      <c r="A37" s="15"/>
      <c r="B37" s="16"/>
      <c r="C37" s="15">
        <v>33</v>
      </c>
      <c r="D37" s="15">
        <v>202530381</v>
      </c>
      <c r="E37" s="15" t="s">
        <v>35</v>
      </c>
      <c r="F37" s="15">
        <v>100</v>
      </c>
      <c r="G37" s="15">
        <v>100</v>
      </c>
      <c r="H37" s="15">
        <v>100</v>
      </c>
      <c r="I37" s="15">
        <v>100</v>
      </c>
      <c r="J37" s="37">
        <v>100</v>
      </c>
      <c r="K37" s="37">
        <v>100</v>
      </c>
      <c r="L37" s="15">
        <v>100</v>
      </c>
      <c r="M37" s="15">
        <v>100</v>
      </c>
      <c r="N37" s="37">
        <v>50</v>
      </c>
      <c r="O37" s="15">
        <v>90</v>
      </c>
      <c r="P37" s="37">
        <v>45</v>
      </c>
      <c r="Q37" s="14">
        <f>IF([1]punteo!L38="",0,[1]punteo!L38)</f>
        <v>80</v>
      </c>
      <c r="R37" s="10">
        <f>IF([2]punteo!L38="",0,[2]punteo!L38)</f>
        <v>100</v>
      </c>
      <c r="S37" s="10">
        <f>IF([3]punteo!L38="",0,[3]punteo!L38)</f>
        <v>100</v>
      </c>
      <c r="T37" s="10"/>
      <c r="U37" s="10"/>
      <c r="V37">
        <f t="shared" si="0"/>
        <v>1</v>
      </c>
      <c r="W37">
        <f t="shared" si="1"/>
        <v>1</v>
      </c>
      <c r="X37">
        <v>1</v>
      </c>
    </row>
    <row r="38" spans="1:24" x14ac:dyDescent="0.35">
      <c r="A38" s="38">
        <v>0.27777777777777779</v>
      </c>
      <c r="B38" s="9" t="s">
        <v>85</v>
      </c>
      <c r="C38" s="15">
        <v>34</v>
      </c>
      <c r="D38" s="15">
        <v>202530434</v>
      </c>
      <c r="E38" s="15" t="s">
        <v>36</v>
      </c>
      <c r="F38" s="15">
        <v>100</v>
      </c>
      <c r="G38" s="15">
        <v>0</v>
      </c>
      <c r="H38" s="15">
        <v>100</v>
      </c>
      <c r="I38" s="15">
        <v>90</v>
      </c>
      <c r="J38" s="37">
        <v>75</v>
      </c>
      <c r="K38" s="37">
        <v>55</v>
      </c>
      <c r="L38" s="15">
        <v>100</v>
      </c>
      <c r="M38" s="15">
        <v>100</v>
      </c>
      <c r="N38" s="37">
        <v>90</v>
      </c>
      <c r="O38" s="15">
        <v>75</v>
      </c>
      <c r="P38" s="37">
        <v>100</v>
      </c>
      <c r="Q38" s="14">
        <f>IF([1]punteo!L39="",0,[1]punteo!L39)</f>
        <v>95</v>
      </c>
      <c r="R38" s="10">
        <f>IF([2]punteo!L39="",0,[2]punteo!L39)</f>
        <v>100</v>
      </c>
      <c r="S38" s="10">
        <f>IF([3]punteo!L39="",0,[3]punteo!L39)</f>
        <v>100</v>
      </c>
      <c r="T38" s="10"/>
      <c r="U38" s="10"/>
      <c r="V38">
        <f t="shared" si="0"/>
        <v>1</v>
      </c>
      <c r="W38">
        <f t="shared" si="1"/>
        <v>1</v>
      </c>
      <c r="X38">
        <v>0</v>
      </c>
    </row>
    <row r="39" spans="1:24" x14ac:dyDescent="0.35">
      <c r="A39" s="38">
        <v>0.27777777777777779</v>
      </c>
      <c r="B39" s="9" t="s">
        <v>87</v>
      </c>
      <c r="C39" s="15">
        <v>35</v>
      </c>
      <c r="D39" s="15">
        <v>202530446</v>
      </c>
      <c r="E39" s="15" t="s">
        <v>37</v>
      </c>
      <c r="F39" s="15">
        <v>100</v>
      </c>
      <c r="G39" s="15">
        <v>0</v>
      </c>
      <c r="H39" s="15">
        <v>100</v>
      </c>
      <c r="I39" s="15">
        <v>0</v>
      </c>
      <c r="J39" s="37">
        <v>100</v>
      </c>
      <c r="K39" s="37">
        <v>100</v>
      </c>
      <c r="L39" s="15">
        <v>100</v>
      </c>
      <c r="M39" s="15">
        <v>100</v>
      </c>
      <c r="N39" s="37">
        <v>50</v>
      </c>
      <c r="O39" s="15">
        <v>85</v>
      </c>
      <c r="P39" s="37">
        <v>80</v>
      </c>
      <c r="Q39" s="14">
        <f>IF([1]punteo!L40="",0,[1]punteo!L40)</f>
        <v>100</v>
      </c>
      <c r="R39" s="10">
        <f>IF([2]punteo!L40="",0,[2]punteo!L40)</f>
        <v>100</v>
      </c>
      <c r="S39" s="10">
        <f>IF([3]punteo!L40="",0,[3]punteo!L40)</f>
        <v>100</v>
      </c>
      <c r="T39" s="10"/>
      <c r="U39" s="10"/>
      <c r="V39">
        <f t="shared" si="0"/>
        <v>1</v>
      </c>
      <c r="W39">
        <f t="shared" si="1"/>
        <v>1</v>
      </c>
      <c r="X39">
        <v>0</v>
      </c>
    </row>
    <row r="40" spans="1:24" x14ac:dyDescent="0.35">
      <c r="A40" s="15"/>
      <c r="B40" s="16"/>
      <c r="C40" s="15">
        <v>36</v>
      </c>
      <c r="D40" s="15">
        <v>202530522</v>
      </c>
      <c r="E40" s="15" t="s">
        <v>38</v>
      </c>
      <c r="F40" s="15">
        <v>100</v>
      </c>
      <c r="G40" s="15">
        <v>0</v>
      </c>
      <c r="H40" s="15">
        <v>100</v>
      </c>
      <c r="I40" s="15">
        <v>0</v>
      </c>
      <c r="J40" s="37">
        <v>100</v>
      </c>
      <c r="K40" s="37">
        <v>100</v>
      </c>
      <c r="L40" s="15">
        <v>100</v>
      </c>
      <c r="M40" s="15">
        <v>100</v>
      </c>
      <c r="N40" s="37">
        <v>50</v>
      </c>
      <c r="O40" s="15">
        <v>80</v>
      </c>
      <c r="P40" s="37">
        <v>80</v>
      </c>
      <c r="Q40" s="14">
        <f>IF([1]punteo!L41="",0,[1]punteo!L41)</f>
        <v>0</v>
      </c>
      <c r="R40" s="10">
        <f>IF([2]punteo!L41="",0,[2]punteo!L41)</f>
        <v>0</v>
      </c>
      <c r="S40" s="10">
        <f>IF([3]punteo!L41="",0,[3]punteo!L41)</f>
        <v>0</v>
      </c>
      <c r="T40" s="10"/>
      <c r="U40" s="10"/>
      <c r="V40">
        <f t="shared" si="0"/>
        <v>1</v>
      </c>
      <c r="W40">
        <f t="shared" si="1"/>
        <v>1</v>
      </c>
      <c r="X40">
        <v>0</v>
      </c>
    </row>
    <row r="41" spans="1:24" x14ac:dyDescent="0.35">
      <c r="A41" s="15"/>
      <c r="B41" s="16"/>
      <c r="C41" s="15">
        <v>37</v>
      </c>
      <c r="D41" s="15">
        <v>202530613</v>
      </c>
      <c r="E41" s="15" t="s">
        <v>39</v>
      </c>
      <c r="F41" s="15">
        <v>0</v>
      </c>
      <c r="G41" s="15">
        <v>100</v>
      </c>
      <c r="H41" s="15">
        <v>0</v>
      </c>
      <c r="I41" s="15">
        <v>0</v>
      </c>
      <c r="J41" s="37">
        <v>0</v>
      </c>
      <c r="K41" s="37">
        <v>0</v>
      </c>
      <c r="L41" s="15">
        <v>0</v>
      </c>
      <c r="M41" s="15">
        <v>0</v>
      </c>
      <c r="N41" s="37">
        <v>0</v>
      </c>
      <c r="O41" s="15">
        <v>0</v>
      </c>
      <c r="P41" s="37">
        <v>0</v>
      </c>
      <c r="Q41" s="14">
        <f>IF([1]punteo!L42="",0,[1]punteo!L42)</f>
        <v>0</v>
      </c>
      <c r="R41" s="10">
        <f>IF([2]punteo!L42="",0,[2]punteo!L42)</f>
        <v>0</v>
      </c>
      <c r="S41" s="10">
        <f>IF([3]punteo!L42="",0,[3]punteo!L42)</f>
        <v>0</v>
      </c>
      <c r="T41" s="10"/>
      <c r="U41" s="10"/>
      <c r="V41">
        <f t="shared" si="0"/>
        <v>0</v>
      </c>
      <c r="W41">
        <f t="shared" si="1"/>
        <v>0</v>
      </c>
      <c r="X41" s="3">
        <v>1</v>
      </c>
    </row>
    <row r="42" spans="1:24" x14ac:dyDescent="0.35">
      <c r="A42" s="15"/>
      <c r="B42" s="16"/>
      <c r="C42" s="15">
        <v>38</v>
      </c>
      <c r="D42" s="15">
        <v>202530621</v>
      </c>
      <c r="E42" s="15" t="s">
        <v>40</v>
      </c>
      <c r="F42" s="15">
        <v>100</v>
      </c>
      <c r="G42" s="15">
        <v>0</v>
      </c>
      <c r="H42" s="15">
        <v>100</v>
      </c>
      <c r="I42" s="15">
        <v>90</v>
      </c>
      <c r="J42" s="37">
        <v>70</v>
      </c>
      <c r="K42" s="37">
        <v>100</v>
      </c>
      <c r="L42" s="15">
        <v>100</v>
      </c>
      <c r="M42" s="15">
        <v>100</v>
      </c>
      <c r="N42" s="37">
        <v>70</v>
      </c>
      <c r="O42" s="15">
        <v>60</v>
      </c>
      <c r="P42" s="37">
        <v>65</v>
      </c>
      <c r="Q42" s="14">
        <f>IF([1]punteo!L43="",0,[1]punteo!L43)</f>
        <v>80</v>
      </c>
      <c r="R42" s="10">
        <f>IF([2]punteo!L43="",0,[2]punteo!L43)</f>
        <v>100</v>
      </c>
      <c r="S42" s="10">
        <f>IF([3]punteo!L43="",0,[3]punteo!L43)</f>
        <v>100</v>
      </c>
      <c r="T42" s="10"/>
      <c r="U42" s="10"/>
      <c r="V42">
        <f t="shared" si="0"/>
        <v>1</v>
      </c>
      <c r="W42">
        <f t="shared" si="1"/>
        <v>1</v>
      </c>
      <c r="X42">
        <v>0</v>
      </c>
    </row>
    <row r="43" spans="1:24" s="13" customFormat="1" x14ac:dyDescent="0.35">
      <c r="A43" s="39">
        <v>0.27777777777777779</v>
      </c>
      <c r="B43" s="12" t="s">
        <v>85</v>
      </c>
      <c r="C43" s="37">
        <v>39</v>
      </c>
      <c r="D43" s="37">
        <v>202530673</v>
      </c>
      <c r="E43" s="37" t="s">
        <v>41</v>
      </c>
      <c r="F43" s="37">
        <v>0</v>
      </c>
      <c r="G43" s="37">
        <v>0</v>
      </c>
      <c r="H43" s="37">
        <v>0</v>
      </c>
      <c r="I43" s="37">
        <v>100</v>
      </c>
      <c r="J43" s="37">
        <v>0</v>
      </c>
      <c r="K43" s="37">
        <v>100</v>
      </c>
      <c r="L43" s="37">
        <v>100</v>
      </c>
      <c r="M43" s="37">
        <v>100</v>
      </c>
      <c r="N43" s="37">
        <v>70</v>
      </c>
      <c r="O43" s="37">
        <v>95</v>
      </c>
      <c r="P43" s="37">
        <v>0</v>
      </c>
      <c r="Q43" s="14">
        <v>50</v>
      </c>
      <c r="R43" s="14">
        <f>IF([2]punteo!L44="",0,[2]punteo!L44)</f>
        <v>0</v>
      </c>
      <c r="S43" s="14">
        <f>IF([3]punteo!L44="",0,[3]punteo!L44)</f>
        <v>100</v>
      </c>
      <c r="T43" s="14"/>
      <c r="U43" s="14"/>
      <c r="V43" s="13">
        <f t="shared" si="0"/>
        <v>1</v>
      </c>
      <c r="W43" s="13">
        <f t="shared" si="1"/>
        <v>0</v>
      </c>
      <c r="X43" s="13">
        <v>0</v>
      </c>
    </row>
    <row r="44" spans="1:24" x14ac:dyDescent="0.35">
      <c r="A44" s="15"/>
      <c r="B44" s="16"/>
      <c r="C44" s="15">
        <v>40</v>
      </c>
      <c r="D44" s="15">
        <v>202530674</v>
      </c>
      <c r="E44" s="15" t="s">
        <v>42</v>
      </c>
      <c r="F44" s="15">
        <v>0</v>
      </c>
      <c r="G44" s="15">
        <v>0</v>
      </c>
      <c r="H44" s="15">
        <v>50</v>
      </c>
      <c r="I44" s="15">
        <v>0</v>
      </c>
      <c r="J44" s="37">
        <v>100</v>
      </c>
      <c r="K44" s="37">
        <v>100</v>
      </c>
      <c r="L44" s="15">
        <v>90</v>
      </c>
      <c r="M44" s="15">
        <v>100</v>
      </c>
      <c r="N44" s="37">
        <v>50</v>
      </c>
      <c r="O44" s="15">
        <v>85</v>
      </c>
      <c r="P44" s="37">
        <v>70</v>
      </c>
      <c r="Q44" s="14">
        <f>IF([1]punteo!L45="",0,[1]punteo!L45)</f>
        <v>0</v>
      </c>
      <c r="R44" s="10">
        <f>IF([2]punteo!L45="",0,[2]punteo!L45)</f>
        <v>0</v>
      </c>
      <c r="S44" s="10">
        <f>IF([3]punteo!L45="",0,[3]punteo!L45)</f>
        <v>0</v>
      </c>
      <c r="T44" s="10"/>
      <c r="U44" s="10"/>
      <c r="V44">
        <f t="shared" si="0"/>
        <v>1</v>
      </c>
      <c r="W44">
        <f t="shared" si="1"/>
        <v>1</v>
      </c>
      <c r="X44">
        <v>0</v>
      </c>
    </row>
    <row r="45" spans="1:24" x14ac:dyDescent="0.35">
      <c r="A45" s="15"/>
      <c r="B45" s="16"/>
      <c r="C45" s="15">
        <v>41</v>
      </c>
      <c r="D45" s="15">
        <v>202530677</v>
      </c>
      <c r="E45" s="15" t="s">
        <v>43</v>
      </c>
      <c r="F45" s="15">
        <v>100</v>
      </c>
      <c r="G45" s="15">
        <v>0</v>
      </c>
      <c r="H45" s="15">
        <v>100</v>
      </c>
      <c r="I45" s="15">
        <v>0</v>
      </c>
      <c r="J45" s="37">
        <v>100</v>
      </c>
      <c r="K45" s="37">
        <v>0</v>
      </c>
      <c r="L45" s="15">
        <v>100</v>
      </c>
      <c r="M45" s="15">
        <v>0</v>
      </c>
      <c r="N45" s="37">
        <v>0</v>
      </c>
      <c r="O45" s="15">
        <v>0</v>
      </c>
      <c r="P45" s="37">
        <v>0</v>
      </c>
      <c r="Q45" s="14">
        <f>IF([1]punteo!L46="",0,[1]punteo!L46)</f>
        <v>0</v>
      </c>
      <c r="R45" s="10">
        <f>IF([2]punteo!L46="",0,[2]punteo!L46)</f>
        <v>0</v>
      </c>
      <c r="S45" s="10">
        <f>IF([3]punteo!L46="",0,[3]punteo!L46)</f>
        <v>0</v>
      </c>
      <c r="T45" s="10"/>
      <c r="U45" s="10"/>
      <c r="V45">
        <f t="shared" si="0"/>
        <v>0</v>
      </c>
      <c r="W45">
        <f t="shared" si="1"/>
        <v>0</v>
      </c>
      <c r="X45">
        <v>0</v>
      </c>
    </row>
    <row r="46" spans="1:24" x14ac:dyDescent="0.35">
      <c r="A46" s="38">
        <v>0.27777777777777779</v>
      </c>
      <c r="B46" s="9" t="s">
        <v>85</v>
      </c>
      <c r="C46" s="15">
        <v>42</v>
      </c>
      <c r="D46" s="15">
        <v>202530728</v>
      </c>
      <c r="E46" s="15" t="s">
        <v>44</v>
      </c>
      <c r="F46" s="15">
        <v>100</v>
      </c>
      <c r="G46" s="15">
        <v>0</v>
      </c>
      <c r="H46" s="15">
        <v>100</v>
      </c>
      <c r="I46" s="15">
        <v>0</v>
      </c>
      <c r="J46" s="37">
        <v>100</v>
      </c>
      <c r="K46" s="37">
        <v>100</v>
      </c>
      <c r="L46" s="15">
        <v>0</v>
      </c>
      <c r="M46" s="15">
        <v>100</v>
      </c>
      <c r="N46" s="37">
        <v>70</v>
      </c>
      <c r="O46" s="15">
        <v>85</v>
      </c>
      <c r="P46" s="37">
        <v>50</v>
      </c>
      <c r="Q46" s="14">
        <f>IF([1]punteo!L47="",0,[1]punteo!L47)</f>
        <v>80</v>
      </c>
      <c r="R46" s="10">
        <f>IF([2]punteo!L47="",0,[2]punteo!L47)</f>
        <v>100</v>
      </c>
      <c r="S46" s="10">
        <f>IF([3]punteo!L47="",0,[3]punteo!L47)</f>
        <v>100</v>
      </c>
      <c r="T46" s="10"/>
      <c r="U46" s="10"/>
      <c r="V46">
        <f t="shared" si="0"/>
        <v>1</v>
      </c>
      <c r="W46">
        <f t="shared" si="1"/>
        <v>1</v>
      </c>
      <c r="X46">
        <v>0</v>
      </c>
    </row>
    <row r="47" spans="1:24" x14ac:dyDescent="0.35">
      <c r="A47" s="38">
        <v>0.27777777777777779</v>
      </c>
      <c r="B47" s="9" t="s">
        <v>85</v>
      </c>
      <c r="C47" s="15">
        <v>43</v>
      </c>
      <c r="D47" s="15">
        <v>202530843</v>
      </c>
      <c r="E47" s="15" t="s">
        <v>45</v>
      </c>
      <c r="F47" s="15">
        <v>0</v>
      </c>
      <c r="G47" s="15">
        <v>0</v>
      </c>
      <c r="H47" s="15">
        <v>0</v>
      </c>
      <c r="I47" s="15">
        <v>0</v>
      </c>
      <c r="J47" s="37">
        <v>100</v>
      </c>
      <c r="K47" s="37">
        <v>100</v>
      </c>
      <c r="L47" s="15">
        <v>0</v>
      </c>
      <c r="M47" s="15">
        <v>100</v>
      </c>
      <c r="N47" s="37">
        <v>70</v>
      </c>
      <c r="O47" s="15">
        <v>85</v>
      </c>
      <c r="P47" s="37">
        <v>85</v>
      </c>
      <c r="Q47" s="14">
        <f>IF([1]punteo!L48="",0,[1]punteo!L48)</f>
        <v>80</v>
      </c>
      <c r="R47" s="10">
        <f>IF([2]punteo!L48="",0,[2]punteo!L48)</f>
        <v>100</v>
      </c>
      <c r="S47" s="10">
        <f>IF([3]punteo!L48="",0,[3]punteo!L48)</f>
        <v>100</v>
      </c>
      <c r="T47" s="10"/>
      <c r="U47" s="10"/>
      <c r="V47">
        <f t="shared" si="0"/>
        <v>1</v>
      </c>
      <c r="W47">
        <f t="shared" si="1"/>
        <v>1</v>
      </c>
      <c r="X47" s="3">
        <v>1</v>
      </c>
    </row>
    <row r="48" spans="1:24" x14ac:dyDescent="0.35">
      <c r="A48" s="15"/>
      <c r="B48" s="16"/>
      <c r="C48" s="15">
        <v>44</v>
      </c>
      <c r="D48" s="15">
        <v>202530866</v>
      </c>
      <c r="E48" s="15" t="s">
        <v>46</v>
      </c>
      <c r="F48" s="15">
        <v>100</v>
      </c>
      <c r="G48" s="15">
        <v>0</v>
      </c>
      <c r="H48" s="15">
        <v>100</v>
      </c>
      <c r="I48" s="15">
        <v>90</v>
      </c>
      <c r="J48" s="37">
        <v>100</v>
      </c>
      <c r="K48" s="37">
        <v>100</v>
      </c>
      <c r="L48" s="15">
        <v>90</v>
      </c>
      <c r="M48" s="15">
        <v>100</v>
      </c>
      <c r="N48" s="37">
        <v>50</v>
      </c>
      <c r="O48" s="15">
        <v>85</v>
      </c>
      <c r="P48" s="37">
        <v>55</v>
      </c>
      <c r="Q48" s="14">
        <f>IF([1]punteo!L49="",0,[1]punteo!L49)</f>
        <v>100</v>
      </c>
      <c r="R48" s="10">
        <f>IF([2]punteo!L49="",0,[2]punteo!L49)</f>
        <v>100</v>
      </c>
      <c r="S48" s="10">
        <f>IF([3]punteo!L49="",0,[3]punteo!L49)</f>
        <v>100</v>
      </c>
      <c r="T48" s="10"/>
      <c r="U48" s="10"/>
      <c r="V48">
        <f t="shared" si="0"/>
        <v>1</v>
      </c>
      <c r="W48">
        <f t="shared" si="1"/>
        <v>1</v>
      </c>
      <c r="X48">
        <v>1</v>
      </c>
    </row>
    <row r="49" spans="1:24" x14ac:dyDescent="0.35">
      <c r="A49" s="38">
        <v>0.27777777777777779</v>
      </c>
      <c r="B49" s="9" t="s">
        <v>85</v>
      </c>
      <c r="C49" s="15">
        <v>45</v>
      </c>
      <c r="D49" s="15">
        <v>202530917</v>
      </c>
      <c r="E49" s="15" t="s">
        <v>47</v>
      </c>
      <c r="F49" s="15">
        <v>0</v>
      </c>
      <c r="G49" s="15">
        <v>0</v>
      </c>
      <c r="H49" s="15">
        <v>50</v>
      </c>
      <c r="I49" s="15">
        <v>100</v>
      </c>
      <c r="J49" s="37">
        <v>75</v>
      </c>
      <c r="K49" s="37">
        <v>100</v>
      </c>
      <c r="L49" s="15">
        <v>100</v>
      </c>
      <c r="M49" s="15">
        <v>100</v>
      </c>
      <c r="N49" s="37">
        <v>90</v>
      </c>
      <c r="O49" s="15">
        <v>95</v>
      </c>
      <c r="P49" s="37">
        <v>65</v>
      </c>
      <c r="Q49" s="14">
        <f>IF([1]punteo!L50="",0,[1]punteo!L50)</f>
        <v>100</v>
      </c>
      <c r="R49" s="10">
        <f>IF([2]punteo!L50="",0,[2]punteo!L50)</f>
        <v>100</v>
      </c>
      <c r="S49" s="10">
        <f>IF([3]punteo!L50="",0,[3]punteo!L50)</f>
        <v>100</v>
      </c>
      <c r="T49" s="10"/>
      <c r="U49" s="10"/>
      <c r="V49">
        <f t="shared" si="0"/>
        <v>1</v>
      </c>
      <c r="W49">
        <f t="shared" si="1"/>
        <v>1</v>
      </c>
      <c r="X49">
        <v>1</v>
      </c>
    </row>
    <row r="50" spans="1:24" x14ac:dyDescent="0.35">
      <c r="A50" s="15"/>
      <c r="B50" s="16"/>
      <c r="C50" s="15">
        <v>46</v>
      </c>
      <c r="D50" s="15">
        <v>202531013</v>
      </c>
      <c r="E50" s="15" t="s">
        <v>48</v>
      </c>
      <c r="F50" s="15">
        <v>100</v>
      </c>
      <c r="G50" s="15">
        <v>0</v>
      </c>
      <c r="H50" s="15">
        <v>100</v>
      </c>
      <c r="I50" s="15">
        <v>90</v>
      </c>
      <c r="J50" s="37">
        <v>100</v>
      </c>
      <c r="K50" s="37">
        <v>75</v>
      </c>
      <c r="L50" s="15">
        <v>100</v>
      </c>
      <c r="M50" s="15">
        <v>100</v>
      </c>
      <c r="N50" s="37">
        <v>100</v>
      </c>
      <c r="O50" s="15">
        <v>90</v>
      </c>
      <c r="P50" s="37">
        <v>70</v>
      </c>
      <c r="Q50" s="14">
        <f>IF([1]punteo!L51="",0,[1]punteo!L51)</f>
        <v>100</v>
      </c>
      <c r="R50" s="10">
        <f>IF([2]punteo!L51="",0,[2]punteo!L51)</f>
        <v>100</v>
      </c>
      <c r="S50" s="10">
        <f>IF([3]punteo!L51="",0,[3]punteo!L51)</f>
        <v>100</v>
      </c>
      <c r="T50" s="10"/>
      <c r="U50" s="10"/>
      <c r="V50">
        <f t="shared" si="0"/>
        <v>1</v>
      </c>
      <c r="W50">
        <f t="shared" si="1"/>
        <v>1</v>
      </c>
      <c r="X50">
        <v>1</v>
      </c>
    </row>
    <row r="51" spans="1:24" x14ac:dyDescent="0.35">
      <c r="A51" s="15"/>
      <c r="B51" s="16"/>
      <c r="C51" s="15">
        <v>47</v>
      </c>
      <c r="D51" s="15">
        <v>202531019</v>
      </c>
      <c r="E51" s="15" t="s">
        <v>49</v>
      </c>
      <c r="F51" s="15">
        <v>0</v>
      </c>
      <c r="G51" s="15">
        <v>0</v>
      </c>
      <c r="H51" s="15">
        <v>100</v>
      </c>
      <c r="I51" s="15">
        <v>90</v>
      </c>
      <c r="J51" s="37">
        <v>100</v>
      </c>
      <c r="K51" s="37">
        <v>55</v>
      </c>
      <c r="L51" s="15">
        <v>100</v>
      </c>
      <c r="M51" s="15">
        <v>100</v>
      </c>
      <c r="N51" s="37">
        <v>95</v>
      </c>
      <c r="O51" s="15">
        <v>0</v>
      </c>
      <c r="P51" s="37">
        <v>55</v>
      </c>
      <c r="Q51" s="14">
        <f>IF([1]punteo!L52="",0,[1]punteo!L52)</f>
        <v>100</v>
      </c>
      <c r="R51" s="10">
        <f>IF([2]punteo!L52="",0,[2]punteo!L52)</f>
        <v>100</v>
      </c>
      <c r="S51" s="10">
        <f>IF([3]punteo!L52="",0,[3]punteo!L52)</f>
        <v>100</v>
      </c>
      <c r="T51" s="10"/>
      <c r="U51" s="10"/>
      <c r="V51">
        <f t="shared" si="0"/>
        <v>0</v>
      </c>
      <c r="W51">
        <f t="shared" si="1"/>
        <v>1</v>
      </c>
      <c r="X51">
        <v>0</v>
      </c>
    </row>
    <row r="52" spans="1:24" x14ac:dyDescent="0.35">
      <c r="A52" s="15"/>
      <c r="B52" s="16"/>
      <c r="C52" s="15">
        <v>48</v>
      </c>
      <c r="D52" s="15">
        <v>202531089</v>
      </c>
      <c r="E52" s="15" t="s">
        <v>50</v>
      </c>
      <c r="F52" s="15">
        <v>100</v>
      </c>
      <c r="G52" s="15">
        <v>0</v>
      </c>
      <c r="H52" s="15">
        <v>100</v>
      </c>
      <c r="I52" s="15">
        <v>90</v>
      </c>
      <c r="J52" s="37">
        <v>70</v>
      </c>
      <c r="K52" s="37">
        <v>100</v>
      </c>
      <c r="L52" s="15">
        <v>90</v>
      </c>
      <c r="M52" s="15">
        <v>100</v>
      </c>
      <c r="N52" s="37">
        <v>50</v>
      </c>
      <c r="O52" s="15">
        <v>85</v>
      </c>
      <c r="P52" s="37">
        <v>55</v>
      </c>
      <c r="Q52" s="14">
        <f>IF([1]punteo!L53="",0,[1]punteo!L53)</f>
        <v>100</v>
      </c>
      <c r="R52" s="10">
        <f>IF([2]punteo!L53="",0,[2]punteo!L53)</f>
        <v>100</v>
      </c>
      <c r="S52" s="10">
        <f>IF([3]punteo!L53="",0,[3]punteo!L53)</f>
        <v>100</v>
      </c>
      <c r="T52" s="10"/>
      <c r="U52" s="10"/>
      <c r="V52">
        <f t="shared" si="0"/>
        <v>1</v>
      </c>
      <c r="W52">
        <f t="shared" si="1"/>
        <v>1</v>
      </c>
      <c r="X52" s="3">
        <v>1</v>
      </c>
    </row>
    <row r="53" spans="1:24" x14ac:dyDescent="0.35">
      <c r="A53" s="15"/>
      <c r="B53" s="16"/>
      <c r="C53" s="15">
        <v>49</v>
      </c>
      <c r="D53" s="15">
        <v>202531127</v>
      </c>
      <c r="E53" s="15" t="s">
        <v>51</v>
      </c>
      <c r="F53" s="15">
        <v>0</v>
      </c>
      <c r="G53" s="15">
        <v>0</v>
      </c>
      <c r="H53" s="15">
        <v>100</v>
      </c>
      <c r="I53" s="15">
        <v>0</v>
      </c>
      <c r="J53" s="37">
        <v>0</v>
      </c>
      <c r="K53" s="37">
        <v>100</v>
      </c>
      <c r="L53" s="15">
        <v>0</v>
      </c>
      <c r="M53" s="15">
        <v>100</v>
      </c>
      <c r="N53" s="37">
        <v>70</v>
      </c>
      <c r="O53" s="15">
        <v>85</v>
      </c>
      <c r="P53" s="37">
        <v>85</v>
      </c>
      <c r="Q53" s="14">
        <f>IF([1]punteo!L54="",0,[1]punteo!L54)</f>
        <v>80</v>
      </c>
      <c r="R53" s="10">
        <f>IF([2]punteo!L54="",0,[2]punteo!L54)</f>
        <v>100</v>
      </c>
      <c r="S53" s="10">
        <f>IF([3]punteo!L54="",0,[3]punteo!L54)</f>
        <v>100</v>
      </c>
      <c r="T53" s="10"/>
      <c r="U53" s="10"/>
      <c r="V53">
        <f t="shared" si="0"/>
        <v>1</v>
      </c>
      <c r="W53">
        <f t="shared" si="1"/>
        <v>1</v>
      </c>
      <c r="X53">
        <v>1</v>
      </c>
    </row>
    <row r="54" spans="1:24" x14ac:dyDescent="0.35">
      <c r="A54" s="15"/>
      <c r="B54" s="16"/>
      <c r="C54" s="15">
        <v>50</v>
      </c>
      <c r="D54" s="15">
        <v>202531213</v>
      </c>
      <c r="E54" s="15" t="s">
        <v>52</v>
      </c>
      <c r="F54" s="15">
        <v>100</v>
      </c>
      <c r="G54" s="15">
        <v>100</v>
      </c>
      <c r="H54" s="15">
        <v>100</v>
      </c>
      <c r="I54" s="15">
        <v>90</v>
      </c>
      <c r="J54" s="37">
        <v>100</v>
      </c>
      <c r="K54" s="37">
        <v>90</v>
      </c>
      <c r="L54" s="15">
        <v>100</v>
      </c>
      <c r="M54" s="15">
        <v>100</v>
      </c>
      <c r="N54" s="37">
        <v>80</v>
      </c>
      <c r="O54" s="15">
        <v>100</v>
      </c>
      <c r="P54" s="37">
        <v>100</v>
      </c>
      <c r="Q54" s="14">
        <f>IF([1]punteo!L55="",0,[1]punteo!L55)</f>
        <v>90</v>
      </c>
      <c r="R54" s="10">
        <f>IF([2]punteo!L55="",0,[2]punteo!L55)</f>
        <v>100</v>
      </c>
      <c r="S54" s="10">
        <f>IF([3]punteo!L55="",0,[3]punteo!L55)</f>
        <v>100</v>
      </c>
      <c r="T54" s="10"/>
      <c r="U54" s="10"/>
      <c r="V54">
        <f t="shared" si="0"/>
        <v>1</v>
      </c>
      <c r="W54">
        <f t="shared" si="1"/>
        <v>1</v>
      </c>
      <c r="X54">
        <v>0</v>
      </c>
    </row>
    <row r="55" spans="1:24" x14ac:dyDescent="0.35">
      <c r="A55" s="15"/>
      <c r="B55" s="16"/>
      <c r="C55" s="15">
        <v>51</v>
      </c>
      <c r="D55" s="15">
        <v>202531219</v>
      </c>
      <c r="E55" s="15" t="s">
        <v>53</v>
      </c>
      <c r="F55" s="15">
        <v>0</v>
      </c>
      <c r="G55" s="15">
        <v>0</v>
      </c>
      <c r="H55" s="15">
        <v>100</v>
      </c>
      <c r="I55" s="15">
        <v>100</v>
      </c>
      <c r="J55" s="37">
        <v>75</v>
      </c>
      <c r="K55" s="37">
        <v>90</v>
      </c>
      <c r="L55" s="15">
        <v>100</v>
      </c>
      <c r="M55" s="15">
        <v>80</v>
      </c>
      <c r="N55" s="37">
        <v>70</v>
      </c>
      <c r="O55" s="15">
        <v>45</v>
      </c>
      <c r="P55" s="37">
        <v>0</v>
      </c>
      <c r="Q55" s="14">
        <f>IF([1]punteo!L56="",0,[1]punteo!L56)</f>
        <v>80</v>
      </c>
      <c r="R55" s="10">
        <f>IF([2]punteo!L56="",0,[2]punteo!L56)</f>
        <v>100</v>
      </c>
      <c r="S55" s="10">
        <f>IF([3]punteo!L56="",0,[3]punteo!L56)</f>
        <v>100</v>
      </c>
      <c r="T55" s="10"/>
      <c r="U55" s="10"/>
      <c r="V55">
        <f t="shared" si="0"/>
        <v>1</v>
      </c>
      <c r="W55">
        <f t="shared" si="1"/>
        <v>0</v>
      </c>
      <c r="X55">
        <v>1</v>
      </c>
    </row>
    <row r="56" spans="1:24" x14ac:dyDescent="0.35">
      <c r="A56" s="15"/>
      <c r="B56" s="16"/>
      <c r="C56" s="15">
        <v>52</v>
      </c>
      <c r="D56" s="15">
        <v>202531289</v>
      </c>
      <c r="E56" s="15" t="s">
        <v>54</v>
      </c>
      <c r="F56" s="15">
        <v>100</v>
      </c>
      <c r="G56" s="15">
        <v>0</v>
      </c>
      <c r="H56" s="15">
        <v>100</v>
      </c>
      <c r="I56" s="15">
        <v>100</v>
      </c>
      <c r="J56" s="37">
        <v>85</v>
      </c>
      <c r="K56" s="37">
        <v>100</v>
      </c>
      <c r="L56" s="15">
        <v>100</v>
      </c>
      <c r="M56" s="15">
        <v>100</v>
      </c>
      <c r="N56" s="37">
        <v>100</v>
      </c>
      <c r="O56" s="15">
        <v>95</v>
      </c>
      <c r="P56" s="37">
        <v>85</v>
      </c>
      <c r="Q56" s="14">
        <f>IF([1]punteo!L57="",0,[1]punteo!L57)</f>
        <v>95</v>
      </c>
      <c r="R56" s="10">
        <f>IF([2]punteo!L57="",0,[2]punteo!L57)</f>
        <v>0</v>
      </c>
      <c r="S56" s="10">
        <f>IF([3]punteo!L57="",0,[3]punteo!L57)</f>
        <v>100</v>
      </c>
      <c r="T56" s="10"/>
      <c r="U56" s="10"/>
      <c r="V56">
        <f t="shared" si="0"/>
        <v>1</v>
      </c>
      <c r="W56">
        <f t="shared" si="1"/>
        <v>1</v>
      </c>
      <c r="X56">
        <v>1</v>
      </c>
    </row>
    <row r="57" spans="1:24" x14ac:dyDescent="0.35">
      <c r="A57" s="38">
        <v>0.27777777777777779</v>
      </c>
      <c r="B57" s="9" t="s">
        <v>85</v>
      </c>
      <c r="C57" s="15">
        <v>53</v>
      </c>
      <c r="D57" s="15">
        <v>202531319</v>
      </c>
      <c r="E57" s="15" t="s">
        <v>55</v>
      </c>
      <c r="F57" s="15">
        <v>100</v>
      </c>
      <c r="G57" s="15">
        <v>0</v>
      </c>
      <c r="H57" s="15">
        <v>50</v>
      </c>
      <c r="I57" s="15">
        <v>100</v>
      </c>
      <c r="J57" s="37">
        <v>75</v>
      </c>
      <c r="K57" s="37">
        <v>100</v>
      </c>
      <c r="L57" s="15">
        <v>100</v>
      </c>
      <c r="M57" s="15">
        <v>100</v>
      </c>
      <c r="N57" s="37">
        <v>50</v>
      </c>
      <c r="O57" s="15">
        <v>0</v>
      </c>
      <c r="P57" s="37">
        <v>50</v>
      </c>
      <c r="Q57" s="14">
        <f>IF([1]punteo!L58="",0,[1]punteo!L58)</f>
        <v>100</v>
      </c>
      <c r="R57" s="10">
        <f>IF([2]punteo!L58="",0,[2]punteo!L58)</f>
        <v>100</v>
      </c>
      <c r="S57" s="10">
        <f>IF([3]punteo!L58="",0,[3]punteo!L58)</f>
        <v>100</v>
      </c>
      <c r="T57" s="10"/>
      <c r="U57" s="10"/>
      <c r="V57">
        <f t="shared" si="0"/>
        <v>0</v>
      </c>
      <c r="W57">
        <f t="shared" si="1"/>
        <v>1</v>
      </c>
      <c r="X57">
        <v>1</v>
      </c>
    </row>
    <row r="58" spans="1:24" x14ac:dyDescent="0.35">
      <c r="A58" s="38">
        <v>0.27777777777777779</v>
      </c>
      <c r="B58" s="9" t="s">
        <v>85</v>
      </c>
      <c r="C58" s="15">
        <v>54</v>
      </c>
      <c r="D58" s="15">
        <v>202531351</v>
      </c>
      <c r="E58" s="15" t="s">
        <v>56</v>
      </c>
      <c r="F58" s="15">
        <v>100</v>
      </c>
      <c r="G58" s="15">
        <v>100</v>
      </c>
      <c r="H58" s="15">
        <v>100</v>
      </c>
      <c r="I58" s="15">
        <v>90</v>
      </c>
      <c r="J58" s="37">
        <v>100</v>
      </c>
      <c r="K58" s="37">
        <v>100</v>
      </c>
      <c r="L58" s="15">
        <v>100</v>
      </c>
      <c r="M58" s="15">
        <v>100</v>
      </c>
      <c r="N58" s="37">
        <v>80</v>
      </c>
      <c r="O58" s="15">
        <v>90</v>
      </c>
      <c r="P58" s="37">
        <v>100</v>
      </c>
      <c r="Q58" s="14">
        <f>IF([1]punteo!L59="",0,[1]punteo!L59)</f>
        <v>90</v>
      </c>
      <c r="R58" s="10">
        <f>IF([2]punteo!L59="",0,[2]punteo!L59)</f>
        <v>100</v>
      </c>
      <c r="S58" s="10">
        <f>IF([3]punteo!L59="",0,[3]punteo!L59)</f>
        <v>100</v>
      </c>
      <c r="T58" s="10"/>
      <c r="U58" s="10"/>
      <c r="V58">
        <f t="shared" si="0"/>
        <v>1</v>
      </c>
      <c r="W58">
        <f t="shared" si="1"/>
        <v>1</v>
      </c>
      <c r="X58">
        <v>1</v>
      </c>
    </row>
    <row r="59" spans="1:24" x14ac:dyDescent="0.35">
      <c r="A59" s="38">
        <v>0.27777777777777779</v>
      </c>
      <c r="B59" s="9" t="s">
        <v>85</v>
      </c>
      <c r="C59" s="15">
        <v>55</v>
      </c>
      <c r="D59" s="15">
        <v>202531352</v>
      </c>
      <c r="E59" s="15" t="s">
        <v>57</v>
      </c>
      <c r="F59" s="15">
        <v>100</v>
      </c>
      <c r="G59" s="15">
        <v>0</v>
      </c>
      <c r="H59" s="15">
        <v>100</v>
      </c>
      <c r="I59" s="15">
        <v>100</v>
      </c>
      <c r="J59" s="37">
        <v>100</v>
      </c>
      <c r="K59" s="37">
        <v>100</v>
      </c>
      <c r="L59" s="15">
        <v>100</v>
      </c>
      <c r="M59" s="15">
        <v>100</v>
      </c>
      <c r="N59" s="37">
        <v>70</v>
      </c>
      <c r="O59" s="15">
        <v>0</v>
      </c>
      <c r="P59" s="37">
        <v>75</v>
      </c>
      <c r="Q59" s="14">
        <f>IF([1]punteo!L60="",0,[1]punteo!L60)</f>
        <v>80</v>
      </c>
      <c r="R59" s="10">
        <f>IF([2]punteo!L60="",0,[2]punteo!L60)</f>
        <v>0</v>
      </c>
      <c r="S59" s="10">
        <f>IF([3]punteo!L60="",0,[3]punteo!L60)</f>
        <v>100</v>
      </c>
      <c r="T59" s="10"/>
      <c r="U59" s="10"/>
      <c r="V59">
        <f t="shared" si="0"/>
        <v>0</v>
      </c>
      <c r="W59">
        <f t="shared" si="1"/>
        <v>1</v>
      </c>
      <c r="X59">
        <v>1</v>
      </c>
    </row>
    <row r="60" spans="1:24" x14ac:dyDescent="0.35">
      <c r="A60" s="15"/>
      <c r="B60" s="16"/>
      <c r="C60" s="15">
        <v>56</v>
      </c>
      <c r="D60" s="15">
        <v>202531384</v>
      </c>
      <c r="E60" s="15" t="s">
        <v>58</v>
      </c>
      <c r="F60" s="15">
        <v>100</v>
      </c>
      <c r="G60" s="15">
        <v>100</v>
      </c>
      <c r="H60" s="15">
        <v>50</v>
      </c>
      <c r="I60" s="15">
        <v>90</v>
      </c>
      <c r="J60" s="37">
        <v>100</v>
      </c>
      <c r="K60" s="37">
        <v>100</v>
      </c>
      <c r="L60" s="15">
        <v>100</v>
      </c>
      <c r="M60" s="15">
        <v>100</v>
      </c>
      <c r="N60" s="37">
        <v>70</v>
      </c>
      <c r="O60" s="15">
        <v>100</v>
      </c>
      <c r="P60" s="37">
        <v>90</v>
      </c>
      <c r="Q60" s="14">
        <f>IF([1]punteo!L61="",0,[1]punteo!L61)</f>
        <v>80</v>
      </c>
      <c r="R60" s="10">
        <f>IF([2]punteo!L61="",0,[2]punteo!L61)</f>
        <v>100</v>
      </c>
      <c r="S60" s="10">
        <f>IF([3]punteo!L61="",0,[3]punteo!L61)</f>
        <v>100</v>
      </c>
      <c r="T60" s="10"/>
      <c r="U60" s="10"/>
      <c r="V60">
        <f t="shared" si="0"/>
        <v>1</v>
      </c>
      <c r="W60">
        <f t="shared" si="1"/>
        <v>1</v>
      </c>
      <c r="X60">
        <v>0</v>
      </c>
    </row>
    <row r="61" spans="1:24" x14ac:dyDescent="0.35">
      <c r="A61" s="15"/>
      <c r="B61" s="16"/>
      <c r="C61" s="15">
        <v>57</v>
      </c>
      <c r="D61" s="15">
        <v>202531399</v>
      </c>
      <c r="E61" s="15" t="s">
        <v>59</v>
      </c>
      <c r="F61" s="15">
        <v>0</v>
      </c>
      <c r="G61" s="15">
        <v>0</v>
      </c>
      <c r="H61" s="15">
        <v>50</v>
      </c>
      <c r="I61" s="15">
        <v>0</v>
      </c>
      <c r="J61" s="37">
        <v>0</v>
      </c>
      <c r="K61" s="37">
        <v>0</v>
      </c>
      <c r="L61" s="15">
        <v>0</v>
      </c>
      <c r="M61" s="15">
        <v>0</v>
      </c>
      <c r="N61" s="37">
        <v>0</v>
      </c>
      <c r="O61" s="15">
        <v>0</v>
      </c>
      <c r="P61" s="37">
        <v>0</v>
      </c>
      <c r="Q61" s="14">
        <f>IF([1]punteo!L62="",0,[1]punteo!L62)</f>
        <v>0</v>
      </c>
      <c r="R61" s="10">
        <f>IF([2]punteo!L62="",0,[2]punteo!L62)</f>
        <v>0</v>
      </c>
      <c r="S61" s="10">
        <f>IF([3]punteo!L62="",0,[3]punteo!L62)</f>
        <v>0</v>
      </c>
      <c r="T61" s="10"/>
      <c r="U61" s="10"/>
      <c r="V61">
        <f t="shared" si="0"/>
        <v>0</v>
      </c>
      <c r="W61">
        <f t="shared" si="1"/>
        <v>0</v>
      </c>
      <c r="X61">
        <v>0</v>
      </c>
    </row>
    <row r="62" spans="1:24" x14ac:dyDescent="0.35">
      <c r="A62" s="15"/>
      <c r="B62" s="16"/>
      <c r="C62" s="15">
        <v>58</v>
      </c>
      <c r="D62" s="15">
        <v>202531441</v>
      </c>
      <c r="E62" s="15" t="s">
        <v>60</v>
      </c>
      <c r="F62" s="15">
        <v>0</v>
      </c>
      <c r="G62" s="15">
        <v>0</v>
      </c>
      <c r="H62" s="15">
        <v>0</v>
      </c>
      <c r="I62" s="15">
        <v>0</v>
      </c>
      <c r="J62" s="37">
        <v>0</v>
      </c>
      <c r="K62" s="37">
        <v>0</v>
      </c>
      <c r="L62" s="15">
        <v>0</v>
      </c>
      <c r="M62" s="15">
        <v>0</v>
      </c>
      <c r="N62" s="37">
        <v>0</v>
      </c>
      <c r="O62" s="15">
        <v>0</v>
      </c>
      <c r="P62" s="37">
        <v>0</v>
      </c>
      <c r="Q62" s="14">
        <f>IF([1]punteo!L63="",0,[1]punteo!L63)</f>
        <v>0</v>
      </c>
      <c r="R62" s="10">
        <f>IF([2]punteo!L63="",0,[2]punteo!L63)</f>
        <v>0</v>
      </c>
      <c r="S62" s="10">
        <f>IF([3]punteo!L63="",0,[3]punteo!L63)</f>
        <v>0</v>
      </c>
      <c r="T62" s="10"/>
      <c r="U62" s="10"/>
      <c r="V62">
        <f t="shared" si="0"/>
        <v>0</v>
      </c>
      <c r="W62">
        <f t="shared" si="1"/>
        <v>0</v>
      </c>
      <c r="X62">
        <v>1</v>
      </c>
    </row>
    <row r="63" spans="1:24" x14ac:dyDescent="0.35">
      <c r="A63" s="15"/>
      <c r="B63" s="16"/>
      <c r="C63" s="15">
        <v>59</v>
      </c>
      <c r="D63" s="15">
        <v>202531444</v>
      </c>
      <c r="E63" s="15" t="s">
        <v>61</v>
      </c>
      <c r="F63" s="15">
        <v>100</v>
      </c>
      <c r="G63" s="15">
        <v>0</v>
      </c>
      <c r="H63" s="15">
        <v>100</v>
      </c>
      <c r="I63" s="15">
        <v>90</v>
      </c>
      <c r="J63" s="37">
        <v>100</v>
      </c>
      <c r="K63" s="37">
        <v>95</v>
      </c>
      <c r="L63" s="15">
        <v>100</v>
      </c>
      <c r="M63" s="15">
        <v>100</v>
      </c>
      <c r="N63" s="37">
        <v>50</v>
      </c>
      <c r="O63" s="15">
        <v>0</v>
      </c>
      <c r="P63" s="37">
        <v>65</v>
      </c>
      <c r="Q63" s="14">
        <f>IF([1]punteo!L64="",0,[1]punteo!L64)</f>
        <v>100</v>
      </c>
      <c r="R63" s="10">
        <f>IF([2]punteo!L64="",0,[2]punteo!L64)</f>
        <v>100</v>
      </c>
      <c r="S63" s="10">
        <f>IF([3]punteo!L64="",0,[3]punteo!L64)</f>
        <v>100</v>
      </c>
      <c r="T63" s="10"/>
      <c r="U63" s="10"/>
      <c r="V63">
        <f t="shared" si="0"/>
        <v>0</v>
      </c>
      <c r="W63">
        <f t="shared" si="1"/>
        <v>1</v>
      </c>
      <c r="X63">
        <v>1</v>
      </c>
    </row>
    <row r="64" spans="1:24" x14ac:dyDescent="0.35">
      <c r="A64" s="15"/>
      <c r="B64" s="16"/>
      <c r="C64" s="15">
        <v>60</v>
      </c>
      <c r="D64" s="15">
        <v>202531566</v>
      </c>
      <c r="E64" s="15" t="s">
        <v>62</v>
      </c>
      <c r="F64" s="15">
        <v>100</v>
      </c>
      <c r="G64" s="15">
        <v>0</v>
      </c>
      <c r="H64" s="15">
        <v>100</v>
      </c>
      <c r="I64" s="15">
        <v>90</v>
      </c>
      <c r="J64" s="37">
        <v>100</v>
      </c>
      <c r="K64" s="37">
        <v>85</v>
      </c>
      <c r="L64" s="15">
        <v>100</v>
      </c>
      <c r="M64" s="15">
        <v>100</v>
      </c>
      <c r="N64" s="37">
        <v>70</v>
      </c>
      <c r="O64" s="15">
        <v>75</v>
      </c>
      <c r="P64" s="37">
        <v>55</v>
      </c>
      <c r="Q64" s="14">
        <f>IF([1]punteo!L65="",0,[1]punteo!L65)</f>
        <v>95</v>
      </c>
      <c r="R64" s="10">
        <f>IF([2]punteo!L65="",0,[2]punteo!L65)</f>
        <v>100</v>
      </c>
      <c r="S64" s="10">
        <f>IF([3]punteo!L65="",0,[3]punteo!L65)</f>
        <v>100</v>
      </c>
      <c r="T64" s="10"/>
      <c r="U64" s="10"/>
      <c r="V64">
        <f t="shared" si="0"/>
        <v>1</v>
      </c>
      <c r="W64">
        <f t="shared" si="1"/>
        <v>1</v>
      </c>
      <c r="X64">
        <v>1</v>
      </c>
    </row>
    <row r="65" spans="1:25" x14ac:dyDescent="0.35">
      <c r="A65" s="38">
        <v>0.27777777777777779</v>
      </c>
      <c r="B65" s="9" t="s">
        <v>85</v>
      </c>
      <c r="C65" s="15">
        <v>61</v>
      </c>
      <c r="D65" s="15">
        <v>202531611</v>
      </c>
      <c r="E65" s="15" t="s">
        <v>63</v>
      </c>
      <c r="F65" s="15">
        <v>100</v>
      </c>
      <c r="G65" s="15">
        <v>0</v>
      </c>
      <c r="H65" s="15">
        <v>100</v>
      </c>
      <c r="I65" s="15">
        <v>0</v>
      </c>
      <c r="J65" s="37">
        <v>75</v>
      </c>
      <c r="K65" s="37">
        <v>100</v>
      </c>
      <c r="L65" s="15">
        <v>100</v>
      </c>
      <c r="M65" s="15">
        <v>100</v>
      </c>
      <c r="N65" s="37">
        <v>70</v>
      </c>
      <c r="O65" s="15">
        <v>45</v>
      </c>
      <c r="P65" s="37">
        <v>75</v>
      </c>
      <c r="Q65" s="14">
        <f>IF([1]punteo!L66="",0,[1]punteo!L66)</f>
        <v>0</v>
      </c>
      <c r="R65" s="10">
        <f>IF([2]punteo!L66="",0,[2]punteo!L66)</f>
        <v>0</v>
      </c>
      <c r="S65" s="10">
        <f>IF([3]punteo!L66="",0,[3]punteo!L66)</f>
        <v>100</v>
      </c>
      <c r="T65" s="10"/>
      <c r="U65" s="10"/>
      <c r="V65">
        <f t="shared" si="0"/>
        <v>1</v>
      </c>
      <c r="W65">
        <f t="shared" si="1"/>
        <v>1</v>
      </c>
      <c r="X65">
        <v>0</v>
      </c>
    </row>
    <row r="66" spans="1:25" x14ac:dyDescent="0.35">
      <c r="A66" s="15"/>
      <c r="B66" s="16"/>
      <c r="C66" s="15">
        <v>62</v>
      </c>
      <c r="D66" s="15">
        <v>202531645</v>
      </c>
      <c r="E66" s="15" t="s">
        <v>64</v>
      </c>
      <c r="F66" s="15">
        <v>100</v>
      </c>
      <c r="G66" s="15">
        <v>100</v>
      </c>
      <c r="H66" s="15">
        <v>100</v>
      </c>
      <c r="I66" s="15">
        <v>90</v>
      </c>
      <c r="J66" s="37">
        <v>100</v>
      </c>
      <c r="K66" s="37">
        <v>100</v>
      </c>
      <c r="L66" s="15">
        <v>100</v>
      </c>
      <c r="M66" s="15">
        <v>0</v>
      </c>
      <c r="N66" s="37">
        <v>0</v>
      </c>
      <c r="O66" s="15">
        <v>90</v>
      </c>
      <c r="P66" s="37">
        <v>100</v>
      </c>
      <c r="Q66" s="14">
        <f>IF([1]punteo!L67="",0,[1]punteo!L67)</f>
        <v>90</v>
      </c>
      <c r="R66" s="10">
        <f>IF([2]punteo!L67="",0,[2]punteo!L67)</f>
        <v>100</v>
      </c>
      <c r="S66" s="10">
        <f>IF([3]punteo!L67="",0,[3]punteo!L67)</f>
        <v>100</v>
      </c>
      <c r="T66" s="10"/>
      <c r="U66" s="10"/>
      <c r="V66">
        <f t="shared" si="0"/>
        <v>1</v>
      </c>
      <c r="W66">
        <f t="shared" si="1"/>
        <v>1</v>
      </c>
      <c r="X66">
        <v>0</v>
      </c>
    </row>
    <row r="67" spans="1:25" x14ac:dyDescent="0.35">
      <c r="A67" s="15"/>
      <c r="B67" s="16"/>
      <c r="C67" s="15">
        <v>63</v>
      </c>
      <c r="D67" s="15">
        <v>202531663</v>
      </c>
      <c r="E67" s="15" t="s">
        <v>65</v>
      </c>
      <c r="F67" s="15">
        <v>100</v>
      </c>
      <c r="G67" s="15">
        <v>0</v>
      </c>
      <c r="H67" s="15">
        <v>0</v>
      </c>
      <c r="I67" s="15">
        <v>0</v>
      </c>
      <c r="J67" s="37">
        <v>0</v>
      </c>
      <c r="K67" s="37">
        <v>0</v>
      </c>
      <c r="L67" s="15">
        <v>0</v>
      </c>
      <c r="M67" s="15">
        <v>0</v>
      </c>
      <c r="N67" s="37">
        <v>0</v>
      </c>
      <c r="O67" s="15">
        <v>0</v>
      </c>
      <c r="P67" s="37">
        <v>0</v>
      </c>
      <c r="Q67" s="14">
        <f>IF([1]punteo!L68="",0,[1]punteo!L68)</f>
        <v>0</v>
      </c>
      <c r="R67" s="10">
        <f>IF([2]punteo!L68="",0,[2]punteo!L68)</f>
        <v>0</v>
      </c>
      <c r="S67" s="10">
        <f>IF([3]punteo!L68="",0,[3]punteo!L68)</f>
        <v>0</v>
      </c>
      <c r="T67" s="10"/>
      <c r="U67" s="10"/>
      <c r="V67">
        <f t="shared" si="0"/>
        <v>0</v>
      </c>
      <c r="W67">
        <f t="shared" si="1"/>
        <v>0</v>
      </c>
      <c r="X67">
        <v>1</v>
      </c>
    </row>
    <row r="68" spans="1:25" x14ac:dyDescent="0.35">
      <c r="A68" s="15"/>
      <c r="B68" s="16"/>
      <c r="C68" s="15">
        <v>64</v>
      </c>
      <c r="D68" s="15">
        <v>202531724</v>
      </c>
      <c r="E68" s="15" t="s">
        <v>66</v>
      </c>
      <c r="F68" s="15">
        <v>100</v>
      </c>
      <c r="G68" s="15">
        <v>0</v>
      </c>
      <c r="H68" s="15">
        <v>50</v>
      </c>
      <c r="I68" s="15">
        <v>90</v>
      </c>
      <c r="J68" s="37">
        <v>40</v>
      </c>
      <c r="K68" s="37">
        <v>85</v>
      </c>
      <c r="L68" s="15">
        <v>100</v>
      </c>
      <c r="M68" s="15">
        <v>100</v>
      </c>
      <c r="N68" s="37">
        <v>70</v>
      </c>
      <c r="O68" s="15">
        <v>75</v>
      </c>
      <c r="P68" s="37">
        <v>70</v>
      </c>
      <c r="Q68" s="14">
        <f>IF([1]punteo!L69="",0,[1]punteo!L69)</f>
        <v>100</v>
      </c>
      <c r="R68" s="10">
        <f>IF([2]punteo!L69="",0,[2]punteo!L69)</f>
        <v>100</v>
      </c>
      <c r="S68" s="10">
        <f>IF([3]punteo!L69="",0,[3]punteo!L69)</f>
        <v>100</v>
      </c>
      <c r="T68" s="10"/>
      <c r="U68" s="10"/>
      <c r="V68">
        <f t="shared" si="0"/>
        <v>1</v>
      </c>
      <c r="W68">
        <f t="shared" si="1"/>
        <v>1</v>
      </c>
      <c r="X68">
        <v>1</v>
      </c>
    </row>
    <row r="69" spans="1:25" x14ac:dyDescent="0.35">
      <c r="A69" s="15"/>
      <c r="B69" s="16"/>
      <c r="C69" s="15">
        <v>65</v>
      </c>
      <c r="D69" s="15">
        <v>202531736</v>
      </c>
      <c r="E69" s="15" t="s">
        <v>67</v>
      </c>
      <c r="F69" s="15">
        <v>100</v>
      </c>
      <c r="G69" s="15">
        <v>0</v>
      </c>
      <c r="H69" s="15">
        <v>100</v>
      </c>
      <c r="I69" s="15">
        <v>0</v>
      </c>
      <c r="J69" s="37">
        <v>0</v>
      </c>
      <c r="K69" s="37">
        <v>100</v>
      </c>
      <c r="L69" s="15">
        <v>100</v>
      </c>
      <c r="M69" s="15">
        <v>100</v>
      </c>
      <c r="N69" s="37">
        <v>0</v>
      </c>
      <c r="O69" s="15">
        <v>60</v>
      </c>
      <c r="P69" s="37">
        <v>65</v>
      </c>
      <c r="Q69" s="14">
        <f>IF([1]punteo!L70="",0,[1]punteo!L70)</f>
        <v>80</v>
      </c>
      <c r="R69" s="10">
        <f>IF([2]punteo!L70="",0,[2]punteo!L70)</f>
        <v>100</v>
      </c>
      <c r="S69" s="10">
        <f>IF([3]punteo!L70="",0,[3]punteo!L70)</f>
        <v>100</v>
      </c>
      <c r="T69" s="10"/>
      <c r="U69" s="10"/>
      <c r="V69">
        <f t="shared" si="0"/>
        <v>1</v>
      </c>
      <c r="W69">
        <f t="shared" si="1"/>
        <v>1</v>
      </c>
      <c r="X69">
        <v>1</v>
      </c>
    </row>
    <row r="70" spans="1:25" x14ac:dyDescent="0.35">
      <c r="A70" s="38">
        <v>0.27777777777777779</v>
      </c>
      <c r="B70" s="9" t="s">
        <v>85</v>
      </c>
      <c r="C70" s="15">
        <v>66</v>
      </c>
      <c r="D70" s="15">
        <v>202531778</v>
      </c>
      <c r="E70" s="15" t="s">
        <v>68</v>
      </c>
      <c r="F70" s="15">
        <v>100</v>
      </c>
      <c r="G70" s="15">
        <v>0</v>
      </c>
      <c r="H70" s="15">
        <v>100</v>
      </c>
      <c r="I70" s="15">
        <v>90</v>
      </c>
      <c r="J70" s="37">
        <v>75</v>
      </c>
      <c r="K70" s="37">
        <v>85</v>
      </c>
      <c r="L70" s="15">
        <v>100</v>
      </c>
      <c r="M70" s="15">
        <v>100</v>
      </c>
      <c r="N70" s="37">
        <v>70</v>
      </c>
      <c r="O70" s="15">
        <v>90</v>
      </c>
      <c r="P70" s="37">
        <v>100</v>
      </c>
      <c r="Q70" s="14">
        <f>IF([1]punteo!L71="",0,[1]punteo!L71)</f>
        <v>100</v>
      </c>
      <c r="R70" s="10">
        <f>IF([2]punteo!L71="",0,[2]punteo!L71)</f>
        <v>100</v>
      </c>
      <c r="S70" s="10">
        <f>IF([3]punteo!L71="",0,[3]punteo!L71)</f>
        <v>100</v>
      </c>
      <c r="T70" s="10"/>
      <c r="U70" s="10"/>
      <c r="V70">
        <f t="shared" ref="V70:V77" si="2">IF(O70&gt;0,1,0)</f>
        <v>1</v>
      </c>
      <c r="W70">
        <f t="shared" ref="W70:W77" si="3">IF(P70&gt;0,1,0)</f>
        <v>1</v>
      </c>
      <c r="X70">
        <v>0</v>
      </c>
    </row>
    <row r="71" spans="1:25" x14ac:dyDescent="0.35">
      <c r="A71" s="15"/>
      <c r="B71" s="16"/>
      <c r="C71" s="15">
        <v>67</v>
      </c>
      <c r="D71" s="15">
        <v>202531844</v>
      </c>
      <c r="E71" s="15" t="s">
        <v>69</v>
      </c>
      <c r="F71" s="15">
        <v>100</v>
      </c>
      <c r="G71" s="15">
        <v>0</v>
      </c>
      <c r="H71" s="15">
        <v>100</v>
      </c>
      <c r="I71" s="15">
        <v>100</v>
      </c>
      <c r="J71" s="37">
        <v>100</v>
      </c>
      <c r="K71" s="37">
        <v>100</v>
      </c>
      <c r="L71" s="15">
        <v>100</v>
      </c>
      <c r="M71" s="15">
        <v>100</v>
      </c>
      <c r="N71" s="37">
        <v>100</v>
      </c>
      <c r="O71" s="15">
        <v>0</v>
      </c>
      <c r="P71" s="37">
        <v>100</v>
      </c>
      <c r="Q71" s="14">
        <f>IF([1]punteo!L72="",0,[1]punteo!L72)</f>
        <v>0</v>
      </c>
      <c r="R71" s="10">
        <f>IF([2]punteo!L72="",0,[2]punteo!L72)</f>
        <v>0</v>
      </c>
      <c r="S71" s="10">
        <f>IF([3]punteo!L72="",0,[3]punteo!L72)</f>
        <v>0</v>
      </c>
      <c r="T71" s="10"/>
      <c r="U71" s="10"/>
      <c r="V71">
        <f t="shared" si="2"/>
        <v>0</v>
      </c>
      <c r="W71">
        <f t="shared" si="3"/>
        <v>1</v>
      </c>
      <c r="X71">
        <v>1</v>
      </c>
    </row>
    <row r="72" spans="1:25" x14ac:dyDescent="0.35">
      <c r="A72" s="15"/>
      <c r="B72" s="16"/>
      <c r="C72" s="15">
        <v>68</v>
      </c>
      <c r="D72" s="15">
        <v>202531883</v>
      </c>
      <c r="E72" s="15" t="s">
        <v>70</v>
      </c>
      <c r="F72" s="15">
        <v>100</v>
      </c>
      <c r="G72" s="15">
        <v>0</v>
      </c>
      <c r="H72" s="15">
        <v>100</v>
      </c>
      <c r="I72" s="15">
        <v>100</v>
      </c>
      <c r="J72" s="37">
        <v>85</v>
      </c>
      <c r="K72" s="37">
        <v>100</v>
      </c>
      <c r="L72" s="15">
        <v>100</v>
      </c>
      <c r="M72" s="15">
        <v>100</v>
      </c>
      <c r="N72" s="37">
        <v>90</v>
      </c>
      <c r="O72" s="15">
        <v>95</v>
      </c>
      <c r="P72" s="37">
        <v>85</v>
      </c>
      <c r="Q72" s="14">
        <f>IF([1]punteo!L73="",0,[1]punteo!L73)</f>
        <v>95</v>
      </c>
      <c r="R72" s="10">
        <f>IF([2]punteo!L73="",0,[2]punteo!L73)</f>
        <v>0</v>
      </c>
      <c r="S72" s="10">
        <f>IF([3]punteo!L73="",0,[3]punteo!L73)</f>
        <v>100</v>
      </c>
      <c r="T72" s="10"/>
      <c r="U72" s="10"/>
      <c r="V72">
        <f t="shared" si="2"/>
        <v>1</v>
      </c>
      <c r="W72">
        <f t="shared" si="3"/>
        <v>1</v>
      </c>
      <c r="X72">
        <v>0</v>
      </c>
    </row>
    <row r="73" spans="1:25" x14ac:dyDescent="0.35">
      <c r="A73" s="15"/>
      <c r="B73" s="16"/>
      <c r="C73" s="15">
        <v>69</v>
      </c>
      <c r="D73" s="15">
        <v>202531947</v>
      </c>
      <c r="E73" s="15" t="s">
        <v>71</v>
      </c>
      <c r="F73" s="15">
        <v>100</v>
      </c>
      <c r="G73" s="15">
        <v>0</v>
      </c>
      <c r="H73" s="15">
        <v>100</v>
      </c>
      <c r="I73" s="15">
        <v>0</v>
      </c>
      <c r="J73" s="37">
        <v>85</v>
      </c>
      <c r="K73" s="37">
        <v>75</v>
      </c>
      <c r="L73" s="15">
        <v>100</v>
      </c>
      <c r="M73" s="15">
        <v>100</v>
      </c>
      <c r="N73" s="37">
        <v>50</v>
      </c>
      <c r="O73" s="15">
        <v>90</v>
      </c>
      <c r="P73" s="37">
        <v>70</v>
      </c>
      <c r="Q73" s="14">
        <f>IF([1]punteo!L74="",0,[1]punteo!L74)</f>
        <v>0</v>
      </c>
      <c r="R73" s="10">
        <f>IF([2]punteo!L74="",0,[2]punteo!L74)</f>
        <v>0</v>
      </c>
      <c r="S73" s="10">
        <f>IF([3]punteo!L74="",0,[3]punteo!L74)</f>
        <v>0</v>
      </c>
      <c r="T73" s="10"/>
      <c r="U73" s="10"/>
      <c r="V73">
        <f t="shared" si="2"/>
        <v>1</v>
      </c>
      <c r="W73">
        <f t="shared" si="3"/>
        <v>1</v>
      </c>
      <c r="X73">
        <v>1</v>
      </c>
    </row>
    <row r="74" spans="1:25" x14ac:dyDescent="0.35">
      <c r="A74" s="38">
        <v>0.27777777777777779</v>
      </c>
      <c r="B74" s="9" t="s">
        <v>85</v>
      </c>
      <c r="C74" s="15">
        <v>70</v>
      </c>
      <c r="D74" s="15">
        <v>202532062</v>
      </c>
      <c r="E74" s="15" t="s">
        <v>72</v>
      </c>
      <c r="F74" s="15">
        <v>0</v>
      </c>
      <c r="G74" s="15">
        <v>0</v>
      </c>
      <c r="H74" s="15">
        <v>100</v>
      </c>
      <c r="I74" s="15">
        <v>0</v>
      </c>
      <c r="J74" s="37">
        <v>85</v>
      </c>
      <c r="K74" s="37">
        <v>100</v>
      </c>
      <c r="L74" s="15">
        <v>100</v>
      </c>
      <c r="M74" s="15">
        <v>100</v>
      </c>
      <c r="N74" s="37">
        <v>50</v>
      </c>
      <c r="O74" s="15">
        <v>0</v>
      </c>
      <c r="P74" s="37">
        <v>20</v>
      </c>
      <c r="Q74" s="14">
        <f>IF([1]punteo!L75="",0,[1]punteo!L75)</f>
        <v>100</v>
      </c>
      <c r="R74" s="10">
        <f>IF([2]punteo!L75="",0,[2]punteo!L75)</f>
        <v>100</v>
      </c>
      <c r="S74" s="10">
        <f>IF([3]punteo!L75="",0,[3]punteo!L75)</f>
        <v>100</v>
      </c>
      <c r="T74" s="10"/>
      <c r="U74" s="10"/>
      <c r="V74">
        <f t="shared" si="2"/>
        <v>0</v>
      </c>
      <c r="W74">
        <f t="shared" si="3"/>
        <v>1</v>
      </c>
      <c r="X74">
        <v>0</v>
      </c>
    </row>
    <row r="75" spans="1:25" x14ac:dyDescent="0.35">
      <c r="A75" s="15"/>
      <c r="B75" s="16"/>
      <c r="C75" s="15">
        <v>71</v>
      </c>
      <c r="D75" s="15">
        <v>202532079</v>
      </c>
      <c r="E75" s="15" t="s">
        <v>73</v>
      </c>
      <c r="F75" s="15">
        <v>0</v>
      </c>
      <c r="G75" s="15">
        <v>0</v>
      </c>
      <c r="H75" s="15">
        <v>100</v>
      </c>
      <c r="I75" s="15">
        <v>0</v>
      </c>
      <c r="J75" s="37">
        <v>0</v>
      </c>
      <c r="K75" s="37">
        <v>50</v>
      </c>
      <c r="L75" s="15">
        <v>0</v>
      </c>
      <c r="M75" s="15">
        <v>0</v>
      </c>
      <c r="N75" s="37">
        <v>0</v>
      </c>
      <c r="O75" s="15">
        <v>0</v>
      </c>
      <c r="P75" s="37">
        <v>0</v>
      </c>
      <c r="Q75" s="14">
        <f>IF([1]punteo!L76="",0,[1]punteo!L76)</f>
        <v>0</v>
      </c>
      <c r="R75" s="10">
        <f>IF([2]punteo!L76="",0,[2]punteo!L76)</f>
        <v>0</v>
      </c>
      <c r="S75" s="10">
        <f>IF([3]punteo!L76="",0,[3]punteo!L76)</f>
        <v>0</v>
      </c>
      <c r="T75" s="10"/>
      <c r="U75" s="10"/>
      <c r="V75">
        <f t="shared" si="2"/>
        <v>0</v>
      </c>
      <c r="W75">
        <f t="shared" si="3"/>
        <v>0</v>
      </c>
      <c r="X75">
        <v>0</v>
      </c>
    </row>
    <row r="76" spans="1:25" x14ac:dyDescent="0.35">
      <c r="A76" s="15"/>
      <c r="B76" s="16" t="s">
        <v>79</v>
      </c>
      <c r="C76" s="15">
        <v>72</v>
      </c>
      <c r="D76" s="15">
        <v>202530466</v>
      </c>
      <c r="E76" s="15" t="s">
        <v>78</v>
      </c>
      <c r="F76" s="15">
        <v>100</v>
      </c>
      <c r="G76" s="15">
        <v>0</v>
      </c>
      <c r="H76" s="15">
        <v>100</v>
      </c>
      <c r="I76" s="15">
        <v>100</v>
      </c>
      <c r="J76" s="37">
        <v>100</v>
      </c>
      <c r="K76" s="37">
        <v>100</v>
      </c>
      <c r="L76" s="15">
        <v>100</v>
      </c>
      <c r="M76" s="15">
        <v>100</v>
      </c>
      <c r="N76" s="37">
        <v>100</v>
      </c>
      <c r="O76" s="15">
        <v>100</v>
      </c>
      <c r="P76" s="37">
        <v>100</v>
      </c>
      <c r="Q76" s="14">
        <f>IF([1]punteo!L77="",0,[1]punteo!L77)</f>
        <v>100</v>
      </c>
      <c r="R76" s="10">
        <f>IF([2]punteo!L77="",0,[2]punteo!L77)</f>
        <v>100</v>
      </c>
      <c r="S76" s="10">
        <f>IF([3]punteo!L77="",0,[3]punteo!L77)</f>
        <v>100</v>
      </c>
      <c r="T76" s="10"/>
      <c r="U76" s="10"/>
      <c r="V76">
        <f t="shared" si="2"/>
        <v>1</v>
      </c>
      <c r="W76">
        <f t="shared" si="3"/>
        <v>1</v>
      </c>
      <c r="X76">
        <v>0</v>
      </c>
    </row>
    <row r="77" spans="1:25" x14ac:dyDescent="0.35">
      <c r="A77" s="15"/>
      <c r="B77" s="16" t="s">
        <v>79</v>
      </c>
      <c r="C77" s="15">
        <v>73</v>
      </c>
      <c r="D77" s="15">
        <v>202030192</v>
      </c>
      <c r="E77" s="15" t="s">
        <v>80</v>
      </c>
      <c r="F77" s="15">
        <v>0</v>
      </c>
      <c r="G77" s="15">
        <v>0</v>
      </c>
      <c r="H77" s="15">
        <v>50</v>
      </c>
      <c r="I77" s="15">
        <v>75</v>
      </c>
      <c r="J77" s="37">
        <v>0</v>
      </c>
      <c r="K77" s="37">
        <v>100</v>
      </c>
      <c r="L77" s="15">
        <v>100</v>
      </c>
      <c r="M77" s="15">
        <v>100</v>
      </c>
      <c r="N77" s="37">
        <v>100</v>
      </c>
      <c r="O77" s="15">
        <v>85</v>
      </c>
      <c r="P77" s="37">
        <v>0</v>
      </c>
      <c r="Q77" s="14">
        <f>IF([1]punteo!L78="",0,[1]punteo!L78)</f>
        <v>0</v>
      </c>
      <c r="R77" s="10">
        <f>IF([2]punteo!L78="",0,[2]punteo!L78)</f>
        <v>0</v>
      </c>
      <c r="S77" s="10">
        <f>IF([3]punteo!L78="",0,[3]punteo!L78)</f>
        <v>0</v>
      </c>
      <c r="T77" s="10"/>
      <c r="U77" s="10"/>
      <c r="V77">
        <f t="shared" si="2"/>
        <v>1</v>
      </c>
      <c r="W77">
        <f t="shared" si="3"/>
        <v>0</v>
      </c>
      <c r="X77">
        <v>0</v>
      </c>
    </row>
    <row r="78" spans="1:25" x14ac:dyDescent="0.35">
      <c r="A78" s="15"/>
      <c r="B78" s="16"/>
      <c r="C78" s="19" t="s">
        <v>74</v>
      </c>
      <c r="D78" s="40"/>
      <c r="E78" s="40"/>
      <c r="F78" s="41">
        <f t="shared" ref="F78:N78" si="4">COUNTIF(F5:F77,"&gt;0")</f>
        <v>49</v>
      </c>
      <c r="G78" s="41">
        <f t="shared" si="4"/>
        <v>11</v>
      </c>
      <c r="H78" s="41">
        <f t="shared" si="4"/>
        <v>59</v>
      </c>
      <c r="I78" s="41">
        <f t="shared" si="4"/>
        <v>47</v>
      </c>
      <c r="J78" s="42">
        <f t="shared" si="4"/>
        <v>57</v>
      </c>
      <c r="K78" s="42">
        <f t="shared" si="4"/>
        <v>62</v>
      </c>
      <c r="L78" s="41">
        <f t="shared" si="4"/>
        <v>60</v>
      </c>
      <c r="M78" s="41">
        <f t="shared" si="4"/>
        <v>61</v>
      </c>
      <c r="N78" s="42">
        <f t="shared" si="4"/>
        <v>58</v>
      </c>
      <c r="O78" s="41">
        <f>COUNTIF(O5:O77,"&gt;0")</f>
        <v>52</v>
      </c>
      <c r="P78" s="43">
        <f>COUNTIF(P5:P77,"&gt;0")</f>
        <v>60</v>
      </c>
      <c r="Q78" s="43">
        <f>COUNTIF(Q5:Q77,"&gt;0")</f>
        <v>50</v>
      </c>
      <c r="R78" s="17">
        <f t="shared" ref="R78:S78" si="5">COUNTIF(R5:R77,"&gt;0")</f>
        <v>41</v>
      </c>
      <c r="S78" s="17">
        <f t="shared" si="5"/>
        <v>52</v>
      </c>
      <c r="T78" s="41"/>
      <c r="U78" s="7"/>
      <c r="V78" s="7"/>
      <c r="W78" s="7"/>
      <c r="X78" s="7"/>
      <c r="Y78" s="8"/>
    </row>
  </sheetData>
  <mergeCells count="1">
    <mergeCell ref="X2:Y2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2025-10-28T07:46:41Z</dcterms:modified>
</cp:coreProperties>
</file>