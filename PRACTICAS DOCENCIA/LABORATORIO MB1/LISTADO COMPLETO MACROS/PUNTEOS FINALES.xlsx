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PRACTICAS DOCENCIA\LABORATORIO MB1\LISTADO COMPLETO MACROS\"/>
    </mc:Choice>
  </mc:AlternateContent>
  <xr:revisionPtr revIDLastSave="0" documentId="13_ncr:1_{F8532BAC-3D76-4041-B713-C47982B27A09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S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5" i="1"/>
  <c r="S78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5" i="1"/>
  <c r="R78" i="1" l="1"/>
  <c r="Q26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 l="1"/>
  <c r="F78" i="1"/>
  <c r="G78" i="1"/>
  <c r="H78" i="1"/>
  <c r="I78" i="1"/>
  <c r="J78" i="1"/>
  <c r="K78" i="1"/>
  <c r="L78" i="1"/>
  <c r="M78" i="1"/>
  <c r="N78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5" i="1"/>
  <c r="O78" i="1"/>
  <c r="P78" i="1"/>
  <c r="U55" i="1"/>
  <c r="U6" i="1"/>
  <c r="U57" i="1"/>
  <c r="U22" i="1"/>
  <c r="U11" i="1"/>
  <c r="U68" i="1"/>
  <c r="U13" i="1"/>
  <c r="U36" i="1"/>
  <c r="U72" i="1"/>
  <c r="U56" i="1"/>
  <c r="U64" i="1"/>
  <c r="U76" i="1"/>
  <c r="U9" i="1"/>
  <c r="U51" i="1"/>
  <c r="U17" i="1"/>
  <c r="U70" i="1"/>
  <c r="U59" i="1"/>
  <c r="U37" i="1"/>
  <c r="U54" i="1"/>
  <c r="U58" i="1"/>
  <c r="U32" i="1"/>
  <c r="U66" i="1"/>
  <c r="U44" i="1"/>
  <c r="U12" i="1"/>
  <c r="U34" i="1"/>
  <c r="U25" i="1"/>
  <c r="U7" i="1"/>
  <c r="U20" i="1"/>
  <c r="U69" i="1"/>
  <c r="U42" i="1"/>
  <c r="U74" i="1"/>
  <c r="U50" i="1"/>
  <c r="U49" i="1"/>
  <c r="U52" i="1"/>
  <c r="U48" i="1"/>
  <c r="U39" i="1"/>
  <c r="U24" i="1"/>
  <c r="U18" i="1"/>
  <c r="U16" i="1"/>
  <c r="U21" i="1"/>
  <c r="U65" i="1"/>
  <c r="U33" i="1"/>
  <c r="U14" i="1"/>
  <c r="U46" i="1"/>
  <c r="U35" i="1"/>
  <c r="U38" i="1"/>
  <c r="U8" i="1"/>
  <c r="U10" i="1"/>
  <c r="U15" i="1"/>
  <c r="U19" i="1"/>
  <c r="U23" i="1"/>
  <c r="U27" i="1"/>
  <c r="U28" i="1"/>
  <c r="U30" i="1"/>
  <c r="U40" i="1"/>
  <c r="U41" i="1"/>
  <c r="U45" i="1"/>
  <c r="U47" i="1"/>
  <c r="U61" i="1"/>
  <c r="U62" i="1"/>
  <c r="U63" i="1"/>
  <c r="U67" i="1"/>
  <c r="U71" i="1"/>
  <c r="U73" i="1"/>
  <c r="U75" i="1"/>
  <c r="U77" i="1"/>
  <c r="U5" i="1"/>
  <c r="U31" i="1"/>
  <c r="U60" i="1" l="1"/>
  <c r="U53" i="1"/>
  <c r="U43" i="1"/>
  <c r="U29" i="1"/>
  <c r="U26" i="1" l="1"/>
</calcChain>
</file>

<file path=xl/sharedStrings.xml><?xml version="1.0" encoding="utf-8"?>
<sst xmlns="http://schemas.openxmlformats.org/spreadsheetml/2006/main" count="144" uniqueCount="120">
  <si>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</si>
  <si>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</si>
  <si>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</si>
  <si>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</si>
  <si>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</si>
  <si>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</si>
  <si>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</si>
  <si>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</si>
  <si>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</si>
  <si>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</si>
  <si>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</si>
  <si>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</si>
  <si>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</si>
  <si>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</si>
  <si>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</si>
  <si>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</si>
  <si>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</si>
  <si>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</si>
  <si>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</si>
  <si>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</si>
  <si>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</si>
  <si>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</si>
  <si>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</si>
  <si>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</si>
  <si>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</si>
  <si>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</si>
  <si>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</si>
  <si>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</si>
  <si>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</si>
  <si>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</si>
  <si>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</si>
  <si>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</si>
  <si>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</si>
  <si>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</si>
  <si>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</si>
  <si>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</si>
  <si>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</si>
  <si>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</si>
  <si>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</si>
  <si>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</si>
  <si>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</si>
  <si>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</si>
  <si>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</si>
  <si>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</si>
  <si>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</si>
  <si>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</si>
  <si>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</si>
  <si>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</si>
  <si>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</si>
  <si>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</si>
  <si>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</si>
  <si>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</si>
  <si>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</si>
  <si>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</si>
  <si>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</si>
  <si>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</si>
  <si>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</si>
  <si>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</si>
  <si>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</si>
  <si>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</si>
  <si>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</si>
  <si>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</si>
  <si>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</si>
  <si>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</si>
  <si>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</si>
  <si>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</si>
  <si>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</si>
  <si>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</si>
  <si>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</si>
  <si>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</si>
  <si>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</si>
  <si>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</si>
  <si>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</si>
  <si>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</si>
  <si>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</si>
  <si>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</si>
  <si>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</si>
  <si>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</si>
  <si>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</si>
  <si>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</si>
  <si>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</si>
  <si>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</si>
  <si>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</si>
  <si>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</si>
  <si>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</si>
  <si>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</si>
  <si>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</si>
  <si>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</si>
  <si>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</si>
  <si>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</si>
  <si>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</si>
  <si>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</si>
  <si>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 Ingeniero  (29/07/2025)</t>
  </si>
  <si>
    <t>HT Ingeniero   (1/08/2025)</t>
  </si>
  <si>
    <t>HT Ingeniero  (13/08/2025)</t>
  </si>
  <si>
    <t>HT Ingeniero  (29/08/2025)</t>
  </si>
  <si>
    <t>Geometria y ecuaciones (12/08/2025)</t>
  </si>
  <si>
    <t>Evaluar Funciones (19/08/2025)</t>
  </si>
  <si>
    <t>Dominio Funciones (28/08/2025)</t>
  </si>
  <si>
    <t>Investigacion T. Polinomios (2/09/2025)</t>
  </si>
  <si>
    <t>Graficas   (2/09/2025)</t>
  </si>
  <si>
    <t>Representación Polinomios (11/09/2025)</t>
  </si>
  <si>
    <t>Division de Polinomios (23/09/2025)</t>
  </si>
  <si>
    <t>Funciones Racionales, Asintotas (9/10/2025)</t>
  </si>
  <si>
    <t>Funciones Exp, N, Log      (16/10/2025)</t>
  </si>
  <si>
    <t>Proyecto Final      (23/10/2025)</t>
  </si>
  <si>
    <t>NOTAS FINALES</t>
  </si>
  <si>
    <t>Extras (23/10/2025)</t>
  </si>
  <si>
    <t>Puntaje asignado por actividad</t>
  </si>
  <si>
    <t>HT1</t>
  </si>
  <si>
    <t xml:space="preserve">HT2 </t>
  </si>
  <si>
    <t xml:space="preserve">HT3 </t>
  </si>
  <si>
    <t xml:space="preserve">HT4  </t>
  </si>
  <si>
    <t>HT</t>
  </si>
  <si>
    <t xml:space="preserve">HT </t>
  </si>
  <si>
    <t xml:space="preserve">TAREA </t>
  </si>
  <si>
    <t xml:space="preserve">HT  </t>
  </si>
  <si>
    <t>PF</t>
  </si>
  <si>
    <t>NTF</t>
  </si>
  <si>
    <t xml:space="preserve">Extras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</si>
</sst>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/>
    <xf numFmtId="14" fontId="1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Border="1"/>
    <xf numFmtId="0" fontId="1" fillId="0" borderId="1" xfId="0" applyFont="1" applyBorder="1"/>
    <xf numFmtId="0" fontId="0" fillId="0" borderId="4" xfId="0" applyBorder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 applyAlignment="1">
      <alignment horizontal="center" vertical="center" textRotation="90" wrapText="1"/>
    </xf>
    <xf numFmtId="0" fontId="0" fillId="0" borderId="6" xfId="0" applyBorder="1" applyAlignment="1">
      <alignment horizontal="center" vertical="center" textRotation="90" wrapText="1"/>
    </xf>
    <xf numFmtId="0" fontId="0" fillId="0" borderId="7" xfId="0" applyBorder="1" applyAlignment="1">
      <alignment horizontal="center" vertical="center" textRotation="90" wrapText="1"/>
    </xf>
    <xf numFmtId="0" fontId="0" fillId="0" borderId="4" xfId="0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htasintota.xlsm" TargetMode="External"/><Relationship Id="rId1" Type="http://schemas.openxmlformats.org/officeDocument/2006/relationships/externalLinkPath" Target="htasintota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htfxexp.xlsm" TargetMode="External"/><Relationship Id="rId1" Type="http://schemas.openxmlformats.org/officeDocument/2006/relationships/externalLinkPath" Target="htfxexp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proyfn.xlsm" TargetMode="External"/><Relationship Id="rId1" Type="http://schemas.openxmlformats.org/officeDocument/2006/relationships/externalLinkPath" Target="proyfn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extras.xlsm" TargetMode="External"/><Relationship Id="rId1" Type="http://schemas.openxmlformats.org/officeDocument/2006/relationships/externalLinkPath" Target="extr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 refreshError="1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80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80</v>
          </cell>
        </row>
        <row r="13">
          <cell r="L13">
            <v>80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80</v>
          </cell>
        </row>
        <row r="22">
          <cell r="L22">
            <v>100</v>
          </cell>
        </row>
        <row r="23">
          <cell r="L23">
            <v>80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80</v>
          </cell>
        </row>
        <row r="27">
          <cell r="L27">
            <v>80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80</v>
          </cell>
        </row>
        <row r="31">
          <cell r="L31">
            <v>0</v>
          </cell>
        </row>
        <row r="32">
          <cell r="L32">
            <v>80</v>
          </cell>
        </row>
        <row r="33">
          <cell r="L33">
            <v>90</v>
          </cell>
        </row>
        <row r="34">
          <cell r="L34">
            <v>80</v>
          </cell>
        </row>
        <row r="35">
          <cell r="L35">
            <v>80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80</v>
          </cell>
        </row>
        <row r="39">
          <cell r="L39">
            <v>95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80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80</v>
          </cell>
        </row>
        <row r="48">
          <cell r="L48">
            <v>80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80</v>
          </cell>
        </row>
        <row r="55">
          <cell r="L55">
            <v>90</v>
          </cell>
        </row>
        <row r="56">
          <cell r="L56">
            <v>80</v>
          </cell>
        </row>
        <row r="57">
          <cell r="L57">
            <v>95</v>
          </cell>
        </row>
        <row r="58">
          <cell r="L58">
            <v>100</v>
          </cell>
        </row>
        <row r="59">
          <cell r="L59">
            <v>90</v>
          </cell>
        </row>
        <row r="60">
          <cell r="L60">
            <v>80</v>
          </cell>
        </row>
        <row r="61">
          <cell r="L61">
            <v>80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95</v>
          </cell>
        </row>
        <row r="66">
          <cell r="L66">
            <v>0</v>
          </cell>
        </row>
        <row r="67">
          <cell r="L67">
            <v>90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80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95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exp"/>
      <sheetName val="punteo"/>
    </sheetNames>
    <sheetDataSet>
      <sheetData sheetId="0" refreshError="1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100</v>
          </cell>
        </row>
        <row r="13">
          <cell r="L13">
            <v>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100</v>
          </cell>
        </row>
        <row r="22">
          <cell r="L22">
            <v>100</v>
          </cell>
        </row>
        <row r="23">
          <cell r="L23">
            <v>100</v>
          </cell>
        </row>
        <row r="24">
          <cell r="L24">
            <v>0</v>
          </cell>
        </row>
        <row r="25">
          <cell r="L25">
            <v>0</v>
          </cell>
        </row>
        <row r="26">
          <cell r="L26">
            <v>100</v>
          </cell>
        </row>
        <row r="27">
          <cell r="L27">
            <v>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100</v>
          </cell>
        </row>
        <row r="34">
          <cell r="L34">
            <v>100</v>
          </cell>
        </row>
        <row r="35">
          <cell r="L35">
            <v>100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100</v>
          </cell>
        </row>
        <row r="39">
          <cell r="L39">
            <v>100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100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100</v>
          </cell>
        </row>
        <row r="48">
          <cell r="L48">
            <v>100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100</v>
          </cell>
        </row>
        <row r="55">
          <cell r="L55">
            <v>100</v>
          </cell>
        </row>
        <row r="56">
          <cell r="L56">
            <v>100</v>
          </cell>
        </row>
        <row r="57">
          <cell r="L57">
            <v>0</v>
          </cell>
        </row>
        <row r="58">
          <cell r="L58">
            <v>100</v>
          </cell>
        </row>
        <row r="59">
          <cell r="L59">
            <v>100</v>
          </cell>
        </row>
        <row r="60">
          <cell r="L60">
            <v>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100</v>
          </cell>
        </row>
        <row r="66">
          <cell r="L66">
            <v>0</v>
          </cell>
        </row>
        <row r="67">
          <cell r="L67">
            <v>100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100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0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 refreshError="1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100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0</v>
          </cell>
        </row>
        <row r="13">
          <cell r="L13">
            <v>100</v>
          </cell>
        </row>
        <row r="14">
          <cell r="L14">
            <v>100</v>
          </cell>
        </row>
        <row r="15">
          <cell r="L15">
            <v>100</v>
          </cell>
        </row>
        <row r="16">
          <cell r="L16">
            <v>0</v>
          </cell>
        </row>
        <row r="17">
          <cell r="L17">
            <v>100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100</v>
          </cell>
        </row>
        <row r="22">
          <cell r="L22">
            <v>100</v>
          </cell>
        </row>
        <row r="23">
          <cell r="L23">
            <v>100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100</v>
          </cell>
        </row>
        <row r="27">
          <cell r="L27">
            <v>100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100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100</v>
          </cell>
        </row>
        <row r="34">
          <cell r="L34">
            <v>100</v>
          </cell>
        </row>
        <row r="35">
          <cell r="L35">
            <v>100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100</v>
          </cell>
        </row>
        <row r="39">
          <cell r="L39">
            <v>100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100</v>
          </cell>
        </row>
        <row r="44">
          <cell r="L44">
            <v>100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100</v>
          </cell>
        </row>
        <row r="48">
          <cell r="L48">
            <v>100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100</v>
          </cell>
        </row>
        <row r="55">
          <cell r="L55">
            <v>100</v>
          </cell>
        </row>
        <row r="56">
          <cell r="L56">
            <v>100</v>
          </cell>
        </row>
        <row r="57">
          <cell r="L57">
            <v>100</v>
          </cell>
        </row>
        <row r="58">
          <cell r="L58">
            <v>100</v>
          </cell>
        </row>
        <row r="59">
          <cell r="L59">
            <v>100</v>
          </cell>
        </row>
        <row r="60">
          <cell r="L60">
            <v>100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100</v>
          </cell>
        </row>
        <row r="66">
          <cell r="L66">
            <v>100</v>
          </cell>
        </row>
        <row r="67">
          <cell r="L67">
            <v>100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100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100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0</v>
          </cell>
        </row>
        <row r="8">
          <cell r="L8">
            <v>100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0</v>
          </cell>
        </row>
        <row r="13">
          <cell r="L13">
            <v>0</v>
          </cell>
        </row>
        <row r="14">
          <cell r="L14">
            <v>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100</v>
          </cell>
        </row>
        <row r="18">
          <cell r="L18">
            <v>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0</v>
          </cell>
        </row>
        <row r="22">
          <cell r="L22">
            <v>100</v>
          </cell>
        </row>
        <row r="23">
          <cell r="L23">
            <v>0</v>
          </cell>
        </row>
        <row r="24">
          <cell r="L24">
            <v>0</v>
          </cell>
        </row>
        <row r="25">
          <cell r="L25">
            <v>0</v>
          </cell>
        </row>
        <row r="26">
          <cell r="L26">
            <v>0</v>
          </cell>
        </row>
        <row r="27">
          <cell r="L27">
            <v>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0</v>
          </cell>
        </row>
        <row r="34">
          <cell r="L34">
            <v>0</v>
          </cell>
        </row>
        <row r="35">
          <cell r="L35">
            <v>0</v>
          </cell>
        </row>
        <row r="36">
          <cell r="L36">
            <v>0</v>
          </cell>
        </row>
        <row r="37">
          <cell r="L37">
            <v>0</v>
          </cell>
        </row>
        <row r="38">
          <cell r="L38">
            <v>100</v>
          </cell>
        </row>
        <row r="39">
          <cell r="L39">
            <v>0</v>
          </cell>
        </row>
        <row r="40">
          <cell r="L40">
            <v>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0</v>
          </cell>
        </row>
        <row r="48">
          <cell r="L48">
            <v>0</v>
          </cell>
        </row>
        <row r="49">
          <cell r="L49">
            <v>0</v>
          </cell>
        </row>
        <row r="50">
          <cell r="L50">
            <v>0</v>
          </cell>
        </row>
        <row r="51">
          <cell r="L51">
            <v>0</v>
          </cell>
        </row>
        <row r="52">
          <cell r="L52">
            <v>100</v>
          </cell>
        </row>
        <row r="53">
          <cell r="L53">
            <v>0</v>
          </cell>
        </row>
        <row r="54">
          <cell r="L54">
            <v>0</v>
          </cell>
        </row>
        <row r="55">
          <cell r="L55">
            <v>0</v>
          </cell>
        </row>
        <row r="56">
          <cell r="L56">
            <v>0</v>
          </cell>
        </row>
        <row r="57">
          <cell r="L57">
            <v>100</v>
          </cell>
        </row>
        <row r="58">
          <cell r="L58">
            <v>0</v>
          </cell>
        </row>
        <row r="59">
          <cell r="L59">
            <v>0</v>
          </cell>
        </row>
        <row r="60">
          <cell r="L60">
            <v>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0</v>
          </cell>
        </row>
        <row r="65">
          <cell r="L65">
            <v>0</v>
          </cell>
        </row>
        <row r="66">
          <cell r="L66">
            <v>0</v>
          </cell>
        </row>
        <row r="67">
          <cell r="L67">
            <v>0</v>
          </cell>
        </row>
        <row r="68">
          <cell r="L68">
            <v>0</v>
          </cell>
        </row>
        <row r="69">
          <cell r="L69">
            <v>0</v>
          </cell>
        </row>
        <row r="70">
          <cell r="L70">
            <v>0</v>
          </cell>
        </row>
        <row r="71">
          <cell r="L71">
            <v>0</v>
          </cell>
        </row>
        <row r="72">
          <cell r="L72">
            <v>0</v>
          </cell>
        </row>
        <row r="73">
          <cell r="L73">
            <v>100</v>
          </cell>
        </row>
        <row r="74">
          <cell r="L74">
            <v>0</v>
          </cell>
        </row>
        <row r="75">
          <cell r="L75">
            <v>0</v>
          </cell>
        </row>
        <row r="76">
          <cell r="L76">
            <v>0</v>
          </cell>
        </row>
        <row r="77">
          <cell r="L77">
            <v>0</v>
          </cell>
        </row>
        <row r="78">
          <cell r="L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1:Z78"/>
  <sheetViews>
    <sheetView tabSelected="1" topLeftCell="C1" zoomScale="70" zoomScaleNormal="70" workbookViewId="0">
      <selection activeCell="Q17" sqref="Q17"/>
    </sheetView>
  </sheetViews>
  <sheetFormatPr baseColWidth="10" defaultRowHeight="14.5" x14ac:dyDescent="0.35"/>
  <cols>
    <col min="2" max="2" width="29.26953125" style="1" customWidth="1"/>
    <col min="3" max="3" width="4.90625" customWidth="1"/>
    <col min="4" max="4" width="12.6328125" customWidth="1"/>
    <col min="5" max="5" width="33.90625" customWidth="1"/>
    <col min="6" max="9" width="7.453125" customWidth="1"/>
    <col min="10" max="21" width="9.6328125" customWidth="1"/>
    <col min="22" max="22" width="27.26953125" customWidth="1"/>
    <col min="23" max="24" width="31.81640625" customWidth="1"/>
    <col min="25" max="25" width="22.81640625" customWidth="1"/>
    <col min="26" max="26" width="18.54296875" customWidth="1"/>
  </cols>
  <sheetData>
    <row r="1" spans="3:26" ht="15" thickBot="1" x14ac:dyDescent="0.4"/>
    <row r="2" spans="3:26" ht="101" x14ac:dyDescent="0.35">
      <c r="C2" s="11"/>
      <c r="D2" s="16"/>
      <c r="E2" s="8"/>
      <c r="F2" s="17" t="s">
        <v>92</v>
      </c>
      <c r="G2" s="18" t="s">
        <v>93</v>
      </c>
      <c r="H2" s="18" t="s">
        <v>94</v>
      </c>
      <c r="I2" s="19" t="s">
        <v>95</v>
      </c>
      <c r="J2" s="17" t="s">
        <v>96</v>
      </c>
      <c r="K2" s="18" t="s">
        <v>97</v>
      </c>
      <c r="L2" s="18" t="s">
        <v>98</v>
      </c>
      <c r="M2" s="18" t="s">
        <v>99</v>
      </c>
      <c r="N2" s="18" t="s">
        <v>100</v>
      </c>
      <c r="O2" s="18" t="s">
        <v>101</v>
      </c>
      <c r="P2" s="18" t="s">
        <v>102</v>
      </c>
      <c r="Q2" s="18" t="s">
        <v>103</v>
      </c>
      <c r="R2" s="18" t="s">
        <v>104</v>
      </c>
      <c r="S2" s="18" t="s">
        <v>105</v>
      </c>
      <c r="T2" s="19" t="s">
        <v>106</v>
      </c>
      <c r="U2" s="20" t="s">
        <v>107</v>
      </c>
      <c r="W2" s="5" t="s">
        <v>75</v>
      </c>
      <c r="X2" s="5" t="s">
        <v>75</v>
      </c>
      <c r="Y2" s="15" t="s">
        <v>91</v>
      </c>
      <c r="Z2" s="15"/>
    </row>
    <row r="3" spans="3:26" x14ac:dyDescent="0.35">
      <c r="C3" s="21"/>
      <c r="D3" s="21"/>
      <c r="E3" s="22" t="s">
        <v>108</v>
      </c>
      <c r="F3" s="23">
        <v>0.5</v>
      </c>
      <c r="G3" s="24">
        <v>0.5</v>
      </c>
      <c r="H3" s="24">
        <v>0.5</v>
      </c>
      <c r="I3" s="25">
        <v>0.5</v>
      </c>
      <c r="J3" s="23">
        <v>1</v>
      </c>
      <c r="K3" s="24">
        <v>1</v>
      </c>
      <c r="L3" s="24">
        <v>1</v>
      </c>
      <c r="M3" s="24">
        <v>1.5</v>
      </c>
      <c r="N3" s="24">
        <v>2</v>
      </c>
      <c r="O3" s="24">
        <v>2</v>
      </c>
      <c r="P3" s="24">
        <v>2</v>
      </c>
      <c r="Q3" s="24">
        <v>1</v>
      </c>
      <c r="R3" s="24">
        <v>1.5</v>
      </c>
      <c r="S3" s="24">
        <v>5</v>
      </c>
      <c r="T3" s="25">
        <f>SUM(F3:S3)</f>
        <v>20</v>
      </c>
      <c r="U3" s="26">
        <v>1</v>
      </c>
      <c r="W3" s="5" t="s">
        <v>77</v>
      </c>
      <c r="X3" s="5" t="s">
        <v>89</v>
      </c>
      <c r="Y3" s="4" t="s">
        <v>76</v>
      </c>
      <c r="Z3" s="4" t="s">
        <v>77</v>
      </c>
    </row>
    <row r="4" spans="3:26" x14ac:dyDescent="0.35">
      <c r="C4" s="16" t="s">
        <v>0</v>
      </c>
      <c r="D4" s="16" t="s">
        <v>1</v>
      </c>
      <c r="E4" s="8" t="s">
        <v>2</v>
      </c>
      <c r="F4" s="27" t="s">
        <v>109</v>
      </c>
      <c r="G4" s="28" t="s">
        <v>110</v>
      </c>
      <c r="H4" s="28" t="s">
        <v>111</v>
      </c>
      <c r="I4" s="29" t="s">
        <v>112</v>
      </c>
      <c r="J4" s="27" t="s">
        <v>113</v>
      </c>
      <c r="K4" s="28" t="s">
        <v>113</v>
      </c>
      <c r="L4" s="28" t="s">
        <v>114</v>
      </c>
      <c r="M4" s="28" t="s">
        <v>114</v>
      </c>
      <c r="N4" s="28" t="s">
        <v>115</v>
      </c>
      <c r="O4" s="28" t="s">
        <v>116</v>
      </c>
      <c r="P4" s="28" t="s">
        <v>114</v>
      </c>
      <c r="Q4" s="28" t="s">
        <v>114</v>
      </c>
      <c r="R4" s="28" t="s">
        <v>114</v>
      </c>
      <c r="S4" s="28" t="s">
        <v>117</v>
      </c>
      <c r="T4" s="29" t="s">
        <v>118</v>
      </c>
      <c r="U4" s="30" t="s">
        <v>119</v>
      </c>
      <c r="V4" s="4"/>
      <c r="W4" s="7">
        <v>45911</v>
      </c>
      <c r="X4" s="4" t="s">
        <v>90</v>
      </c>
      <c r="Y4" s="2">
        <v>45930</v>
      </c>
      <c r="Z4" s="2">
        <v>45902</v>
      </c>
    </row>
    <row r="5" spans="3:26" x14ac:dyDescent="0.35">
      <c r="C5">
        <v>1</v>
      </c>
      <c r="D5">
        <v>202030174</v>
      </c>
      <c r="E5" t="s">
        <v>3</v>
      </c>
      <c r="F5">
        <v>0</v>
      </c>
      <c r="G5">
        <v>0</v>
      </c>
      <c r="H5">
        <v>50</v>
      </c>
      <c r="I5">
        <v>0</v>
      </c>
      <c r="J5">
        <v>0</v>
      </c>
      <c r="K5">
        <v>0</v>
      </c>
      <c r="L5">
        <v>0</v>
      </c>
      <c r="M5">
        <v>100</v>
      </c>
      <c r="N5">
        <v>0</v>
      </c>
      <c r="O5">
        <v>0</v>
      </c>
      <c r="P5">
        <v>100</v>
      </c>
      <c r="Q5" s="14">
        <f>IF([1]punteo!L6="",0,[1]punteo!L6)</f>
        <v>0</v>
      </c>
      <c r="R5" s="14">
        <f>IF([2]punteo!L6="",0,[2]punteo!L6)</f>
        <v>0</v>
      </c>
      <c r="S5" s="14">
        <f>IF([3]punteo!L6="",0,[3]punteo!L6)</f>
        <v>0</v>
      </c>
      <c r="T5" s="14"/>
      <c r="U5" s="14">
        <f>IF([4]punteo!L6="",0,[4]punteo!L6)</f>
        <v>0</v>
      </c>
      <c r="V5" s="14"/>
      <c r="W5">
        <f>IF(O5&gt;0,1,0)</f>
        <v>0</v>
      </c>
      <c r="X5">
        <f>IF(P5&gt;0,1,0)</f>
        <v>1</v>
      </c>
      <c r="Y5" s="3">
        <v>1</v>
      </c>
    </row>
    <row r="6" spans="3:26" x14ac:dyDescent="0.35">
      <c r="C6">
        <v>2</v>
      </c>
      <c r="D6">
        <v>202032032</v>
      </c>
      <c r="E6" t="s">
        <v>4</v>
      </c>
      <c r="F6">
        <v>100</v>
      </c>
      <c r="G6">
        <v>0</v>
      </c>
      <c r="H6">
        <v>50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80</v>
      </c>
      <c r="O6">
        <v>100</v>
      </c>
      <c r="P6">
        <v>100</v>
      </c>
      <c r="Q6" s="14">
        <f>IF([1]punteo!L7="",0,[1]punteo!L7)</f>
        <v>100</v>
      </c>
      <c r="R6" s="14">
        <f>IF([2]punteo!L7="",0,[2]punteo!L7)</f>
        <v>100</v>
      </c>
      <c r="S6" s="14">
        <f>IF([3]punteo!L7="",0,[3]punteo!L7)</f>
        <v>100</v>
      </c>
      <c r="T6" s="14"/>
      <c r="U6" s="14">
        <f>IF([4]punteo!L7="",0,[4]punteo!L7)</f>
        <v>0</v>
      </c>
      <c r="V6" s="14"/>
      <c r="W6">
        <f t="shared" ref="W6:W69" si="0">IF(O6&gt;0,1,0)</f>
        <v>1</v>
      </c>
      <c r="X6">
        <f t="shared" ref="X6:X69" si="1">IF(P6&gt;0,1,0)</f>
        <v>1</v>
      </c>
      <c r="Y6">
        <v>1</v>
      </c>
    </row>
    <row r="7" spans="3:26" x14ac:dyDescent="0.35">
      <c r="C7">
        <v>3</v>
      </c>
      <c r="D7">
        <v>202231116</v>
      </c>
      <c r="E7" t="s">
        <v>5</v>
      </c>
      <c r="F7">
        <v>100</v>
      </c>
      <c r="G7">
        <v>0</v>
      </c>
      <c r="H7">
        <v>100</v>
      </c>
      <c r="I7">
        <v>0</v>
      </c>
      <c r="J7">
        <v>85</v>
      </c>
      <c r="K7">
        <v>100</v>
      </c>
      <c r="L7">
        <v>100</v>
      </c>
      <c r="M7">
        <v>100</v>
      </c>
      <c r="N7">
        <v>70</v>
      </c>
      <c r="O7">
        <v>0</v>
      </c>
      <c r="P7">
        <v>85</v>
      </c>
      <c r="Q7" s="14">
        <f>IF([1]punteo!L8="",0,[1]punteo!L8)</f>
        <v>80</v>
      </c>
      <c r="R7" s="14">
        <f>IF([2]punteo!L8="",0,[2]punteo!L8)</f>
        <v>0</v>
      </c>
      <c r="S7" s="14">
        <f>IF([3]punteo!L8="",0,[3]punteo!L8)</f>
        <v>100</v>
      </c>
      <c r="T7" s="14"/>
      <c r="U7" s="14">
        <f>IF([4]punteo!L8="",0,[4]punteo!L8)</f>
        <v>100</v>
      </c>
      <c r="V7" s="14"/>
      <c r="W7">
        <f t="shared" si="0"/>
        <v>0</v>
      </c>
      <c r="X7">
        <f t="shared" si="1"/>
        <v>1</v>
      </c>
      <c r="Y7">
        <v>0</v>
      </c>
    </row>
    <row r="8" spans="3:26" x14ac:dyDescent="0.35">
      <c r="C8">
        <v>4</v>
      </c>
      <c r="D8">
        <v>202330276</v>
      </c>
      <c r="E8" t="s">
        <v>6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s="14">
        <f>IF([1]punteo!L9="",0,[1]punteo!L9)</f>
        <v>0</v>
      </c>
      <c r="R8" s="14">
        <f>IF([2]punteo!L9="",0,[2]punteo!L9)</f>
        <v>0</v>
      </c>
      <c r="S8" s="14">
        <f>IF([3]punteo!L9="",0,[3]punteo!L9)</f>
        <v>0</v>
      </c>
      <c r="T8" s="14"/>
      <c r="U8" s="14">
        <f>IF([4]punteo!L9="",0,[4]punteo!L9)</f>
        <v>0</v>
      </c>
      <c r="V8" s="14"/>
      <c r="W8">
        <f t="shared" si="0"/>
        <v>0</v>
      </c>
      <c r="X8">
        <f t="shared" si="1"/>
        <v>0</v>
      </c>
      <c r="Y8">
        <v>1</v>
      </c>
    </row>
    <row r="9" spans="3:26" x14ac:dyDescent="0.35">
      <c r="C9">
        <v>5</v>
      </c>
      <c r="D9">
        <v>202331587</v>
      </c>
      <c r="E9" t="s">
        <v>7</v>
      </c>
      <c r="F9">
        <v>0</v>
      </c>
      <c r="G9">
        <v>0</v>
      </c>
      <c r="H9">
        <v>100</v>
      </c>
      <c r="I9">
        <v>90</v>
      </c>
      <c r="J9">
        <v>0</v>
      </c>
      <c r="K9">
        <v>50</v>
      </c>
      <c r="L9">
        <v>90</v>
      </c>
      <c r="M9">
        <v>80</v>
      </c>
      <c r="N9">
        <v>75</v>
      </c>
      <c r="O9">
        <v>85</v>
      </c>
      <c r="P9">
        <v>0</v>
      </c>
      <c r="Q9" s="14">
        <f>IF([1]punteo!L10="",0,[1]punteo!L10)</f>
        <v>100</v>
      </c>
      <c r="R9" s="14">
        <f>IF([2]punteo!L10="",0,[2]punteo!L10)</f>
        <v>100</v>
      </c>
      <c r="S9" s="14">
        <f>IF([3]punteo!L10="",0,[3]punteo!L10)</f>
        <v>100</v>
      </c>
      <c r="T9" s="14"/>
      <c r="U9" s="14">
        <f>IF([4]punteo!L10="",0,[4]punteo!L10)</f>
        <v>100</v>
      </c>
      <c r="V9" s="14"/>
      <c r="W9">
        <f t="shared" si="0"/>
        <v>1</v>
      </c>
      <c r="X9">
        <f t="shared" si="1"/>
        <v>0</v>
      </c>
      <c r="Y9">
        <v>0</v>
      </c>
    </row>
    <row r="10" spans="3:26" x14ac:dyDescent="0.35">
      <c r="C10">
        <v>6</v>
      </c>
      <c r="D10">
        <v>202332049</v>
      </c>
      <c r="E10" t="s">
        <v>8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s="14">
        <f>IF([1]punteo!L11="",0,[1]punteo!L11)</f>
        <v>0</v>
      </c>
      <c r="R10" s="14">
        <f>IF([2]punteo!L11="",0,[2]punteo!L11)</f>
        <v>0</v>
      </c>
      <c r="S10" s="14">
        <f>IF([3]punteo!L11="",0,[3]punteo!L11)</f>
        <v>0</v>
      </c>
      <c r="T10" s="14"/>
      <c r="U10" s="14">
        <f>IF([4]punteo!L11="",0,[4]punteo!L11)</f>
        <v>0</v>
      </c>
      <c r="V10" s="14"/>
      <c r="W10">
        <f t="shared" si="0"/>
        <v>0</v>
      </c>
      <c r="X10">
        <f t="shared" si="1"/>
        <v>0</v>
      </c>
      <c r="Y10">
        <v>0</v>
      </c>
    </row>
    <row r="11" spans="3:26" x14ac:dyDescent="0.35">
      <c r="C11">
        <v>7</v>
      </c>
      <c r="D11">
        <v>202402553</v>
      </c>
      <c r="E11" t="s">
        <v>9</v>
      </c>
      <c r="F11">
        <v>100</v>
      </c>
      <c r="G11">
        <v>0</v>
      </c>
      <c r="H11">
        <v>100</v>
      </c>
      <c r="I11">
        <v>90</v>
      </c>
      <c r="J11">
        <v>60</v>
      </c>
      <c r="K11">
        <v>0</v>
      </c>
      <c r="L11">
        <v>100</v>
      </c>
      <c r="M11">
        <v>100</v>
      </c>
      <c r="N11">
        <v>50</v>
      </c>
      <c r="O11">
        <v>0</v>
      </c>
      <c r="P11">
        <v>65</v>
      </c>
      <c r="Q11" s="14">
        <f>IF([1]punteo!L12="",0,[1]punteo!L12)</f>
        <v>80</v>
      </c>
      <c r="R11" s="14">
        <f>IF([2]punteo!L12="",0,[2]punteo!L12)</f>
        <v>100</v>
      </c>
      <c r="S11" s="14">
        <f>IF([3]punteo!L12="",0,[3]punteo!L12)</f>
        <v>0</v>
      </c>
      <c r="T11" s="14"/>
      <c r="U11" s="14">
        <f>IF([4]punteo!L12="",0,[4]punteo!L12)</f>
        <v>0</v>
      </c>
      <c r="V11" s="14"/>
      <c r="W11">
        <f t="shared" si="0"/>
        <v>0</v>
      </c>
      <c r="X11">
        <f t="shared" si="1"/>
        <v>1</v>
      </c>
      <c r="Y11">
        <v>0</v>
      </c>
    </row>
    <row r="12" spans="3:26" x14ac:dyDescent="0.35">
      <c r="C12">
        <v>8</v>
      </c>
      <c r="D12">
        <v>202430271</v>
      </c>
      <c r="E12" t="s">
        <v>10</v>
      </c>
      <c r="F12">
        <v>0</v>
      </c>
      <c r="G12">
        <v>100</v>
      </c>
      <c r="H12">
        <v>0</v>
      </c>
      <c r="I12">
        <v>0</v>
      </c>
      <c r="J12">
        <v>100</v>
      </c>
      <c r="K12">
        <v>100</v>
      </c>
      <c r="L12">
        <v>0</v>
      </c>
      <c r="M12">
        <v>0</v>
      </c>
      <c r="N12">
        <v>0</v>
      </c>
      <c r="O12">
        <v>0</v>
      </c>
      <c r="P12">
        <v>70</v>
      </c>
      <c r="Q12" s="14">
        <f>IF([1]punteo!L13="",0,[1]punteo!L13)</f>
        <v>80</v>
      </c>
      <c r="R12" s="14">
        <f>IF([2]punteo!L13="",0,[2]punteo!L13)</f>
        <v>0</v>
      </c>
      <c r="S12" s="14">
        <f>IF([3]punteo!L13="",0,[3]punteo!L13)</f>
        <v>100</v>
      </c>
      <c r="T12" s="14"/>
      <c r="U12" s="14">
        <f>IF([4]punteo!L13="",0,[4]punteo!L13)</f>
        <v>0</v>
      </c>
      <c r="V12" s="14"/>
      <c r="W12">
        <f t="shared" si="0"/>
        <v>0</v>
      </c>
      <c r="X12">
        <f t="shared" si="1"/>
        <v>1</v>
      </c>
      <c r="Y12">
        <v>1</v>
      </c>
    </row>
    <row r="13" spans="3:26" x14ac:dyDescent="0.35">
      <c r="C13">
        <v>9</v>
      </c>
      <c r="D13">
        <v>202430532</v>
      </c>
      <c r="E13" t="s">
        <v>11</v>
      </c>
      <c r="F13">
        <v>100</v>
      </c>
      <c r="G13">
        <v>0</v>
      </c>
      <c r="H13">
        <v>100</v>
      </c>
      <c r="I13">
        <v>100</v>
      </c>
      <c r="J13">
        <v>100</v>
      </c>
      <c r="K13">
        <v>100</v>
      </c>
      <c r="L13">
        <v>100</v>
      </c>
      <c r="M13">
        <v>100</v>
      </c>
      <c r="N13">
        <v>100</v>
      </c>
      <c r="O13">
        <v>65</v>
      </c>
      <c r="P13">
        <v>80</v>
      </c>
      <c r="Q13" s="14">
        <f>IF([1]punteo!L14="",0,[1]punteo!L14)</f>
        <v>100</v>
      </c>
      <c r="R13" s="14">
        <f>IF([2]punteo!L14="",0,[2]punteo!L14)</f>
        <v>100</v>
      </c>
      <c r="S13" s="14">
        <f>IF([3]punteo!L14="",0,[3]punteo!L14)</f>
        <v>100</v>
      </c>
      <c r="T13" s="14"/>
      <c r="U13" s="14">
        <f>IF([4]punteo!L14="",0,[4]punteo!L14)</f>
        <v>0</v>
      </c>
      <c r="V13" s="14"/>
      <c r="W13">
        <f t="shared" si="0"/>
        <v>1</v>
      </c>
      <c r="X13">
        <f t="shared" si="1"/>
        <v>1</v>
      </c>
      <c r="Y13">
        <v>0</v>
      </c>
    </row>
    <row r="14" spans="3:26" x14ac:dyDescent="0.35">
      <c r="C14">
        <v>10</v>
      </c>
      <c r="D14">
        <v>202430589</v>
      </c>
      <c r="E14" t="s">
        <v>12</v>
      </c>
      <c r="F14">
        <v>0</v>
      </c>
      <c r="G14">
        <v>0</v>
      </c>
      <c r="H14">
        <v>0</v>
      </c>
      <c r="I14">
        <v>100</v>
      </c>
      <c r="J14">
        <v>0</v>
      </c>
      <c r="K14">
        <v>0</v>
      </c>
      <c r="L14">
        <v>100</v>
      </c>
      <c r="M14">
        <v>80</v>
      </c>
      <c r="N14">
        <v>70</v>
      </c>
      <c r="O14">
        <v>0</v>
      </c>
      <c r="P14">
        <v>0</v>
      </c>
      <c r="Q14" s="14">
        <f>IF([1]punteo!L15="",0,[1]punteo!L15)</f>
        <v>0</v>
      </c>
      <c r="R14" s="14">
        <f>IF([2]punteo!L15="",0,[2]punteo!L15)</f>
        <v>0</v>
      </c>
      <c r="S14" s="14">
        <f>IF([3]punteo!L15="",0,[3]punteo!L15)</f>
        <v>100</v>
      </c>
      <c r="T14" s="14"/>
      <c r="U14" s="14">
        <f>IF([4]punteo!L15="",0,[4]punteo!L15)</f>
        <v>0</v>
      </c>
      <c r="V14" s="14"/>
      <c r="W14">
        <f t="shared" si="0"/>
        <v>0</v>
      </c>
      <c r="X14">
        <f t="shared" si="1"/>
        <v>0</v>
      </c>
      <c r="Y14">
        <v>0</v>
      </c>
    </row>
    <row r="15" spans="3:26" x14ac:dyDescent="0.35">
      <c r="C15">
        <v>11</v>
      </c>
      <c r="D15">
        <v>202430602</v>
      </c>
      <c r="E15" t="s">
        <v>13</v>
      </c>
      <c r="F15">
        <v>0</v>
      </c>
      <c r="G15">
        <v>0</v>
      </c>
      <c r="H15">
        <v>100</v>
      </c>
      <c r="I15">
        <v>0</v>
      </c>
      <c r="J15">
        <v>60</v>
      </c>
      <c r="K15">
        <v>0</v>
      </c>
      <c r="L15">
        <v>90</v>
      </c>
      <c r="M15">
        <v>100</v>
      </c>
      <c r="N15">
        <v>0</v>
      </c>
      <c r="O15">
        <v>0</v>
      </c>
      <c r="P15">
        <v>30</v>
      </c>
      <c r="Q15" s="14">
        <f>IF([1]punteo!L16="",0,[1]punteo!L16)</f>
        <v>0</v>
      </c>
      <c r="R15" s="14">
        <f>IF([2]punteo!L16="",0,[2]punteo!L16)</f>
        <v>0</v>
      </c>
      <c r="S15" s="14">
        <f>IF([3]punteo!L16="",0,[3]punteo!L16)</f>
        <v>0</v>
      </c>
      <c r="T15" s="14"/>
      <c r="U15" s="14">
        <f>IF([4]punteo!L16="",0,[4]punteo!L16)</f>
        <v>0</v>
      </c>
      <c r="V15" s="14"/>
      <c r="W15">
        <f t="shared" si="0"/>
        <v>0</v>
      </c>
      <c r="X15">
        <f t="shared" si="1"/>
        <v>1</v>
      </c>
      <c r="Y15">
        <v>0</v>
      </c>
    </row>
    <row r="16" spans="3:26" x14ac:dyDescent="0.35">
      <c r="C16">
        <v>12</v>
      </c>
      <c r="D16">
        <v>202430633</v>
      </c>
      <c r="E16" t="s">
        <v>14</v>
      </c>
      <c r="F16">
        <v>100</v>
      </c>
      <c r="G16">
        <v>0</v>
      </c>
      <c r="H16">
        <v>100</v>
      </c>
      <c r="I16">
        <v>100</v>
      </c>
      <c r="J16">
        <v>100</v>
      </c>
      <c r="K16">
        <v>100</v>
      </c>
      <c r="L16">
        <v>100</v>
      </c>
      <c r="M16">
        <v>100</v>
      </c>
      <c r="N16">
        <v>50</v>
      </c>
      <c r="O16">
        <v>100</v>
      </c>
      <c r="P16">
        <v>50</v>
      </c>
      <c r="Q16" s="14">
        <f>IF([1]punteo!L17="",0,[1]punteo!L17)</f>
        <v>0</v>
      </c>
      <c r="R16" s="14">
        <f>IF([2]punteo!L17="",0,[2]punteo!L17)</f>
        <v>0</v>
      </c>
      <c r="S16" s="14">
        <f>IF([3]punteo!L17="",0,[3]punteo!L17)</f>
        <v>100</v>
      </c>
      <c r="T16" s="14"/>
      <c r="U16" s="14">
        <f>IF([4]punteo!L17="",0,[4]punteo!L17)</f>
        <v>100</v>
      </c>
      <c r="V16" s="14"/>
      <c r="W16">
        <f t="shared" si="0"/>
        <v>1</v>
      </c>
      <c r="X16">
        <f t="shared" si="1"/>
        <v>1</v>
      </c>
      <c r="Y16">
        <v>1</v>
      </c>
    </row>
    <row r="17" spans="1:25" x14ac:dyDescent="0.35">
      <c r="A17" s="6">
        <v>0.27777777777777779</v>
      </c>
      <c r="B17" s="13" t="s">
        <v>83</v>
      </c>
      <c r="C17">
        <v>13</v>
      </c>
      <c r="D17">
        <v>202430645</v>
      </c>
      <c r="E17" t="s">
        <v>15</v>
      </c>
      <c r="F17">
        <v>100</v>
      </c>
      <c r="G17">
        <v>0</v>
      </c>
      <c r="H17">
        <v>50</v>
      </c>
      <c r="I17">
        <v>0</v>
      </c>
      <c r="J17">
        <v>100</v>
      </c>
      <c r="K17">
        <v>85</v>
      </c>
      <c r="L17">
        <v>100</v>
      </c>
      <c r="M17">
        <v>100</v>
      </c>
      <c r="N17">
        <v>70</v>
      </c>
      <c r="O17">
        <v>75</v>
      </c>
      <c r="P17">
        <v>70</v>
      </c>
      <c r="Q17" s="14">
        <f>IF([1]punteo!L18="",0,[1]punteo!L18)</f>
        <v>100</v>
      </c>
      <c r="R17" s="14">
        <f>IF([2]punteo!L18="",0,[2]punteo!L18)</f>
        <v>100</v>
      </c>
      <c r="S17" s="14">
        <f>IF([3]punteo!L18="",0,[3]punteo!L18)</f>
        <v>100</v>
      </c>
      <c r="T17" s="14"/>
      <c r="U17" s="14">
        <f>IF([4]punteo!L18="",0,[4]punteo!L18)</f>
        <v>0</v>
      </c>
      <c r="V17" s="14"/>
      <c r="W17">
        <f t="shared" si="0"/>
        <v>1</v>
      </c>
      <c r="X17">
        <f t="shared" si="1"/>
        <v>1</v>
      </c>
      <c r="Y17">
        <v>1</v>
      </c>
    </row>
    <row r="18" spans="1:25" x14ac:dyDescent="0.35">
      <c r="C18">
        <v>14</v>
      </c>
      <c r="D18">
        <v>202430733</v>
      </c>
      <c r="E18" t="s">
        <v>16</v>
      </c>
      <c r="F18">
        <v>100</v>
      </c>
      <c r="G18">
        <v>0</v>
      </c>
      <c r="H18">
        <v>50</v>
      </c>
      <c r="I18">
        <v>100</v>
      </c>
      <c r="J18">
        <v>85</v>
      </c>
      <c r="K18">
        <v>100</v>
      </c>
      <c r="L18">
        <v>100</v>
      </c>
      <c r="M18">
        <v>100</v>
      </c>
      <c r="N18">
        <v>50</v>
      </c>
      <c r="O18">
        <v>100</v>
      </c>
      <c r="P18">
        <v>100</v>
      </c>
      <c r="Q18" s="14">
        <f>IF([1]punteo!L19="",0,[1]punteo!L19)</f>
        <v>100</v>
      </c>
      <c r="R18" s="14">
        <f>IF([2]punteo!L19="",0,[2]punteo!L19)</f>
        <v>100</v>
      </c>
      <c r="S18" s="14">
        <f>IF([3]punteo!L19="",0,[3]punteo!L19)</f>
        <v>100</v>
      </c>
      <c r="T18" s="14"/>
      <c r="U18" s="14">
        <f>IF([4]punteo!L19="",0,[4]punteo!L19)</f>
        <v>100</v>
      </c>
      <c r="V18" s="14"/>
      <c r="W18">
        <f t="shared" si="0"/>
        <v>1</v>
      </c>
      <c r="X18">
        <f t="shared" si="1"/>
        <v>1</v>
      </c>
      <c r="Y18">
        <v>0</v>
      </c>
    </row>
    <row r="19" spans="1:25" x14ac:dyDescent="0.35">
      <c r="C19">
        <v>15</v>
      </c>
      <c r="D19">
        <v>202430804</v>
      </c>
      <c r="E19" t="s">
        <v>17</v>
      </c>
      <c r="F19">
        <v>100</v>
      </c>
      <c r="G19">
        <v>0</v>
      </c>
      <c r="H19">
        <v>0</v>
      </c>
      <c r="I19">
        <v>0</v>
      </c>
      <c r="J19">
        <v>100</v>
      </c>
      <c r="K19">
        <v>100</v>
      </c>
      <c r="L19">
        <v>100</v>
      </c>
      <c r="M19">
        <v>100</v>
      </c>
      <c r="N19">
        <v>80</v>
      </c>
      <c r="O19">
        <v>100</v>
      </c>
      <c r="P19">
        <v>100</v>
      </c>
      <c r="Q19" s="14">
        <f>IF([1]punteo!L20="",0,[1]punteo!L20)</f>
        <v>0</v>
      </c>
      <c r="R19" s="14">
        <f>IF([2]punteo!L20="",0,[2]punteo!L20)</f>
        <v>0</v>
      </c>
      <c r="S19" s="14">
        <f>IF([3]punteo!L20="",0,[3]punteo!L20)</f>
        <v>0</v>
      </c>
      <c r="T19" s="14"/>
      <c r="U19" s="14">
        <f>IF([4]punteo!L20="",0,[4]punteo!L20)</f>
        <v>0</v>
      </c>
      <c r="V19" s="14"/>
      <c r="W19">
        <f t="shared" si="0"/>
        <v>1</v>
      </c>
      <c r="X19">
        <f t="shared" si="1"/>
        <v>1</v>
      </c>
      <c r="Y19">
        <v>0</v>
      </c>
    </row>
    <row r="20" spans="1:25" x14ac:dyDescent="0.35">
      <c r="A20" s="6" t="s">
        <v>88</v>
      </c>
      <c r="B20" s="13" t="s">
        <v>84</v>
      </c>
      <c r="C20">
        <v>16</v>
      </c>
      <c r="D20">
        <v>202430829</v>
      </c>
      <c r="E20" t="s">
        <v>18</v>
      </c>
      <c r="F20">
        <v>100</v>
      </c>
      <c r="G20">
        <v>100</v>
      </c>
      <c r="H20">
        <v>100</v>
      </c>
      <c r="I20">
        <v>90</v>
      </c>
      <c r="J20">
        <v>85</v>
      </c>
      <c r="K20">
        <v>100</v>
      </c>
      <c r="L20">
        <v>100</v>
      </c>
      <c r="M20">
        <v>100</v>
      </c>
      <c r="N20">
        <v>70</v>
      </c>
      <c r="O20">
        <v>85</v>
      </c>
      <c r="P20">
        <v>85</v>
      </c>
      <c r="Q20" s="14">
        <f>IF([1]punteo!L21="",0,[1]punteo!L21)</f>
        <v>80</v>
      </c>
      <c r="R20" s="14">
        <f>IF([2]punteo!L21="",0,[2]punteo!L21)</f>
        <v>100</v>
      </c>
      <c r="S20" s="14">
        <f>IF([3]punteo!L21="",0,[3]punteo!L21)</f>
        <v>100</v>
      </c>
      <c r="T20" s="14"/>
      <c r="U20" s="14">
        <f>IF([4]punteo!L21="",0,[4]punteo!L21)</f>
        <v>0</v>
      </c>
      <c r="V20" s="14"/>
      <c r="W20">
        <f t="shared" si="0"/>
        <v>1</v>
      </c>
      <c r="X20">
        <f t="shared" si="1"/>
        <v>1</v>
      </c>
      <c r="Y20">
        <v>1</v>
      </c>
    </row>
    <row r="21" spans="1:25" x14ac:dyDescent="0.35">
      <c r="C21">
        <v>17</v>
      </c>
      <c r="D21">
        <v>202431169</v>
      </c>
      <c r="E21" t="s">
        <v>19</v>
      </c>
      <c r="F21">
        <v>100</v>
      </c>
      <c r="G21">
        <v>0</v>
      </c>
      <c r="H21">
        <v>50</v>
      </c>
      <c r="I21">
        <v>100</v>
      </c>
      <c r="J21">
        <v>85</v>
      </c>
      <c r="K21">
        <v>100</v>
      </c>
      <c r="L21">
        <v>100</v>
      </c>
      <c r="M21">
        <v>100</v>
      </c>
      <c r="N21">
        <v>50</v>
      </c>
      <c r="O21">
        <v>100</v>
      </c>
      <c r="P21">
        <v>100</v>
      </c>
      <c r="Q21" s="14">
        <f>IF([1]punteo!L22="",0,[1]punteo!L22)</f>
        <v>100</v>
      </c>
      <c r="R21" s="14">
        <f>IF([2]punteo!L22="",0,[2]punteo!L22)</f>
        <v>100</v>
      </c>
      <c r="S21" s="14">
        <f>IF([3]punteo!L22="",0,[3]punteo!L22)</f>
        <v>100</v>
      </c>
      <c r="T21" s="14"/>
      <c r="U21" s="14">
        <f>IF([4]punteo!L22="",0,[4]punteo!L22)</f>
        <v>100</v>
      </c>
      <c r="V21" s="14"/>
      <c r="W21">
        <f t="shared" si="0"/>
        <v>1</v>
      </c>
      <c r="X21">
        <f t="shared" si="1"/>
        <v>1</v>
      </c>
      <c r="Y21">
        <v>1</v>
      </c>
    </row>
    <row r="22" spans="1:25" x14ac:dyDescent="0.35">
      <c r="A22" s="6">
        <v>0.27777777777777779</v>
      </c>
      <c r="B22" s="13" t="s">
        <v>85</v>
      </c>
      <c r="C22">
        <v>18</v>
      </c>
      <c r="D22">
        <v>202431502</v>
      </c>
      <c r="E22" t="s">
        <v>20</v>
      </c>
      <c r="F22">
        <v>100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50</v>
      </c>
      <c r="O22">
        <v>90</v>
      </c>
      <c r="P22">
        <v>45</v>
      </c>
      <c r="Q22" s="14">
        <f>IF([1]punteo!L23="",0,[1]punteo!L23)</f>
        <v>80</v>
      </c>
      <c r="R22" s="14">
        <f>IF([2]punteo!L23="",0,[2]punteo!L23)</f>
        <v>100</v>
      </c>
      <c r="S22" s="14">
        <f>IF([3]punteo!L23="",0,[3]punteo!L23)</f>
        <v>100</v>
      </c>
      <c r="T22" s="14"/>
      <c r="U22" s="14">
        <f>IF([4]punteo!L23="",0,[4]punteo!L23)</f>
        <v>0</v>
      </c>
      <c r="V22" s="14"/>
      <c r="W22">
        <f t="shared" si="0"/>
        <v>1</v>
      </c>
      <c r="X22">
        <f t="shared" si="1"/>
        <v>1</v>
      </c>
      <c r="Y22">
        <v>0</v>
      </c>
    </row>
    <row r="23" spans="1:25" x14ac:dyDescent="0.35">
      <c r="B23" s="13"/>
      <c r="C23">
        <v>19</v>
      </c>
      <c r="D23">
        <v>202431726</v>
      </c>
      <c r="E23" t="s">
        <v>21</v>
      </c>
      <c r="F23">
        <v>100</v>
      </c>
      <c r="G23">
        <v>0</v>
      </c>
      <c r="H23">
        <v>100</v>
      </c>
      <c r="I23">
        <v>100</v>
      </c>
      <c r="J23">
        <v>75</v>
      </c>
      <c r="K23">
        <v>100</v>
      </c>
      <c r="L23">
        <v>100</v>
      </c>
      <c r="M23">
        <v>100</v>
      </c>
      <c r="N23">
        <v>90</v>
      </c>
      <c r="O23">
        <v>95</v>
      </c>
      <c r="P23">
        <v>90</v>
      </c>
      <c r="Q23" s="14">
        <f>IF([1]punteo!L24="",0,[1]punteo!L24)</f>
        <v>0</v>
      </c>
      <c r="R23" s="14">
        <f>IF([2]punteo!L24="",0,[2]punteo!L24)</f>
        <v>0</v>
      </c>
      <c r="S23" s="14">
        <f>IF([3]punteo!L24="",0,[3]punteo!L24)</f>
        <v>0</v>
      </c>
      <c r="T23" s="14"/>
      <c r="U23" s="14">
        <f>IF([4]punteo!L24="",0,[4]punteo!L24)</f>
        <v>0</v>
      </c>
      <c r="V23" s="14"/>
      <c r="W23">
        <f t="shared" si="0"/>
        <v>1</v>
      </c>
      <c r="X23">
        <f t="shared" si="1"/>
        <v>1</v>
      </c>
      <c r="Y23">
        <v>0</v>
      </c>
    </row>
    <row r="24" spans="1:25" x14ac:dyDescent="0.35">
      <c r="C24">
        <v>20</v>
      </c>
      <c r="D24">
        <v>202431817</v>
      </c>
      <c r="E24" t="s">
        <v>22</v>
      </c>
      <c r="F24">
        <v>0</v>
      </c>
      <c r="G24">
        <v>0</v>
      </c>
      <c r="H24">
        <v>100</v>
      </c>
      <c r="I24">
        <v>100</v>
      </c>
      <c r="J24">
        <v>0</v>
      </c>
      <c r="K24">
        <v>0</v>
      </c>
      <c r="L24">
        <v>100</v>
      </c>
      <c r="M24">
        <v>0</v>
      </c>
      <c r="N24">
        <v>0</v>
      </c>
      <c r="O24">
        <v>15</v>
      </c>
      <c r="P24">
        <v>90</v>
      </c>
      <c r="Q24" s="14">
        <f>IF([1]punteo!L25="",0,[1]punteo!L25)</f>
        <v>100</v>
      </c>
      <c r="R24" s="14">
        <f>IF([2]punteo!L25="",0,[2]punteo!L25)</f>
        <v>0</v>
      </c>
      <c r="S24" s="14">
        <f>IF([3]punteo!L25="",0,[3]punteo!L25)</f>
        <v>100</v>
      </c>
      <c r="T24" s="14"/>
      <c r="U24" s="14">
        <f>IF([4]punteo!L25="",0,[4]punteo!L25)</f>
        <v>0</v>
      </c>
      <c r="V24" s="14"/>
      <c r="W24">
        <f t="shared" si="0"/>
        <v>1</v>
      </c>
      <c r="X24">
        <f t="shared" si="1"/>
        <v>1</v>
      </c>
      <c r="Y24">
        <v>0</v>
      </c>
    </row>
    <row r="25" spans="1:25" x14ac:dyDescent="0.35">
      <c r="C25">
        <v>21</v>
      </c>
      <c r="D25">
        <v>202431819</v>
      </c>
      <c r="E25" t="s">
        <v>23</v>
      </c>
      <c r="F25">
        <v>0</v>
      </c>
      <c r="G25">
        <v>100</v>
      </c>
      <c r="H25">
        <v>0</v>
      </c>
      <c r="I25">
        <v>0</v>
      </c>
      <c r="J25">
        <v>0</v>
      </c>
      <c r="K25">
        <v>100</v>
      </c>
      <c r="L25">
        <v>0</v>
      </c>
      <c r="M25">
        <v>100</v>
      </c>
      <c r="N25">
        <v>0</v>
      </c>
      <c r="O25">
        <v>85</v>
      </c>
      <c r="P25">
        <v>70</v>
      </c>
      <c r="Q25" s="14">
        <f>IF([1]punteo!L26="",0,[1]punteo!L26)</f>
        <v>80</v>
      </c>
      <c r="R25" s="14">
        <f>IF([2]punteo!L26="",0,[2]punteo!L26)</f>
        <v>100</v>
      </c>
      <c r="S25" s="14">
        <f>IF([3]punteo!L26="",0,[3]punteo!L26)</f>
        <v>100</v>
      </c>
      <c r="T25" s="14"/>
      <c r="U25" s="14">
        <f>IF([4]punteo!L26="",0,[4]punteo!L26)</f>
        <v>0</v>
      </c>
      <c r="V25" s="14"/>
      <c r="W25">
        <f t="shared" si="0"/>
        <v>1</v>
      </c>
      <c r="X25">
        <f t="shared" si="1"/>
        <v>1</v>
      </c>
      <c r="Y25" s="3">
        <v>1</v>
      </c>
    </row>
    <row r="26" spans="1:25" x14ac:dyDescent="0.35">
      <c r="A26" t="s">
        <v>86</v>
      </c>
      <c r="B26" s="13" t="s">
        <v>81</v>
      </c>
      <c r="C26">
        <v>22</v>
      </c>
      <c r="D26">
        <v>202431863</v>
      </c>
      <c r="E26" t="s">
        <v>24</v>
      </c>
      <c r="F26">
        <v>100</v>
      </c>
      <c r="G26">
        <v>0</v>
      </c>
      <c r="H26">
        <v>0</v>
      </c>
      <c r="I26">
        <v>100</v>
      </c>
      <c r="J26">
        <v>50</v>
      </c>
      <c r="K26">
        <v>50</v>
      </c>
      <c r="L26">
        <v>50</v>
      </c>
      <c r="M26">
        <v>100</v>
      </c>
      <c r="N26">
        <v>25</v>
      </c>
      <c r="O26">
        <v>25</v>
      </c>
      <c r="P26">
        <v>100</v>
      </c>
      <c r="Q26" s="14">
        <f>IF([1]punteo!L27="",0,[1]punteo!L27)</f>
        <v>80</v>
      </c>
      <c r="R26" s="14">
        <f>IF([2]punteo!L27="",0,[2]punteo!L27)</f>
        <v>0</v>
      </c>
      <c r="S26" s="14">
        <f>IF([3]punteo!L27="",0,[3]punteo!L27)</f>
        <v>100</v>
      </c>
      <c r="T26" s="14"/>
      <c r="U26" s="14">
        <f>IF([4]punteo!L27="",0,[4]punteo!L27)</f>
        <v>0</v>
      </c>
      <c r="V26" s="14"/>
      <c r="W26">
        <f t="shared" si="0"/>
        <v>1</v>
      </c>
      <c r="X26">
        <f t="shared" si="1"/>
        <v>1</v>
      </c>
      <c r="Y26">
        <v>0</v>
      </c>
    </row>
    <row r="27" spans="1:25" x14ac:dyDescent="0.35">
      <c r="C27">
        <v>23</v>
      </c>
      <c r="D27">
        <v>202432080</v>
      </c>
      <c r="E27" t="s">
        <v>25</v>
      </c>
      <c r="F27">
        <v>100</v>
      </c>
      <c r="G27">
        <v>0</v>
      </c>
      <c r="H27">
        <v>0</v>
      </c>
      <c r="I27">
        <v>0</v>
      </c>
      <c r="J27">
        <v>0</v>
      </c>
      <c r="K27">
        <v>100</v>
      </c>
      <c r="L27">
        <v>100</v>
      </c>
      <c r="M27">
        <v>100</v>
      </c>
      <c r="N27">
        <v>70</v>
      </c>
      <c r="O27">
        <v>100</v>
      </c>
      <c r="P27">
        <v>100</v>
      </c>
      <c r="Q27" s="14">
        <f>IF([1]punteo!L28="",0,[1]punteo!L28)</f>
        <v>0</v>
      </c>
      <c r="R27" s="14">
        <f>IF([2]punteo!L28="",0,[2]punteo!L28)</f>
        <v>0</v>
      </c>
      <c r="S27" s="14">
        <f>IF([3]punteo!L28="",0,[3]punteo!L28)</f>
        <v>0</v>
      </c>
      <c r="T27" s="14"/>
      <c r="U27" s="14">
        <f>IF([4]punteo!L28="",0,[4]punteo!L28)</f>
        <v>0</v>
      </c>
      <c r="V27" s="14"/>
      <c r="W27">
        <f t="shared" si="0"/>
        <v>1</v>
      </c>
      <c r="X27">
        <f t="shared" si="1"/>
        <v>1</v>
      </c>
      <c r="Y27">
        <v>0</v>
      </c>
    </row>
    <row r="28" spans="1:25" x14ac:dyDescent="0.35">
      <c r="C28">
        <v>24</v>
      </c>
      <c r="D28">
        <v>202432085</v>
      </c>
      <c r="E28" t="s">
        <v>26</v>
      </c>
      <c r="F28">
        <v>100</v>
      </c>
      <c r="G28">
        <v>0</v>
      </c>
      <c r="H28">
        <v>100</v>
      </c>
      <c r="I28">
        <v>100</v>
      </c>
      <c r="J28">
        <v>75</v>
      </c>
      <c r="K28">
        <v>100</v>
      </c>
      <c r="L28">
        <v>90</v>
      </c>
      <c r="M28">
        <v>100</v>
      </c>
      <c r="N28">
        <v>70</v>
      </c>
      <c r="O28">
        <v>95</v>
      </c>
      <c r="P28">
        <v>90</v>
      </c>
      <c r="Q28" s="14">
        <f>IF([1]punteo!L29="",0,[1]punteo!L29)</f>
        <v>0</v>
      </c>
      <c r="R28" s="14">
        <f>IF([2]punteo!L29="",0,[2]punteo!L29)</f>
        <v>0</v>
      </c>
      <c r="S28" s="14">
        <f>IF([3]punteo!L29="",0,[3]punteo!L29)</f>
        <v>0</v>
      </c>
      <c r="T28" s="14"/>
      <c r="U28" s="14">
        <f>IF([4]punteo!L29="",0,[4]punteo!L29)</f>
        <v>0</v>
      </c>
      <c r="V28" s="14"/>
      <c r="W28">
        <f t="shared" si="0"/>
        <v>1</v>
      </c>
      <c r="X28">
        <f t="shared" si="1"/>
        <v>1</v>
      </c>
      <c r="Y28" s="3">
        <v>1</v>
      </c>
    </row>
    <row r="29" spans="1:25" x14ac:dyDescent="0.35">
      <c r="A29" s="6" t="s">
        <v>82</v>
      </c>
      <c r="B29" s="1" t="s">
        <v>81</v>
      </c>
      <c r="C29">
        <v>25</v>
      </c>
      <c r="D29">
        <v>202432137</v>
      </c>
      <c r="E29" t="s">
        <v>27</v>
      </c>
      <c r="F29">
        <v>100</v>
      </c>
      <c r="G29">
        <v>0</v>
      </c>
      <c r="H29">
        <v>0</v>
      </c>
      <c r="I29">
        <v>100</v>
      </c>
      <c r="J29">
        <v>50</v>
      </c>
      <c r="K29">
        <v>50</v>
      </c>
      <c r="L29">
        <v>50</v>
      </c>
      <c r="M29">
        <v>0</v>
      </c>
      <c r="N29">
        <v>25</v>
      </c>
      <c r="O29">
        <v>25</v>
      </c>
      <c r="P29">
        <v>100</v>
      </c>
      <c r="Q29" s="14">
        <f>IF([1]punteo!L30="",0,[1]punteo!L30)</f>
        <v>80</v>
      </c>
      <c r="R29" s="14">
        <f>IF([2]punteo!L30="",0,[2]punteo!L30)</f>
        <v>0</v>
      </c>
      <c r="S29" s="14">
        <f>IF([3]punteo!L30="",0,[3]punteo!L30)</f>
        <v>100</v>
      </c>
      <c r="T29" s="14"/>
      <c r="U29" s="14">
        <f>IF([4]punteo!L30="",0,[4]punteo!L30)</f>
        <v>0</v>
      </c>
      <c r="V29" s="14"/>
      <c r="W29">
        <f t="shared" si="0"/>
        <v>1</v>
      </c>
      <c r="X29">
        <f t="shared" si="1"/>
        <v>1</v>
      </c>
      <c r="Y29">
        <v>0</v>
      </c>
    </row>
    <row r="30" spans="1:25" x14ac:dyDescent="0.35">
      <c r="C30">
        <v>26</v>
      </c>
      <c r="D30">
        <v>202530125</v>
      </c>
      <c r="E30" t="s">
        <v>28</v>
      </c>
      <c r="F30">
        <v>0</v>
      </c>
      <c r="G30">
        <v>0</v>
      </c>
      <c r="H30">
        <v>100</v>
      </c>
      <c r="I30">
        <v>100</v>
      </c>
      <c r="J30">
        <v>100</v>
      </c>
      <c r="K30">
        <v>75</v>
      </c>
      <c r="L30">
        <v>90</v>
      </c>
      <c r="M30">
        <v>100</v>
      </c>
      <c r="N30">
        <v>80</v>
      </c>
      <c r="O30">
        <v>90</v>
      </c>
      <c r="P30">
        <v>60</v>
      </c>
      <c r="Q30" s="14">
        <f>IF([1]punteo!L31="",0,[1]punteo!L31)</f>
        <v>0</v>
      </c>
      <c r="R30" s="14">
        <f>IF([2]punteo!L31="",0,[2]punteo!L31)</f>
        <v>0</v>
      </c>
      <c r="S30" s="14">
        <f>IF([3]punteo!L31="",0,[3]punteo!L31)</f>
        <v>0</v>
      </c>
      <c r="T30" s="14"/>
      <c r="U30" s="14">
        <f>IF([4]punteo!L31="",0,[4]punteo!L31)</f>
        <v>0</v>
      </c>
      <c r="V30" s="14"/>
      <c r="W30">
        <f t="shared" si="0"/>
        <v>1</v>
      </c>
      <c r="X30">
        <f t="shared" si="1"/>
        <v>1</v>
      </c>
      <c r="Y30" s="3">
        <v>1</v>
      </c>
    </row>
    <row r="31" spans="1:25" x14ac:dyDescent="0.35">
      <c r="A31" s="6" t="s">
        <v>88</v>
      </c>
      <c r="B31" s="13" t="s">
        <v>84</v>
      </c>
      <c r="C31">
        <v>27</v>
      </c>
      <c r="D31">
        <v>202530235</v>
      </c>
      <c r="E31" t="s">
        <v>29</v>
      </c>
      <c r="F31">
        <v>100</v>
      </c>
      <c r="G31">
        <v>0</v>
      </c>
      <c r="H31">
        <v>100</v>
      </c>
      <c r="I31">
        <v>100</v>
      </c>
      <c r="J31">
        <v>100</v>
      </c>
      <c r="K31">
        <v>100</v>
      </c>
      <c r="L31">
        <v>100</v>
      </c>
      <c r="M31">
        <v>100</v>
      </c>
      <c r="N31">
        <v>100</v>
      </c>
      <c r="O31">
        <v>0</v>
      </c>
      <c r="P31">
        <v>100</v>
      </c>
      <c r="Q31" s="14">
        <f>IF([1]punteo!L32="",0,[1]punteo!L32)</f>
        <v>80</v>
      </c>
      <c r="R31" s="14">
        <f>IF([2]punteo!L32="",0,[2]punteo!L32)</f>
        <v>100</v>
      </c>
      <c r="S31" s="14">
        <f>IF([3]punteo!L32="",0,[3]punteo!L32)</f>
        <v>100</v>
      </c>
      <c r="T31" s="14"/>
      <c r="U31" s="14">
        <f>IF([4]punteo!L32="",0,[4]punteo!L32)</f>
        <v>100</v>
      </c>
      <c r="V31" s="14"/>
      <c r="W31">
        <f t="shared" si="0"/>
        <v>0</v>
      </c>
      <c r="X31">
        <f t="shared" si="1"/>
        <v>1</v>
      </c>
      <c r="Y31">
        <v>1</v>
      </c>
    </row>
    <row r="32" spans="1:25" x14ac:dyDescent="0.35">
      <c r="A32" s="6">
        <v>0.27777777777777779</v>
      </c>
      <c r="B32" s="13" t="s">
        <v>85</v>
      </c>
      <c r="C32">
        <v>28</v>
      </c>
      <c r="D32">
        <v>202530265</v>
      </c>
      <c r="E32" t="s">
        <v>30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90</v>
      </c>
      <c r="L32">
        <v>100</v>
      </c>
      <c r="M32">
        <v>100</v>
      </c>
      <c r="N32">
        <v>70</v>
      </c>
      <c r="O32">
        <v>100</v>
      </c>
      <c r="P32">
        <v>100</v>
      </c>
      <c r="Q32" s="14">
        <f>IF([1]punteo!L33="",0,[1]punteo!L33)</f>
        <v>90</v>
      </c>
      <c r="R32" s="14">
        <f>IF([2]punteo!L33="",0,[2]punteo!L33)</f>
        <v>100</v>
      </c>
      <c r="S32" s="14">
        <f>IF([3]punteo!L33="",0,[3]punteo!L33)</f>
        <v>100</v>
      </c>
      <c r="T32" s="14"/>
      <c r="U32" s="14">
        <f>IF([4]punteo!L33="",0,[4]punteo!L33)</f>
        <v>0</v>
      </c>
      <c r="V32" s="14"/>
      <c r="W32">
        <f t="shared" si="0"/>
        <v>1</v>
      </c>
      <c r="X32">
        <f t="shared" si="1"/>
        <v>1</v>
      </c>
      <c r="Y32">
        <v>1</v>
      </c>
    </row>
    <row r="33" spans="1:25" x14ac:dyDescent="0.35">
      <c r="C33">
        <v>29</v>
      </c>
      <c r="D33">
        <v>202530315</v>
      </c>
      <c r="E33" t="s">
        <v>31</v>
      </c>
      <c r="F33">
        <v>100</v>
      </c>
      <c r="G33">
        <v>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50</v>
      </c>
      <c r="O33">
        <v>100</v>
      </c>
      <c r="P33">
        <v>50</v>
      </c>
      <c r="Q33" s="14">
        <f>IF([1]punteo!L34="",0,[1]punteo!L34)</f>
        <v>80</v>
      </c>
      <c r="R33" s="14">
        <f>IF([2]punteo!L34="",0,[2]punteo!L34)</f>
        <v>100</v>
      </c>
      <c r="S33" s="14">
        <f>IF([3]punteo!L34="",0,[3]punteo!L34)</f>
        <v>100</v>
      </c>
      <c r="T33" s="14"/>
      <c r="U33" s="14">
        <f>IF([4]punteo!L34="",0,[4]punteo!L34)</f>
        <v>0</v>
      </c>
      <c r="V33" s="14"/>
      <c r="W33">
        <f t="shared" si="0"/>
        <v>1</v>
      </c>
      <c r="X33">
        <f t="shared" si="1"/>
        <v>1</v>
      </c>
      <c r="Y33">
        <v>1</v>
      </c>
    </row>
    <row r="34" spans="1:25" x14ac:dyDescent="0.35">
      <c r="C34">
        <v>30</v>
      </c>
      <c r="D34">
        <v>202530329</v>
      </c>
      <c r="E34" t="s">
        <v>32</v>
      </c>
      <c r="F34">
        <v>100</v>
      </c>
      <c r="G34">
        <v>0</v>
      </c>
      <c r="H34">
        <v>100</v>
      </c>
      <c r="I34">
        <v>0</v>
      </c>
      <c r="J34">
        <v>100</v>
      </c>
      <c r="K34">
        <v>95</v>
      </c>
      <c r="L34">
        <v>100</v>
      </c>
      <c r="M34">
        <v>100</v>
      </c>
      <c r="N34">
        <v>70</v>
      </c>
      <c r="O34">
        <v>85</v>
      </c>
      <c r="P34">
        <v>65</v>
      </c>
      <c r="Q34" s="14">
        <f>IF([1]punteo!L35="",0,[1]punteo!L35)</f>
        <v>80</v>
      </c>
      <c r="R34" s="14">
        <f>IF([2]punteo!L35="",0,[2]punteo!L35)</f>
        <v>100</v>
      </c>
      <c r="S34" s="14">
        <f>IF([3]punteo!L35="",0,[3]punteo!L35)</f>
        <v>100</v>
      </c>
      <c r="T34" s="14"/>
      <c r="U34" s="14">
        <f>IF([4]punteo!L35="",0,[4]punteo!L35)</f>
        <v>0</v>
      </c>
      <c r="V34" s="14"/>
      <c r="W34">
        <f t="shared" si="0"/>
        <v>1</v>
      </c>
      <c r="X34">
        <f t="shared" si="1"/>
        <v>1</v>
      </c>
      <c r="Y34">
        <v>0</v>
      </c>
    </row>
    <row r="35" spans="1:25" x14ac:dyDescent="0.35">
      <c r="A35" s="6">
        <v>0.27777777777777779</v>
      </c>
      <c r="B35" s="13" t="s">
        <v>87</v>
      </c>
      <c r="C35">
        <v>31</v>
      </c>
      <c r="D35">
        <v>202530349</v>
      </c>
      <c r="E35" t="s">
        <v>33</v>
      </c>
      <c r="F35">
        <v>0</v>
      </c>
      <c r="G35">
        <v>0</v>
      </c>
      <c r="H35">
        <v>100</v>
      </c>
      <c r="I35">
        <v>100</v>
      </c>
      <c r="J35">
        <v>100</v>
      </c>
      <c r="K35">
        <v>75</v>
      </c>
      <c r="L35">
        <v>100</v>
      </c>
      <c r="M35">
        <v>100</v>
      </c>
      <c r="N35">
        <v>80</v>
      </c>
      <c r="O35">
        <v>90</v>
      </c>
      <c r="P35">
        <v>60</v>
      </c>
      <c r="Q35" s="14">
        <f>IF([1]punteo!L36="",0,[1]punteo!L36)</f>
        <v>100</v>
      </c>
      <c r="R35" s="14">
        <f>IF([2]punteo!L36="",0,[2]punteo!L36)</f>
        <v>100</v>
      </c>
      <c r="S35" s="14">
        <f>IF([3]punteo!L36="",0,[3]punteo!L36)</f>
        <v>100</v>
      </c>
      <c r="T35" s="14"/>
      <c r="U35" s="14">
        <f>IF([4]punteo!L36="",0,[4]punteo!L36)</f>
        <v>0</v>
      </c>
      <c r="V35" s="14"/>
      <c r="W35">
        <f t="shared" si="0"/>
        <v>1</v>
      </c>
      <c r="X35">
        <f t="shared" si="1"/>
        <v>1</v>
      </c>
      <c r="Y35">
        <v>1</v>
      </c>
    </row>
    <row r="36" spans="1:25" x14ac:dyDescent="0.35">
      <c r="C36">
        <v>32</v>
      </c>
      <c r="D36">
        <v>202530357</v>
      </c>
      <c r="E36" t="s">
        <v>34</v>
      </c>
      <c r="F36">
        <v>100</v>
      </c>
      <c r="G36">
        <v>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80</v>
      </c>
      <c r="O36">
        <v>65</v>
      </c>
      <c r="P36">
        <v>80</v>
      </c>
      <c r="Q36" s="14">
        <f>IF([1]punteo!L37="",0,[1]punteo!L37)</f>
        <v>100</v>
      </c>
      <c r="R36" s="14">
        <f>IF([2]punteo!L37="",0,[2]punteo!L37)</f>
        <v>100</v>
      </c>
      <c r="S36" s="14">
        <f>IF([3]punteo!L37="",0,[3]punteo!L37)</f>
        <v>100</v>
      </c>
      <c r="T36" s="14"/>
      <c r="U36" s="14">
        <f>IF([4]punteo!L37="",0,[4]punteo!L37)</f>
        <v>0</v>
      </c>
      <c r="V36" s="14"/>
      <c r="W36">
        <f t="shared" si="0"/>
        <v>1</v>
      </c>
      <c r="X36">
        <f t="shared" si="1"/>
        <v>1</v>
      </c>
      <c r="Y36">
        <v>1</v>
      </c>
    </row>
    <row r="37" spans="1:25" x14ac:dyDescent="0.35">
      <c r="C37">
        <v>33</v>
      </c>
      <c r="D37">
        <v>202530381</v>
      </c>
      <c r="E37" t="s">
        <v>35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100</v>
      </c>
      <c r="L37">
        <v>100</v>
      </c>
      <c r="M37">
        <v>100</v>
      </c>
      <c r="N37">
        <v>50</v>
      </c>
      <c r="O37">
        <v>90</v>
      </c>
      <c r="P37">
        <v>45</v>
      </c>
      <c r="Q37" s="14">
        <f>IF([1]punteo!L38="",0,[1]punteo!L38)</f>
        <v>80</v>
      </c>
      <c r="R37" s="14">
        <f>IF([2]punteo!L38="",0,[2]punteo!L38)</f>
        <v>100</v>
      </c>
      <c r="S37" s="14">
        <f>IF([3]punteo!L38="",0,[3]punteo!L38)</f>
        <v>100</v>
      </c>
      <c r="T37" s="14"/>
      <c r="U37" s="14">
        <f>IF([4]punteo!L38="",0,[4]punteo!L38)</f>
        <v>100</v>
      </c>
      <c r="V37" s="14"/>
      <c r="W37">
        <f t="shared" si="0"/>
        <v>1</v>
      </c>
      <c r="X37">
        <f t="shared" si="1"/>
        <v>1</v>
      </c>
      <c r="Y37">
        <v>1</v>
      </c>
    </row>
    <row r="38" spans="1:25" x14ac:dyDescent="0.35">
      <c r="A38" s="6">
        <v>0.27777777777777779</v>
      </c>
      <c r="B38" s="13" t="s">
        <v>85</v>
      </c>
      <c r="C38">
        <v>34</v>
      </c>
      <c r="D38">
        <v>202530434</v>
      </c>
      <c r="E38" t="s">
        <v>36</v>
      </c>
      <c r="F38">
        <v>100</v>
      </c>
      <c r="G38">
        <v>0</v>
      </c>
      <c r="H38">
        <v>100</v>
      </c>
      <c r="I38">
        <v>90</v>
      </c>
      <c r="J38">
        <v>75</v>
      </c>
      <c r="K38">
        <v>55</v>
      </c>
      <c r="L38">
        <v>100</v>
      </c>
      <c r="M38">
        <v>100</v>
      </c>
      <c r="N38">
        <v>90</v>
      </c>
      <c r="O38">
        <v>75</v>
      </c>
      <c r="P38">
        <v>100</v>
      </c>
      <c r="Q38" s="14">
        <f>IF([1]punteo!L39="",0,[1]punteo!L39)</f>
        <v>95</v>
      </c>
      <c r="R38" s="14">
        <f>IF([2]punteo!L39="",0,[2]punteo!L39)</f>
        <v>100</v>
      </c>
      <c r="S38" s="14">
        <f>IF([3]punteo!L39="",0,[3]punteo!L39)</f>
        <v>100</v>
      </c>
      <c r="T38" s="14"/>
      <c r="U38" s="14">
        <f>IF([4]punteo!L39="",0,[4]punteo!L39)</f>
        <v>0</v>
      </c>
      <c r="V38" s="14"/>
      <c r="W38">
        <f t="shared" si="0"/>
        <v>1</v>
      </c>
      <c r="X38">
        <f t="shared" si="1"/>
        <v>1</v>
      </c>
      <c r="Y38">
        <v>0</v>
      </c>
    </row>
    <row r="39" spans="1:25" x14ac:dyDescent="0.35">
      <c r="A39" s="6">
        <v>0.27777777777777779</v>
      </c>
      <c r="B39" s="13" t="s">
        <v>87</v>
      </c>
      <c r="C39">
        <v>35</v>
      </c>
      <c r="D39">
        <v>202530446</v>
      </c>
      <c r="E39" t="s">
        <v>37</v>
      </c>
      <c r="F39">
        <v>100</v>
      </c>
      <c r="G39">
        <v>0</v>
      </c>
      <c r="H39">
        <v>100</v>
      </c>
      <c r="I39">
        <v>0</v>
      </c>
      <c r="J39">
        <v>100</v>
      </c>
      <c r="K39">
        <v>100</v>
      </c>
      <c r="L39">
        <v>100</v>
      </c>
      <c r="M39">
        <v>100</v>
      </c>
      <c r="N39">
        <v>50</v>
      </c>
      <c r="O39">
        <v>85</v>
      </c>
      <c r="P39">
        <v>80</v>
      </c>
      <c r="Q39" s="14">
        <f>IF([1]punteo!L40="",0,[1]punteo!L40)</f>
        <v>100</v>
      </c>
      <c r="R39" s="14">
        <f>IF([2]punteo!L40="",0,[2]punteo!L40)</f>
        <v>100</v>
      </c>
      <c r="S39" s="14">
        <f>IF([3]punteo!L40="",0,[3]punteo!L40)</f>
        <v>100</v>
      </c>
      <c r="T39" s="14"/>
      <c r="U39" s="14">
        <f>IF([4]punteo!L40="",0,[4]punteo!L40)</f>
        <v>0</v>
      </c>
      <c r="V39" s="14"/>
      <c r="W39">
        <f t="shared" si="0"/>
        <v>1</v>
      </c>
      <c r="X39">
        <f t="shared" si="1"/>
        <v>1</v>
      </c>
      <c r="Y39">
        <v>0</v>
      </c>
    </row>
    <row r="40" spans="1:25" x14ac:dyDescent="0.35">
      <c r="C40">
        <v>36</v>
      </c>
      <c r="D40">
        <v>202530522</v>
      </c>
      <c r="E40" t="s">
        <v>38</v>
      </c>
      <c r="F40">
        <v>100</v>
      </c>
      <c r="G40">
        <v>0</v>
      </c>
      <c r="H40">
        <v>100</v>
      </c>
      <c r="I40">
        <v>0</v>
      </c>
      <c r="J40">
        <v>100</v>
      </c>
      <c r="K40">
        <v>100</v>
      </c>
      <c r="L40">
        <v>100</v>
      </c>
      <c r="M40">
        <v>100</v>
      </c>
      <c r="N40">
        <v>50</v>
      </c>
      <c r="O40">
        <v>80</v>
      </c>
      <c r="P40">
        <v>80</v>
      </c>
      <c r="Q40" s="14">
        <f>IF([1]punteo!L41="",0,[1]punteo!L41)</f>
        <v>0</v>
      </c>
      <c r="R40" s="14">
        <f>IF([2]punteo!L41="",0,[2]punteo!L41)</f>
        <v>0</v>
      </c>
      <c r="S40" s="14">
        <f>IF([3]punteo!L41="",0,[3]punteo!L41)</f>
        <v>0</v>
      </c>
      <c r="T40" s="14"/>
      <c r="U40" s="14">
        <f>IF([4]punteo!L41="",0,[4]punteo!L41)</f>
        <v>0</v>
      </c>
      <c r="V40" s="14"/>
      <c r="W40">
        <f t="shared" si="0"/>
        <v>1</v>
      </c>
      <c r="X40">
        <f t="shared" si="1"/>
        <v>1</v>
      </c>
      <c r="Y40">
        <v>0</v>
      </c>
    </row>
    <row r="41" spans="1:25" x14ac:dyDescent="0.35">
      <c r="C41">
        <v>37</v>
      </c>
      <c r="D41">
        <v>202530613</v>
      </c>
      <c r="E41" t="s">
        <v>39</v>
      </c>
      <c r="F41">
        <v>0</v>
      </c>
      <c r="G41">
        <v>100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s="14">
        <f>IF([1]punteo!L42="",0,[1]punteo!L42)</f>
        <v>0</v>
      </c>
      <c r="R41" s="14">
        <f>IF([2]punteo!L42="",0,[2]punteo!L42)</f>
        <v>0</v>
      </c>
      <c r="S41" s="14">
        <f>IF([3]punteo!L42="",0,[3]punteo!L42)</f>
        <v>0</v>
      </c>
      <c r="T41" s="14"/>
      <c r="U41" s="14">
        <f>IF([4]punteo!L42="",0,[4]punteo!L42)</f>
        <v>0</v>
      </c>
      <c r="V41" s="14"/>
      <c r="W41">
        <f t="shared" si="0"/>
        <v>0</v>
      </c>
      <c r="X41">
        <f t="shared" si="1"/>
        <v>0</v>
      </c>
      <c r="Y41" s="3">
        <v>1</v>
      </c>
    </row>
    <row r="42" spans="1:25" x14ac:dyDescent="0.35">
      <c r="C42">
        <v>38</v>
      </c>
      <c r="D42">
        <v>202530621</v>
      </c>
      <c r="E42" t="s">
        <v>40</v>
      </c>
      <c r="F42">
        <v>100</v>
      </c>
      <c r="G42">
        <v>0</v>
      </c>
      <c r="H42">
        <v>100</v>
      </c>
      <c r="I42">
        <v>90</v>
      </c>
      <c r="J42">
        <v>70</v>
      </c>
      <c r="K42">
        <v>100</v>
      </c>
      <c r="L42">
        <v>100</v>
      </c>
      <c r="M42">
        <v>100</v>
      </c>
      <c r="N42">
        <v>0</v>
      </c>
      <c r="O42">
        <v>60</v>
      </c>
      <c r="P42">
        <v>65</v>
      </c>
      <c r="Q42" s="14">
        <f>IF([1]punteo!L43="",0,[1]punteo!L43)</f>
        <v>80</v>
      </c>
      <c r="R42" s="14">
        <f>IF([2]punteo!L43="",0,[2]punteo!L43)</f>
        <v>100</v>
      </c>
      <c r="S42" s="14">
        <f>IF([3]punteo!L43="",0,[3]punteo!L43)</f>
        <v>100</v>
      </c>
      <c r="T42" s="14"/>
      <c r="U42" s="14">
        <f>IF([4]punteo!L43="",0,[4]punteo!L43)</f>
        <v>0</v>
      </c>
      <c r="V42" s="14"/>
      <c r="W42">
        <f t="shared" si="0"/>
        <v>1</v>
      </c>
      <c r="X42">
        <f t="shared" si="1"/>
        <v>1</v>
      </c>
      <c r="Y42">
        <v>0</v>
      </c>
    </row>
    <row r="43" spans="1:25" x14ac:dyDescent="0.35">
      <c r="A43" s="6">
        <v>0.27777777777777779</v>
      </c>
      <c r="B43" s="13" t="s">
        <v>85</v>
      </c>
      <c r="C43">
        <v>39</v>
      </c>
      <c r="D43">
        <v>202530673</v>
      </c>
      <c r="E43" t="s">
        <v>41</v>
      </c>
      <c r="F43">
        <v>0</v>
      </c>
      <c r="G43">
        <v>0</v>
      </c>
      <c r="H43">
        <v>0</v>
      </c>
      <c r="I43">
        <v>100</v>
      </c>
      <c r="J43">
        <v>0</v>
      </c>
      <c r="K43">
        <v>0</v>
      </c>
      <c r="L43">
        <v>100</v>
      </c>
      <c r="M43">
        <v>100</v>
      </c>
      <c r="N43">
        <v>70</v>
      </c>
      <c r="O43">
        <v>95</v>
      </c>
      <c r="P43">
        <v>0</v>
      </c>
      <c r="Q43" s="14">
        <f>IF([1]punteo!L44="",0,[1]punteo!L44)</f>
        <v>0</v>
      </c>
      <c r="R43" s="14">
        <f>IF([2]punteo!L44="",0,[2]punteo!L44)</f>
        <v>0</v>
      </c>
      <c r="S43" s="14">
        <f>IF([3]punteo!L44="",0,[3]punteo!L44)</f>
        <v>100</v>
      </c>
      <c r="T43" s="14"/>
      <c r="U43" s="14">
        <f>IF([4]punteo!L44="",0,[4]punteo!L44)</f>
        <v>0</v>
      </c>
      <c r="V43" s="14"/>
      <c r="W43">
        <f t="shared" si="0"/>
        <v>1</v>
      </c>
      <c r="X43">
        <f t="shared" si="1"/>
        <v>0</v>
      </c>
      <c r="Y43">
        <v>0</v>
      </c>
    </row>
    <row r="44" spans="1:25" x14ac:dyDescent="0.35">
      <c r="C44">
        <v>40</v>
      </c>
      <c r="D44">
        <v>202530674</v>
      </c>
      <c r="E44" t="s">
        <v>42</v>
      </c>
      <c r="F44">
        <v>0</v>
      </c>
      <c r="G44">
        <v>0</v>
      </c>
      <c r="H44">
        <v>50</v>
      </c>
      <c r="I44">
        <v>0</v>
      </c>
      <c r="J44">
        <v>100</v>
      </c>
      <c r="K44">
        <v>100</v>
      </c>
      <c r="L44">
        <v>90</v>
      </c>
      <c r="M44">
        <v>100</v>
      </c>
      <c r="N44">
        <v>50</v>
      </c>
      <c r="O44">
        <v>85</v>
      </c>
      <c r="P44">
        <v>70</v>
      </c>
      <c r="Q44" s="14">
        <f>IF([1]punteo!L45="",0,[1]punteo!L45)</f>
        <v>0</v>
      </c>
      <c r="R44" s="14">
        <f>IF([2]punteo!L45="",0,[2]punteo!L45)</f>
        <v>0</v>
      </c>
      <c r="S44" s="14">
        <f>IF([3]punteo!L45="",0,[3]punteo!L45)</f>
        <v>0</v>
      </c>
      <c r="T44" s="14"/>
      <c r="U44" s="14">
        <f>IF([4]punteo!L45="",0,[4]punteo!L45)</f>
        <v>0</v>
      </c>
      <c r="V44" s="14"/>
      <c r="W44">
        <f t="shared" si="0"/>
        <v>1</v>
      </c>
      <c r="X44">
        <f t="shared" si="1"/>
        <v>1</v>
      </c>
      <c r="Y44">
        <v>0</v>
      </c>
    </row>
    <row r="45" spans="1:25" x14ac:dyDescent="0.35">
      <c r="C45">
        <v>41</v>
      </c>
      <c r="D45">
        <v>202530677</v>
      </c>
      <c r="E45" t="s">
        <v>43</v>
      </c>
      <c r="F45">
        <v>100</v>
      </c>
      <c r="G45">
        <v>0</v>
      </c>
      <c r="H45">
        <v>100</v>
      </c>
      <c r="I45">
        <v>0</v>
      </c>
      <c r="J45">
        <v>100</v>
      </c>
      <c r="K45">
        <v>0</v>
      </c>
      <c r="L45">
        <v>100</v>
      </c>
      <c r="M45">
        <v>0</v>
      </c>
      <c r="N45">
        <v>0</v>
      </c>
      <c r="O45">
        <v>0</v>
      </c>
      <c r="P45">
        <v>0</v>
      </c>
      <c r="Q45" s="14">
        <f>IF([1]punteo!L46="",0,[1]punteo!L46)</f>
        <v>0</v>
      </c>
      <c r="R45" s="14">
        <f>IF([2]punteo!L46="",0,[2]punteo!L46)</f>
        <v>0</v>
      </c>
      <c r="S45" s="14">
        <f>IF([3]punteo!L46="",0,[3]punteo!L46)</f>
        <v>0</v>
      </c>
      <c r="T45" s="14"/>
      <c r="U45" s="14">
        <f>IF([4]punteo!L46="",0,[4]punteo!L46)</f>
        <v>0</v>
      </c>
      <c r="V45" s="14"/>
      <c r="W45">
        <f t="shared" si="0"/>
        <v>0</v>
      </c>
      <c r="X45">
        <f t="shared" si="1"/>
        <v>0</v>
      </c>
      <c r="Y45">
        <v>0</v>
      </c>
    </row>
    <row r="46" spans="1:25" x14ac:dyDescent="0.35">
      <c r="A46" s="6">
        <v>0.27777777777777779</v>
      </c>
      <c r="B46" s="13" t="s">
        <v>85</v>
      </c>
      <c r="C46">
        <v>42</v>
      </c>
      <c r="D46">
        <v>202530728</v>
      </c>
      <c r="E46" t="s">
        <v>44</v>
      </c>
      <c r="F46">
        <v>100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100</v>
      </c>
      <c r="N46">
        <v>70</v>
      </c>
      <c r="O46">
        <v>85</v>
      </c>
      <c r="P46">
        <v>50</v>
      </c>
      <c r="Q46" s="14">
        <f>IF([1]punteo!L47="",0,[1]punteo!L47)</f>
        <v>80</v>
      </c>
      <c r="R46" s="14">
        <f>IF([2]punteo!L47="",0,[2]punteo!L47)</f>
        <v>100</v>
      </c>
      <c r="S46" s="14">
        <f>IF([3]punteo!L47="",0,[3]punteo!L47)</f>
        <v>100</v>
      </c>
      <c r="T46" s="14"/>
      <c r="U46" s="14">
        <f>IF([4]punteo!L47="",0,[4]punteo!L47)</f>
        <v>0</v>
      </c>
      <c r="V46" s="14"/>
      <c r="W46">
        <f t="shared" si="0"/>
        <v>1</v>
      </c>
      <c r="X46">
        <f t="shared" si="1"/>
        <v>1</v>
      </c>
      <c r="Y46">
        <v>0</v>
      </c>
    </row>
    <row r="47" spans="1:25" x14ac:dyDescent="0.35">
      <c r="A47" s="6">
        <v>0.27777777777777779</v>
      </c>
      <c r="B47" s="13" t="s">
        <v>85</v>
      </c>
      <c r="C47">
        <v>43</v>
      </c>
      <c r="D47">
        <v>202530843</v>
      </c>
      <c r="E47" t="s">
        <v>45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100</v>
      </c>
      <c r="N47">
        <v>70</v>
      </c>
      <c r="O47">
        <v>85</v>
      </c>
      <c r="P47">
        <v>85</v>
      </c>
      <c r="Q47" s="14">
        <f>IF([1]punteo!L48="",0,[1]punteo!L48)</f>
        <v>80</v>
      </c>
      <c r="R47" s="14">
        <f>IF([2]punteo!L48="",0,[2]punteo!L48)</f>
        <v>100</v>
      </c>
      <c r="S47" s="14">
        <f>IF([3]punteo!L48="",0,[3]punteo!L48)</f>
        <v>100</v>
      </c>
      <c r="T47" s="14"/>
      <c r="U47" s="14">
        <f>IF([4]punteo!L48="",0,[4]punteo!L48)</f>
        <v>0</v>
      </c>
      <c r="V47" s="14"/>
      <c r="W47">
        <f t="shared" si="0"/>
        <v>1</v>
      </c>
      <c r="X47">
        <f t="shared" si="1"/>
        <v>1</v>
      </c>
      <c r="Y47" s="3">
        <v>1</v>
      </c>
    </row>
    <row r="48" spans="1:25" x14ac:dyDescent="0.35">
      <c r="C48">
        <v>44</v>
      </c>
      <c r="D48">
        <v>202530866</v>
      </c>
      <c r="E48" t="s">
        <v>46</v>
      </c>
      <c r="F48">
        <v>100</v>
      </c>
      <c r="G48">
        <v>0</v>
      </c>
      <c r="H48">
        <v>100</v>
      </c>
      <c r="I48">
        <v>90</v>
      </c>
      <c r="J48">
        <v>100</v>
      </c>
      <c r="K48">
        <v>100</v>
      </c>
      <c r="L48">
        <v>90</v>
      </c>
      <c r="M48">
        <v>100</v>
      </c>
      <c r="N48">
        <v>50</v>
      </c>
      <c r="O48">
        <v>85</v>
      </c>
      <c r="P48">
        <v>55</v>
      </c>
      <c r="Q48" s="14">
        <f>IF([1]punteo!L49="",0,[1]punteo!L49)</f>
        <v>100</v>
      </c>
      <c r="R48" s="14">
        <f>IF([2]punteo!L49="",0,[2]punteo!L49)</f>
        <v>100</v>
      </c>
      <c r="S48" s="14">
        <f>IF([3]punteo!L49="",0,[3]punteo!L49)</f>
        <v>100</v>
      </c>
      <c r="T48" s="14"/>
      <c r="U48" s="14">
        <f>IF([4]punteo!L49="",0,[4]punteo!L49)</f>
        <v>0</v>
      </c>
      <c r="V48" s="14"/>
      <c r="W48">
        <f t="shared" si="0"/>
        <v>1</v>
      </c>
      <c r="X48">
        <f t="shared" si="1"/>
        <v>1</v>
      </c>
      <c r="Y48">
        <v>1</v>
      </c>
    </row>
    <row r="49" spans="1:25" x14ac:dyDescent="0.35">
      <c r="A49" s="6">
        <v>0.27777777777777779</v>
      </c>
      <c r="B49" s="13" t="s">
        <v>85</v>
      </c>
      <c r="C49">
        <v>45</v>
      </c>
      <c r="D49">
        <v>202530917</v>
      </c>
      <c r="E49" t="s">
        <v>47</v>
      </c>
      <c r="F49">
        <v>0</v>
      </c>
      <c r="G49">
        <v>0</v>
      </c>
      <c r="H49">
        <v>50</v>
      </c>
      <c r="I49">
        <v>100</v>
      </c>
      <c r="J49">
        <v>75</v>
      </c>
      <c r="K49">
        <v>0</v>
      </c>
      <c r="L49">
        <v>100</v>
      </c>
      <c r="M49">
        <v>100</v>
      </c>
      <c r="N49">
        <v>90</v>
      </c>
      <c r="O49">
        <v>95</v>
      </c>
      <c r="P49">
        <v>65</v>
      </c>
      <c r="Q49" s="14">
        <f>IF([1]punteo!L50="",0,[1]punteo!L50)</f>
        <v>100</v>
      </c>
      <c r="R49" s="14">
        <f>IF([2]punteo!L50="",0,[2]punteo!L50)</f>
        <v>100</v>
      </c>
      <c r="S49" s="14">
        <f>IF([3]punteo!L50="",0,[3]punteo!L50)</f>
        <v>100</v>
      </c>
      <c r="T49" s="14"/>
      <c r="U49" s="14">
        <f>IF([4]punteo!L50="",0,[4]punteo!L50)</f>
        <v>0</v>
      </c>
      <c r="V49" s="14"/>
      <c r="W49">
        <f t="shared" si="0"/>
        <v>1</v>
      </c>
      <c r="X49">
        <f t="shared" si="1"/>
        <v>1</v>
      </c>
      <c r="Y49">
        <v>1</v>
      </c>
    </row>
    <row r="50" spans="1:25" x14ac:dyDescent="0.35">
      <c r="C50">
        <v>46</v>
      </c>
      <c r="D50">
        <v>202531013</v>
      </c>
      <c r="E50" t="s">
        <v>48</v>
      </c>
      <c r="F50">
        <v>100</v>
      </c>
      <c r="G50">
        <v>0</v>
      </c>
      <c r="H50">
        <v>100</v>
      </c>
      <c r="I50">
        <v>90</v>
      </c>
      <c r="J50">
        <v>100</v>
      </c>
      <c r="K50">
        <v>75</v>
      </c>
      <c r="L50">
        <v>100</v>
      </c>
      <c r="M50">
        <v>100</v>
      </c>
      <c r="N50">
        <v>100</v>
      </c>
      <c r="O50">
        <v>90</v>
      </c>
      <c r="P50">
        <v>70</v>
      </c>
      <c r="Q50" s="14">
        <f>IF([1]punteo!L51="",0,[1]punteo!L51)</f>
        <v>100</v>
      </c>
      <c r="R50" s="14">
        <f>IF([2]punteo!L51="",0,[2]punteo!L51)</f>
        <v>100</v>
      </c>
      <c r="S50" s="14">
        <f>IF([3]punteo!L51="",0,[3]punteo!L51)</f>
        <v>100</v>
      </c>
      <c r="T50" s="14"/>
      <c r="U50" s="14">
        <f>IF([4]punteo!L51="",0,[4]punteo!L51)</f>
        <v>0</v>
      </c>
      <c r="V50" s="14"/>
      <c r="W50">
        <f t="shared" si="0"/>
        <v>1</v>
      </c>
      <c r="X50">
        <f t="shared" si="1"/>
        <v>1</v>
      </c>
      <c r="Y50">
        <v>1</v>
      </c>
    </row>
    <row r="51" spans="1:25" x14ac:dyDescent="0.35">
      <c r="C51">
        <v>47</v>
      </c>
      <c r="D51">
        <v>202531019</v>
      </c>
      <c r="E51" t="s">
        <v>49</v>
      </c>
      <c r="F51">
        <v>0</v>
      </c>
      <c r="G51">
        <v>0</v>
      </c>
      <c r="H51">
        <v>100</v>
      </c>
      <c r="I51">
        <v>90</v>
      </c>
      <c r="J51">
        <v>100</v>
      </c>
      <c r="K51">
        <v>55</v>
      </c>
      <c r="L51">
        <v>100</v>
      </c>
      <c r="M51">
        <v>100</v>
      </c>
      <c r="N51">
        <v>95</v>
      </c>
      <c r="O51">
        <v>0</v>
      </c>
      <c r="P51">
        <v>55</v>
      </c>
      <c r="Q51" s="14">
        <f>IF([1]punteo!L52="",0,[1]punteo!L52)</f>
        <v>100</v>
      </c>
      <c r="R51" s="14">
        <f>IF([2]punteo!L52="",0,[2]punteo!L52)</f>
        <v>100</v>
      </c>
      <c r="S51" s="14">
        <f>IF([3]punteo!L52="",0,[3]punteo!L52)</f>
        <v>100</v>
      </c>
      <c r="T51" s="14"/>
      <c r="U51" s="14">
        <f>IF([4]punteo!L52="",0,[4]punteo!L52)</f>
        <v>100</v>
      </c>
      <c r="V51" s="14"/>
      <c r="W51">
        <f t="shared" si="0"/>
        <v>0</v>
      </c>
      <c r="X51">
        <f t="shared" si="1"/>
        <v>1</v>
      </c>
      <c r="Y51">
        <v>0</v>
      </c>
    </row>
    <row r="52" spans="1:25" x14ac:dyDescent="0.35">
      <c r="C52">
        <v>48</v>
      </c>
      <c r="D52">
        <v>202531089</v>
      </c>
      <c r="E52" t="s">
        <v>50</v>
      </c>
      <c r="F52">
        <v>100</v>
      </c>
      <c r="G52">
        <v>0</v>
      </c>
      <c r="H52">
        <v>100</v>
      </c>
      <c r="I52">
        <v>90</v>
      </c>
      <c r="J52">
        <v>70</v>
      </c>
      <c r="K52">
        <v>100</v>
      </c>
      <c r="L52">
        <v>90</v>
      </c>
      <c r="M52">
        <v>100</v>
      </c>
      <c r="N52">
        <v>50</v>
      </c>
      <c r="O52">
        <v>85</v>
      </c>
      <c r="P52">
        <v>55</v>
      </c>
      <c r="Q52" s="14">
        <f>IF([1]punteo!L53="",0,[1]punteo!L53)</f>
        <v>100</v>
      </c>
      <c r="R52" s="14">
        <f>IF([2]punteo!L53="",0,[2]punteo!L53)</f>
        <v>100</v>
      </c>
      <c r="S52" s="14">
        <f>IF([3]punteo!L53="",0,[3]punteo!L53)</f>
        <v>100</v>
      </c>
      <c r="T52" s="14"/>
      <c r="U52" s="14">
        <f>IF([4]punteo!L53="",0,[4]punteo!L53)</f>
        <v>0</v>
      </c>
      <c r="V52" s="14"/>
      <c r="W52">
        <f t="shared" si="0"/>
        <v>1</v>
      </c>
      <c r="X52">
        <f t="shared" si="1"/>
        <v>1</v>
      </c>
      <c r="Y52" s="3">
        <v>1</v>
      </c>
    </row>
    <row r="53" spans="1:25" x14ac:dyDescent="0.35">
      <c r="C53">
        <v>49</v>
      </c>
      <c r="D53">
        <v>202531127</v>
      </c>
      <c r="E53" t="s">
        <v>51</v>
      </c>
      <c r="F53">
        <v>0</v>
      </c>
      <c r="G53">
        <v>0</v>
      </c>
      <c r="H53">
        <v>100</v>
      </c>
      <c r="I53">
        <v>0</v>
      </c>
      <c r="J53">
        <v>0</v>
      </c>
      <c r="K53">
        <v>0</v>
      </c>
      <c r="L53">
        <v>0</v>
      </c>
      <c r="M53">
        <v>100</v>
      </c>
      <c r="N53">
        <v>70</v>
      </c>
      <c r="O53">
        <v>85</v>
      </c>
      <c r="P53">
        <v>85</v>
      </c>
      <c r="Q53" s="14">
        <f>IF([1]punteo!L54="",0,[1]punteo!L54)</f>
        <v>80</v>
      </c>
      <c r="R53" s="14">
        <f>IF([2]punteo!L54="",0,[2]punteo!L54)</f>
        <v>100</v>
      </c>
      <c r="S53" s="14">
        <f>IF([3]punteo!L54="",0,[3]punteo!L54)</f>
        <v>100</v>
      </c>
      <c r="T53" s="14"/>
      <c r="U53" s="14">
        <f>IF([4]punteo!L54="",0,[4]punteo!L54)</f>
        <v>0</v>
      </c>
      <c r="V53" s="14"/>
      <c r="W53">
        <f t="shared" si="0"/>
        <v>1</v>
      </c>
      <c r="X53">
        <f t="shared" si="1"/>
        <v>1</v>
      </c>
      <c r="Y53">
        <v>1</v>
      </c>
    </row>
    <row r="54" spans="1:25" x14ac:dyDescent="0.35">
      <c r="C54">
        <v>50</v>
      </c>
      <c r="D54">
        <v>202531213</v>
      </c>
      <c r="E54" t="s">
        <v>52</v>
      </c>
      <c r="F54">
        <v>100</v>
      </c>
      <c r="G54">
        <v>100</v>
      </c>
      <c r="H54">
        <v>100</v>
      </c>
      <c r="I54">
        <v>90</v>
      </c>
      <c r="J54">
        <v>100</v>
      </c>
      <c r="K54">
        <v>90</v>
      </c>
      <c r="L54">
        <v>100</v>
      </c>
      <c r="M54">
        <v>100</v>
      </c>
      <c r="N54">
        <v>80</v>
      </c>
      <c r="O54">
        <v>100</v>
      </c>
      <c r="P54">
        <v>100</v>
      </c>
      <c r="Q54" s="14">
        <f>IF([1]punteo!L55="",0,[1]punteo!L55)</f>
        <v>90</v>
      </c>
      <c r="R54" s="14">
        <f>IF([2]punteo!L55="",0,[2]punteo!L55)</f>
        <v>100</v>
      </c>
      <c r="S54" s="14">
        <f>IF([3]punteo!L55="",0,[3]punteo!L55)</f>
        <v>100</v>
      </c>
      <c r="T54" s="14"/>
      <c r="U54" s="14">
        <f>IF([4]punteo!L55="",0,[4]punteo!L55)</f>
        <v>0</v>
      </c>
      <c r="V54" s="14"/>
      <c r="W54">
        <f t="shared" si="0"/>
        <v>1</v>
      </c>
      <c r="X54">
        <f t="shared" si="1"/>
        <v>1</v>
      </c>
      <c r="Y54">
        <v>0</v>
      </c>
    </row>
    <row r="55" spans="1:25" x14ac:dyDescent="0.35">
      <c r="C55">
        <v>51</v>
      </c>
      <c r="D55">
        <v>202531219</v>
      </c>
      <c r="E55" t="s">
        <v>53</v>
      </c>
      <c r="F55">
        <v>0</v>
      </c>
      <c r="G55">
        <v>0</v>
      </c>
      <c r="H55">
        <v>100</v>
      </c>
      <c r="I55">
        <v>100</v>
      </c>
      <c r="J55">
        <v>0</v>
      </c>
      <c r="K55">
        <v>0</v>
      </c>
      <c r="L55">
        <v>100</v>
      </c>
      <c r="M55">
        <v>80</v>
      </c>
      <c r="N55">
        <v>70</v>
      </c>
      <c r="O55">
        <v>45</v>
      </c>
      <c r="P55">
        <v>0</v>
      </c>
      <c r="Q55" s="14">
        <f>IF([1]punteo!L56="",0,[1]punteo!L56)</f>
        <v>80</v>
      </c>
      <c r="R55" s="14">
        <f>IF([2]punteo!L56="",0,[2]punteo!L56)</f>
        <v>100</v>
      </c>
      <c r="S55" s="14">
        <f>IF([3]punteo!L56="",0,[3]punteo!L56)</f>
        <v>100</v>
      </c>
      <c r="T55" s="14"/>
      <c r="U55" s="14">
        <f>IF([4]punteo!L56="",0,[4]punteo!L56)</f>
        <v>0</v>
      </c>
      <c r="V55" s="14"/>
      <c r="W55">
        <f t="shared" si="0"/>
        <v>1</v>
      </c>
      <c r="X55">
        <f t="shared" si="1"/>
        <v>0</v>
      </c>
      <c r="Y55">
        <v>1</v>
      </c>
    </row>
    <row r="56" spans="1:25" x14ac:dyDescent="0.35">
      <c r="C56">
        <v>52</v>
      </c>
      <c r="D56">
        <v>202531289</v>
      </c>
      <c r="E56" t="s">
        <v>54</v>
      </c>
      <c r="F56">
        <v>100</v>
      </c>
      <c r="G56">
        <v>0</v>
      </c>
      <c r="H56">
        <v>100</v>
      </c>
      <c r="I56">
        <v>100</v>
      </c>
      <c r="J56">
        <v>85</v>
      </c>
      <c r="K56">
        <v>100</v>
      </c>
      <c r="L56">
        <v>100</v>
      </c>
      <c r="M56">
        <v>100</v>
      </c>
      <c r="N56">
        <v>100</v>
      </c>
      <c r="O56">
        <v>95</v>
      </c>
      <c r="P56">
        <v>85</v>
      </c>
      <c r="Q56" s="14">
        <f>IF([1]punteo!L57="",0,[1]punteo!L57)</f>
        <v>95</v>
      </c>
      <c r="R56" s="14">
        <f>IF([2]punteo!L57="",0,[2]punteo!L57)</f>
        <v>0</v>
      </c>
      <c r="S56" s="14">
        <f>IF([3]punteo!L57="",0,[3]punteo!L57)</f>
        <v>100</v>
      </c>
      <c r="T56" s="14"/>
      <c r="U56" s="14">
        <f>IF([4]punteo!L57="",0,[4]punteo!L57)</f>
        <v>100</v>
      </c>
      <c r="V56" s="14"/>
      <c r="W56">
        <f t="shared" si="0"/>
        <v>1</v>
      </c>
      <c r="X56">
        <f t="shared" si="1"/>
        <v>1</v>
      </c>
      <c r="Y56">
        <v>1</v>
      </c>
    </row>
    <row r="57" spans="1:25" x14ac:dyDescent="0.35">
      <c r="A57" s="6">
        <v>0.27777777777777779</v>
      </c>
      <c r="B57" s="13" t="s">
        <v>85</v>
      </c>
      <c r="C57">
        <v>53</v>
      </c>
      <c r="D57">
        <v>202531319</v>
      </c>
      <c r="E57" t="s">
        <v>55</v>
      </c>
      <c r="F57">
        <v>100</v>
      </c>
      <c r="G57">
        <v>0</v>
      </c>
      <c r="H57">
        <v>50</v>
      </c>
      <c r="I57">
        <v>100</v>
      </c>
      <c r="J57">
        <v>75</v>
      </c>
      <c r="K57">
        <v>0</v>
      </c>
      <c r="L57">
        <v>100</v>
      </c>
      <c r="M57">
        <v>100</v>
      </c>
      <c r="N57">
        <v>50</v>
      </c>
      <c r="O57">
        <v>0</v>
      </c>
      <c r="P57">
        <v>50</v>
      </c>
      <c r="Q57" s="14">
        <f>IF([1]punteo!L58="",0,[1]punteo!L58)</f>
        <v>100</v>
      </c>
      <c r="R57" s="14">
        <f>IF([2]punteo!L58="",0,[2]punteo!L58)</f>
        <v>100</v>
      </c>
      <c r="S57" s="14">
        <f>IF([3]punteo!L58="",0,[3]punteo!L58)</f>
        <v>100</v>
      </c>
      <c r="T57" s="14"/>
      <c r="U57" s="14">
        <f>IF([4]punteo!L58="",0,[4]punteo!L58)</f>
        <v>0</v>
      </c>
      <c r="V57" s="14"/>
      <c r="W57">
        <f t="shared" si="0"/>
        <v>0</v>
      </c>
      <c r="X57">
        <f t="shared" si="1"/>
        <v>1</v>
      </c>
      <c r="Y57">
        <v>1</v>
      </c>
    </row>
    <row r="58" spans="1:25" x14ac:dyDescent="0.35">
      <c r="A58" s="6">
        <v>0.27777777777777779</v>
      </c>
      <c r="B58" s="13" t="s">
        <v>85</v>
      </c>
      <c r="C58">
        <v>54</v>
      </c>
      <c r="D58">
        <v>202531351</v>
      </c>
      <c r="E58" t="s">
        <v>56</v>
      </c>
      <c r="F58">
        <v>100</v>
      </c>
      <c r="G58">
        <v>100</v>
      </c>
      <c r="H58">
        <v>100</v>
      </c>
      <c r="I58">
        <v>90</v>
      </c>
      <c r="J58">
        <v>100</v>
      </c>
      <c r="K58">
        <v>100</v>
      </c>
      <c r="L58">
        <v>100</v>
      </c>
      <c r="M58">
        <v>100</v>
      </c>
      <c r="N58">
        <v>80</v>
      </c>
      <c r="O58">
        <v>90</v>
      </c>
      <c r="P58">
        <v>100</v>
      </c>
      <c r="Q58" s="14">
        <f>IF([1]punteo!L59="",0,[1]punteo!L59)</f>
        <v>90</v>
      </c>
      <c r="R58" s="14">
        <f>IF([2]punteo!L59="",0,[2]punteo!L59)</f>
        <v>100</v>
      </c>
      <c r="S58" s="14">
        <f>IF([3]punteo!L59="",0,[3]punteo!L59)</f>
        <v>100</v>
      </c>
      <c r="T58" s="14"/>
      <c r="U58" s="14">
        <f>IF([4]punteo!L59="",0,[4]punteo!L59)</f>
        <v>0</v>
      </c>
      <c r="V58" s="14"/>
      <c r="W58">
        <f t="shared" si="0"/>
        <v>1</v>
      </c>
      <c r="X58">
        <f t="shared" si="1"/>
        <v>1</v>
      </c>
      <c r="Y58">
        <v>1</v>
      </c>
    </row>
    <row r="59" spans="1:25" x14ac:dyDescent="0.35">
      <c r="A59" s="6">
        <v>0.27777777777777779</v>
      </c>
      <c r="B59" s="13" t="s">
        <v>85</v>
      </c>
      <c r="C59">
        <v>55</v>
      </c>
      <c r="D59">
        <v>202531352</v>
      </c>
      <c r="E59" t="s">
        <v>57</v>
      </c>
      <c r="F59">
        <v>100</v>
      </c>
      <c r="G59">
        <v>0</v>
      </c>
      <c r="H59">
        <v>100</v>
      </c>
      <c r="I59">
        <v>100</v>
      </c>
      <c r="J59">
        <v>100</v>
      </c>
      <c r="K59">
        <v>100</v>
      </c>
      <c r="L59">
        <v>100</v>
      </c>
      <c r="M59">
        <v>100</v>
      </c>
      <c r="N59">
        <v>70</v>
      </c>
      <c r="O59">
        <v>0</v>
      </c>
      <c r="P59">
        <v>75</v>
      </c>
      <c r="Q59" s="14">
        <f>IF([1]punteo!L60="",0,[1]punteo!L60)</f>
        <v>80</v>
      </c>
      <c r="R59" s="14">
        <f>IF([2]punteo!L60="",0,[2]punteo!L60)</f>
        <v>0</v>
      </c>
      <c r="S59" s="14">
        <f>IF([3]punteo!L60="",0,[3]punteo!L60)</f>
        <v>100</v>
      </c>
      <c r="T59" s="14"/>
      <c r="U59" s="14">
        <f>IF([4]punteo!L60="",0,[4]punteo!L60)</f>
        <v>0</v>
      </c>
      <c r="V59" s="14"/>
      <c r="W59">
        <f t="shared" si="0"/>
        <v>0</v>
      </c>
      <c r="X59">
        <f t="shared" si="1"/>
        <v>1</v>
      </c>
      <c r="Y59">
        <v>1</v>
      </c>
    </row>
    <row r="60" spans="1:25" x14ac:dyDescent="0.35">
      <c r="C60">
        <v>56</v>
      </c>
      <c r="D60">
        <v>202531384</v>
      </c>
      <c r="E60" t="s">
        <v>58</v>
      </c>
      <c r="F60">
        <v>100</v>
      </c>
      <c r="G60">
        <v>100</v>
      </c>
      <c r="H60">
        <v>50</v>
      </c>
      <c r="I60">
        <v>90</v>
      </c>
      <c r="J60">
        <v>100</v>
      </c>
      <c r="K60">
        <v>100</v>
      </c>
      <c r="L60">
        <v>100</v>
      </c>
      <c r="M60">
        <v>100</v>
      </c>
      <c r="N60">
        <v>70</v>
      </c>
      <c r="O60">
        <v>100</v>
      </c>
      <c r="P60">
        <v>90</v>
      </c>
      <c r="Q60" s="14">
        <f>IF([1]punteo!L61="",0,[1]punteo!L61)</f>
        <v>80</v>
      </c>
      <c r="R60" s="14">
        <f>IF([2]punteo!L61="",0,[2]punteo!L61)</f>
        <v>100</v>
      </c>
      <c r="S60" s="14">
        <f>IF([3]punteo!L61="",0,[3]punteo!L61)</f>
        <v>100</v>
      </c>
      <c r="T60" s="14"/>
      <c r="U60" s="14">
        <f>IF([4]punteo!L61="",0,[4]punteo!L61)</f>
        <v>100</v>
      </c>
      <c r="V60" s="14"/>
      <c r="W60">
        <f t="shared" si="0"/>
        <v>1</v>
      </c>
      <c r="X60">
        <f t="shared" si="1"/>
        <v>1</v>
      </c>
      <c r="Y60">
        <v>0</v>
      </c>
    </row>
    <row r="61" spans="1:25" x14ac:dyDescent="0.35">
      <c r="C61">
        <v>57</v>
      </c>
      <c r="D61">
        <v>202531399</v>
      </c>
      <c r="E61" t="s">
        <v>59</v>
      </c>
      <c r="F61">
        <v>0</v>
      </c>
      <c r="G61">
        <v>0</v>
      </c>
      <c r="H61">
        <v>50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s="14">
        <f>IF([1]punteo!L62="",0,[1]punteo!L62)</f>
        <v>0</v>
      </c>
      <c r="R61" s="14">
        <f>IF([2]punteo!L62="",0,[2]punteo!L62)</f>
        <v>0</v>
      </c>
      <c r="S61" s="14">
        <f>IF([3]punteo!L62="",0,[3]punteo!L62)</f>
        <v>0</v>
      </c>
      <c r="T61" s="14"/>
      <c r="U61" s="14">
        <f>IF([4]punteo!L62="",0,[4]punteo!L62)</f>
        <v>0</v>
      </c>
      <c r="V61" s="14"/>
      <c r="W61">
        <f t="shared" si="0"/>
        <v>0</v>
      </c>
      <c r="X61">
        <f t="shared" si="1"/>
        <v>0</v>
      </c>
      <c r="Y61">
        <v>0</v>
      </c>
    </row>
    <row r="62" spans="1:25" x14ac:dyDescent="0.35">
      <c r="C62">
        <v>58</v>
      </c>
      <c r="D62">
        <v>202531441</v>
      </c>
      <c r="E62" t="s">
        <v>60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s="14">
        <f>IF([1]punteo!L63="",0,[1]punteo!L63)</f>
        <v>0</v>
      </c>
      <c r="R62" s="14">
        <f>IF([2]punteo!L63="",0,[2]punteo!L63)</f>
        <v>0</v>
      </c>
      <c r="S62" s="14">
        <f>IF([3]punteo!L63="",0,[3]punteo!L63)</f>
        <v>0</v>
      </c>
      <c r="T62" s="14"/>
      <c r="U62" s="14">
        <f>IF([4]punteo!L63="",0,[4]punteo!L63)</f>
        <v>0</v>
      </c>
      <c r="V62" s="14"/>
      <c r="W62">
        <f t="shared" si="0"/>
        <v>0</v>
      </c>
      <c r="X62">
        <f t="shared" si="1"/>
        <v>0</v>
      </c>
      <c r="Y62">
        <v>1</v>
      </c>
    </row>
    <row r="63" spans="1:25" x14ac:dyDescent="0.35">
      <c r="C63">
        <v>59</v>
      </c>
      <c r="D63">
        <v>202531444</v>
      </c>
      <c r="E63" t="s">
        <v>61</v>
      </c>
      <c r="F63">
        <v>100</v>
      </c>
      <c r="G63">
        <v>0</v>
      </c>
      <c r="H63">
        <v>100</v>
      </c>
      <c r="I63">
        <v>90</v>
      </c>
      <c r="J63">
        <v>100</v>
      </c>
      <c r="K63">
        <v>95</v>
      </c>
      <c r="L63">
        <v>100</v>
      </c>
      <c r="M63">
        <v>100</v>
      </c>
      <c r="N63">
        <v>50</v>
      </c>
      <c r="O63">
        <v>0</v>
      </c>
      <c r="P63">
        <v>65</v>
      </c>
      <c r="Q63" s="14">
        <f>IF([1]punteo!L64="",0,[1]punteo!L64)</f>
        <v>100</v>
      </c>
      <c r="R63" s="14">
        <f>IF([2]punteo!L64="",0,[2]punteo!L64)</f>
        <v>100</v>
      </c>
      <c r="S63" s="14">
        <f>IF([3]punteo!L64="",0,[3]punteo!L64)</f>
        <v>100</v>
      </c>
      <c r="T63" s="14"/>
      <c r="U63" s="14">
        <f>IF([4]punteo!L64="",0,[4]punteo!L64)</f>
        <v>0</v>
      </c>
      <c r="V63" s="14"/>
      <c r="W63">
        <f t="shared" si="0"/>
        <v>0</v>
      </c>
      <c r="X63">
        <f t="shared" si="1"/>
        <v>1</v>
      </c>
      <c r="Y63">
        <v>1</v>
      </c>
    </row>
    <row r="64" spans="1:25" x14ac:dyDescent="0.35">
      <c r="C64">
        <v>60</v>
      </c>
      <c r="D64">
        <v>202531566</v>
      </c>
      <c r="E64" t="s">
        <v>62</v>
      </c>
      <c r="F64">
        <v>100</v>
      </c>
      <c r="G64">
        <v>0</v>
      </c>
      <c r="H64">
        <v>100</v>
      </c>
      <c r="I64">
        <v>90</v>
      </c>
      <c r="J64">
        <v>100</v>
      </c>
      <c r="K64">
        <v>85</v>
      </c>
      <c r="L64">
        <v>100</v>
      </c>
      <c r="M64">
        <v>100</v>
      </c>
      <c r="N64">
        <v>70</v>
      </c>
      <c r="O64">
        <v>75</v>
      </c>
      <c r="P64">
        <v>55</v>
      </c>
      <c r="Q64" s="14">
        <f>IF([1]punteo!L65="",0,[1]punteo!L65)</f>
        <v>95</v>
      </c>
      <c r="R64" s="14">
        <f>IF([2]punteo!L65="",0,[2]punteo!L65)</f>
        <v>100</v>
      </c>
      <c r="S64" s="14">
        <f>IF([3]punteo!L65="",0,[3]punteo!L65)</f>
        <v>100</v>
      </c>
      <c r="T64" s="14"/>
      <c r="U64" s="14">
        <f>IF([4]punteo!L65="",0,[4]punteo!L65)</f>
        <v>0</v>
      </c>
      <c r="V64" s="14"/>
      <c r="W64">
        <f t="shared" si="0"/>
        <v>1</v>
      </c>
      <c r="X64">
        <f t="shared" si="1"/>
        <v>1</v>
      </c>
      <c r="Y64">
        <v>1</v>
      </c>
    </row>
    <row r="65" spans="1:26" x14ac:dyDescent="0.35">
      <c r="A65" s="6">
        <v>0.27777777777777779</v>
      </c>
      <c r="B65" s="13" t="s">
        <v>85</v>
      </c>
      <c r="C65">
        <v>61</v>
      </c>
      <c r="D65">
        <v>202531611</v>
      </c>
      <c r="E65" t="s">
        <v>63</v>
      </c>
      <c r="F65">
        <v>100</v>
      </c>
      <c r="G65">
        <v>0</v>
      </c>
      <c r="H65">
        <v>100</v>
      </c>
      <c r="I65">
        <v>0</v>
      </c>
      <c r="J65">
        <v>0</v>
      </c>
      <c r="K65">
        <v>0</v>
      </c>
      <c r="L65">
        <v>100</v>
      </c>
      <c r="M65">
        <v>100</v>
      </c>
      <c r="N65">
        <v>70</v>
      </c>
      <c r="O65">
        <v>45</v>
      </c>
      <c r="P65">
        <v>75</v>
      </c>
      <c r="Q65" s="14">
        <f>IF([1]punteo!L66="",0,[1]punteo!L66)</f>
        <v>0</v>
      </c>
      <c r="R65" s="14">
        <f>IF([2]punteo!L66="",0,[2]punteo!L66)</f>
        <v>0</v>
      </c>
      <c r="S65" s="14">
        <f>IF([3]punteo!L66="",0,[3]punteo!L66)</f>
        <v>100</v>
      </c>
      <c r="T65" s="14"/>
      <c r="U65" s="14">
        <f>IF([4]punteo!L66="",0,[4]punteo!L66)</f>
        <v>0</v>
      </c>
      <c r="V65" s="14"/>
      <c r="W65">
        <f t="shared" si="0"/>
        <v>1</v>
      </c>
      <c r="X65">
        <f t="shared" si="1"/>
        <v>1</v>
      </c>
      <c r="Y65">
        <v>0</v>
      </c>
    </row>
    <row r="66" spans="1:26" x14ac:dyDescent="0.35">
      <c r="C66">
        <v>62</v>
      </c>
      <c r="D66">
        <v>202531645</v>
      </c>
      <c r="E66" t="s">
        <v>64</v>
      </c>
      <c r="F66">
        <v>100</v>
      </c>
      <c r="G66">
        <v>100</v>
      </c>
      <c r="H66">
        <v>100</v>
      </c>
      <c r="I66">
        <v>90</v>
      </c>
      <c r="J66">
        <v>100</v>
      </c>
      <c r="K66">
        <v>100</v>
      </c>
      <c r="L66">
        <v>100</v>
      </c>
      <c r="M66">
        <v>0</v>
      </c>
      <c r="N66">
        <v>0</v>
      </c>
      <c r="O66">
        <v>90</v>
      </c>
      <c r="P66">
        <v>100</v>
      </c>
      <c r="Q66" s="14">
        <f>IF([1]punteo!L67="",0,[1]punteo!L67)</f>
        <v>90</v>
      </c>
      <c r="R66" s="14">
        <f>IF([2]punteo!L67="",0,[2]punteo!L67)</f>
        <v>100</v>
      </c>
      <c r="S66" s="14">
        <f>IF([3]punteo!L67="",0,[3]punteo!L67)</f>
        <v>100</v>
      </c>
      <c r="T66" s="14"/>
      <c r="U66" s="14">
        <f>IF([4]punteo!L67="",0,[4]punteo!L67)</f>
        <v>0</v>
      </c>
      <c r="V66" s="14"/>
      <c r="W66">
        <f t="shared" si="0"/>
        <v>1</v>
      </c>
      <c r="X66">
        <f t="shared" si="1"/>
        <v>1</v>
      </c>
      <c r="Y66">
        <v>0</v>
      </c>
    </row>
    <row r="67" spans="1:26" x14ac:dyDescent="0.35">
      <c r="C67">
        <v>63</v>
      </c>
      <c r="D67">
        <v>202531663</v>
      </c>
      <c r="E67" t="s">
        <v>65</v>
      </c>
      <c r="F67">
        <v>100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s="14">
        <f>IF([1]punteo!L68="",0,[1]punteo!L68)</f>
        <v>0</v>
      </c>
      <c r="R67" s="14">
        <f>IF([2]punteo!L68="",0,[2]punteo!L68)</f>
        <v>0</v>
      </c>
      <c r="S67" s="14">
        <f>IF([3]punteo!L68="",0,[3]punteo!L68)</f>
        <v>0</v>
      </c>
      <c r="T67" s="14"/>
      <c r="U67" s="14">
        <f>IF([4]punteo!L68="",0,[4]punteo!L68)</f>
        <v>0</v>
      </c>
      <c r="V67" s="14"/>
      <c r="W67">
        <f t="shared" si="0"/>
        <v>0</v>
      </c>
      <c r="X67">
        <f t="shared" si="1"/>
        <v>0</v>
      </c>
      <c r="Y67">
        <v>1</v>
      </c>
    </row>
    <row r="68" spans="1:26" x14ac:dyDescent="0.35">
      <c r="C68">
        <v>64</v>
      </c>
      <c r="D68">
        <v>202531724</v>
      </c>
      <c r="E68" t="s">
        <v>66</v>
      </c>
      <c r="F68">
        <v>100</v>
      </c>
      <c r="G68">
        <v>0</v>
      </c>
      <c r="H68">
        <v>50</v>
      </c>
      <c r="I68">
        <v>90</v>
      </c>
      <c r="J68">
        <v>40</v>
      </c>
      <c r="K68">
        <v>85</v>
      </c>
      <c r="L68">
        <v>100</v>
      </c>
      <c r="M68">
        <v>100</v>
      </c>
      <c r="N68">
        <v>70</v>
      </c>
      <c r="O68">
        <v>75</v>
      </c>
      <c r="P68">
        <v>70</v>
      </c>
      <c r="Q68" s="14">
        <f>IF([1]punteo!L69="",0,[1]punteo!L69)</f>
        <v>100</v>
      </c>
      <c r="R68" s="14">
        <f>IF([2]punteo!L69="",0,[2]punteo!L69)</f>
        <v>100</v>
      </c>
      <c r="S68" s="14">
        <f>IF([3]punteo!L69="",0,[3]punteo!L69)</f>
        <v>100</v>
      </c>
      <c r="T68" s="14"/>
      <c r="U68" s="14">
        <f>IF([4]punteo!L69="",0,[4]punteo!L69)</f>
        <v>0</v>
      </c>
      <c r="V68" s="14"/>
      <c r="W68">
        <f t="shared" si="0"/>
        <v>1</v>
      </c>
      <c r="X68">
        <f t="shared" si="1"/>
        <v>1</v>
      </c>
      <c r="Y68">
        <v>1</v>
      </c>
    </row>
    <row r="69" spans="1:26" x14ac:dyDescent="0.35">
      <c r="C69">
        <v>65</v>
      </c>
      <c r="D69">
        <v>202531736</v>
      </c>
      <c r="E69" t="s">
        <v>67</v>
      </c>
      <c r="F69">
        <v>100</v>
      </c>
      <c r="G69">
        <v>0</v>
      </c>
      <c r="H69">
        <v>100</v>
      </c>
      <c r="I69">
        <v>0</v>
      </c>
      <c r="J69">
        <v>0</v>
      </c>
      <c r="K69">
        <v>100</v>
      </c>
      <c r="L69">
        <v>100</v>
      </c>
      <c r="M69">
        <v>100</v>
      </c>
      <c r="N69">
        <v>0</v>
      </c>
      <c r="O69">
        <v>60</v>
      </c>
      <c r="P69">
        <v>65</v>
      </c>
      <c r="Q69" s="14">
        <f>IF([1]punteo!L70="",0,[1]punteo!L70)</f>
        <v>80</v>
      </c>
      <c r="R69" s="14">
        <f>IF([2]punteo!L70="",0,[2]punteo!L70)</f>
        <v>100</v>
      </c>
      <c r="S69" s="14">
        <f>IF([3]punteo!L70="",0,[3]punteo!L70)</f>
        <v>100</v>
      </c>
      <c r="T69" s="14"/>
      <c r="U69" s="14">
        <f>IF([4]punteo!L70="",0,[4]punteo!L70)</f>
        <v>0</v>
      </c>
      <c r="V69" s="14"/>
      <c r="W69">
        <f t="shared" si="0"/>
        <v>1</v>
      </c>
      <c r="X69">
        <f t="shared" si="1"/>
        <v>1</v>
      </c>
      <c r="Y69">
        <v>1</v>
      </c>
    </row>
    <row r="70" spans="1:26" x14ac:dyDescent="0.35">
      <c r="A70" s="6">
        <v>0.27777777777777779</v>
      </c>
      <c r="B70" s="13" t="s">
        <v>85</v>
      </c>
      <c r="C70">
        <v>66</v>
      </c>
      <c r="D70">
        <v>202531778</v>
      </c>
      <c r="E70" t="s">
        <v>68</v>
      </c>
      <c r="F70">
        <v>100</v>
      </c>
      <c r="G70">
        <v>0</v>
      </c>
      <c r="H70">
        <v>100</v>
      </c>
      <c r="I70">
        <v>90</v>
      </c>
      <c r="J70">
        <v>75</v>
      </c>
      <c r="K70">
        <v>85</v>
      </c>
      <c r="L70">
        <v>100</v>
      </c>
      <c r="M70">
        <v>100</v>
      </c>
      <c r="N70">
        <v>70</v>
      </c>
      <c r="O70">
        <v>90</v>
      </c>
      <c r="P70">
        <v>100</v>
      </c>
      <c r="Q70" s="14">
        <f>IF([1]punteo!L71="",0,[1]punteo!L71)</f>
        <v>100</v>
      </c>
      <c r="R70" s="14">
        <f>IF([2]punteo!L71="",0,[2]punteo!L71)</f>
        <v>100</v>
      </c>
      <c r="S70" s="14">
        <f>IF([3]punteo!L71="",0,[3]punteo!L71)</f>
        <v>100</v>
      </c>
      <c r="T70" s="14"/>
      <c r="U70" s="14">
        <f>IF([4]punteo!L71="",0,[4]punteo!L71)</f>
        <v>0</v>
      </c>
      <c r="V70" s="14"/>
      <c r="W70">
        <f t="shared" ref="W70:W77" si="2">IF(O70&gt;0,1,0)</f>
        <v>1</v>
      </c>
      <c r="X70">
        <f t="shared" ref="X70:X77" si="3">IF(P70&gt;0,1,0)</f>
        <v>1</v>
      </c>
      <c r="Y70">
        <v>0</v>
      </c>
    </row>
    <row r="71" spans="1:26" x14ac:dyDescent="0.35">
      <c r="C71">
        <v>67</v>
      </c>
      <c r="D71">
        <v>202531844</v>
      </c>
      <c r="E71" t="s">
        <v>69</v>
      </c>
      <c r="F71">
        <v>100</v>
      </c>
      <c r="G71">
        <v>0</v>
      </c>
      <c r="H71">
        <v>100</v>
      </c>
      <c r="I71">
        <v>100</v>
      </c>
      <c r="J71">
        <v>100</v>
      </c>
      <c r="K71">
        <v>100</v>
      </c>
      <c r="L71">
        <v>100</v>
      </c>
      <c r="M71">
        <v>100</v>
      </c>
      <c r="N71">
        <v>100</v>
      </c>
      <c r="O71">
        <v>0</v>
      </c>
      <c r="P71">
        <v>100</v>
      </c>
      <c r="Q71" s="14">
        <f>IF([1]punteo!L72="",0,[1]punteo!L72)</f>
        <v>0</v>
      </c>
      <c r="R71" s="14">
        <f>IF([2]punteo!L72="",0,[2]punteo!L72)</f>
        <v>0</v>
      </c>
      <c r="S71" s="14">
        <f>IF([3]punteo!L72="",0,[3]punteo!L72)</f>
        <v>0</v>
      </c>
      <c r="T71" s="14"/>
      <c r="U71" s="14">
        <f>IF([4]punteo!L72="",0,[4]punteo!L72)</f>
        <v>0</v>
      </c>
      <c r="V71" s="14"/>
      <c r="W71">
        <f t="shared" si="2"/>
        <v>0</v>
      </c>
      <c r="X71">
        <f t="shared" si="3"/>
        <v>1</v>
      </c>
      <c r="Y71">
        <v>1</v>
      </c>
    </row>
    <row r="72" spans="1:26" x14ac:dyDescent="0.35">
      <c r="C72">
        <v>68</v>
      </c>
      <c r="D72">
        <v>202531883</v>
      </c>
      <c r="E72" t="s">
        <v>70</v>
      </c>
      <c r="F72">
        <v>100</v>
      </c>
      <c r="G72">
        <v>0</v>
      </c>
      <c r="H72">
        <v>100</v>
      </c>
      <c r="I72">
        <v>100</v>
      </c>
      <c r="J72">
        <v>85</v>
      </c>
      <c r="K72">
        <v>100</v>
      </c>
      <c r="L72">
        <v>100</v>
      </c>
      <c r="M72">
        <v>100</v>
      </c>
      <c r="N72">
        <v>90</v>
      </c>
      <c r="O72">
        <v>95</v>
      </c>
      <c r="P72">
        <v>85</v>
      </c>
      <c r="Q72" s="14">
        <f>IF([1]punteo!L73="",0,[1]punteo!L73)</f>
        <v>95</v>
      </c>
      <c r="R72" s="14">
        <f>IF([2]punteo!L73="",0,[2]punteo!L73)</f>
        <v>0</v>
      </c>
      <c r="S72" s="14">
        <f>IF([3]punteo!L73="",0,[3]punteo!L73)</f>
        <v>100</v>
      </c>
      <c r="T72" s="14"/>
      <c r="U72" s="14">
        <f>IF([4]punteo!L73="",0,[4]punteo!L73)</f>
        <v>100</v>
      </c>
      <c r="V72" s="14"/>
      <c r="W72">
        <f t="shared" si="2"/>
        <v>1</v>
      </c>
      <c r="X72">
        <f t="shared" si="3"/>
        <v>1</v>
      </c>
      <c r="Y72">
        <v>0</v>
      </c>
    </row>
    <row r="73" spans="1:26" x14ac:dyDescent="0.35">
      <c r="C73">
        <v>69</v>
      </c>
      <c r="D73">
        <v>202531947</v>
      </c>
      <c r="E73" t="s">
        <v>71</v>
      </c>
      <c r="F73">
        <v>100</v>
      </c>
      <c r="G73">
        <v>0</v>
      </c>
      <c r="H73">
        <v>100</v>
      </c>
      <c r="I73">
        <v>0</v>
      </c>
      <c r="J73">
        <v>85</v>
      </c>
      <c r="K73">
        <v>75</v>
      </c>
      <c r="L73">
        <v>100</v>
      </c>
      <c r="M73">
        <v>100</v>
      </c>
      <c r="N73">
        <v>50</v>
      </c>
      <c r="O73">
        <v>90</v>
      </c>
      <c r="P73">
        <v>70</v>
      </c>
      <c r="Q73" s="14">
        <f>IF([1]punteo!L74="",0,[1]punteo!L74)</f>
        <v>0</v>
      </c>
      <c r="R73" s="14">
        <f>IF([2]punteo!L74="",0,[2]punteo!L74)</f>
        <v>0</v>
      </c>
      <c r="S73" s="14">
        <f>IF([3]punteo!L74="",0,[3]punteo!L74)</f>
        <v>0</v>
      </c>
      <c r="T73" s="14"/>
      <c r="U73" s="14">
        <f>IF([4]punteo!L74="",0,[4]punteo!L74)</f>
        <v>0</v>
      </c>
      <c r="V73" s="14"/>
      <c r="W73">
        <f t="shared" si="2"/>
        <v>1</v>
      </c>
      <c r="X73">
        <f t="shared" si="3"/>
        <v>1</v>
      </c>
      <c r="Y73">
        <v>1</v>
      </c>
    </row>
    <row r="74" spans="1:26" x14ac:dyDescent="0.35">
      <c r="A74" s="6">
        <v>0.27777777777777779</v>
      </c>
      <c r="B74" s="13" t="s">
        <v>85</v>
      </c>
      <c r="C74">
        <v>70</v>
      </c>
      <c r="D74">
        <v>202532062</v>
      </c>
      <c r="E74" t="s">
        <v>72</v>
      </c>
      <c r="F74">
        <v>0</v>
      </c>
      <c r="G74">
        <v>0</v>
      </c>
      <c r="H74">
        <v>100</v>
      </c>
      <c r="I74">
        <v>0</v>
      </c>
      <c r="J74">
        <v>85</v>
      </c>
      <c r="K74">
        <v>0</v>
      </c>
      <c r="L74">
        <v>100</v>
      </c>
      <c r="M74">
        <v>100</v>
      </c>
      <c r="N74">
        <v>50</v>
      </c>
      <c r="O74">
        <v>0</v>
      </c>
      <c r="P74">
        <v>20</v>
      </c>
      <c r="Q74" s="14">
        <f>IF([1]punteo!L75="",0,[1]punteo!L75)</f>
        <v>100</v>
      </c>
      <c r="R74" s="14">
        <f>IF([2]punteo!L75="",0,[2]punteo!L75)</f>
        <v>100</v>
      </c>
      <c r="S74" s="14">
        <f>IF([3]punteo!L75="",0,[3]punteo!L75)</f>
        <v>100</v>
      </c>
      <c r="T74" s="14"/>
      <c r="U74" s="14">
        <f>IF([4]punteo!L75="",0,[4]punteo!L75)</f>
        <v>0</v>
      </c>
      <c r="V74" s="14"/>
      <c r="W74">
        <f t="shared" si="2"/>
        <v>0</v>
      </c>
      <c r="X74">
        <f t="shared" si="3"/>
        <v>1</v>
      </c>
      <c r="Y74">
        <v>0</v>
      </c>
    </row>
    <row r="75" spans="1:26" x14ac:dyDescent="0.35">
      <c r="C75">
        <v>71</v>
      </c>
      <c r="D75">
        <v>202532079</v>
      </c>
      <c r="E75" t="s">
        <v>73</v>
      </c>
      <c r="F75">
        <v>0</v>
      </c>
      <c r="G75">
        <v>0</v>
      </c>
      <c r="H75">
        <v>100</v>
      </c>
      <c r="I75">
        <v>0</v>
      </c>
      <c r="J75">
        <v>0</v>
      </c>
      <c r="K75">
        <v>50</v>
      </c>
      <c r="L75">
        <v>0</v>
      </c>
      <c r="M75">
        <v>0</v>
      </c>
      <c r="N75">
        <v>0</v>
      </c>
      <c r="O75">
        <v>0</v>
      </c>
      <c r="P75">
        <v>0</v>
      </c>
      <c r="Q75" s="14">
        <f>IF([1]punteo!L76="",0,[1]punteo!L76)</f>
        <v>0</v>
      </c>
      <c r="R75" s="14">
        <f>IF([2]punteo!L76="",0,[2]punteo!L76)</f>
        <v>0</v>
      </c>
      <c r="S75" s="14">
        <f>IF([3]punteo!L76="",0,[3]punteo!L76)</f>
        <v>0</v>
      </c>
      <c r="T75" s="14"/>
      <c r="U75" s="14">
        <f>IF([4]punteo!L76="",0,[4]punteo!L76)</f>
        <v>0</v>
      </c>
      <c r="V75" s="14"/>
      <c r="W75">
        <f t="shared" si="2"/>
        <v>0</v>
      </c>
      <c r="X75">
        <f t="shared" si="3"/>
        <v>0</v>
      </c>
      <c r="Y75">
        <v>0</v>
      </c>
    </row>
    <row r="76" spans="1:26" x14ac:dyDescent="0.35">
      <c r="B76" s="1" t="s">
        <v>79</v>
      </c>
      <c r="C76">
        <v>72</v>
      </c>
      <c r="D76">
        <v>202530466</v>
      </c>
      <c r="E76" t="s">
        <v>78</v>
      </c>
      <c r="F76">
        <v>100</v>
      </c>
      <c r="G76">
        <v>0</v>
      </c>
      <c r="H76">
        <v>100</v>
      </c>
      <c r="I76">
        <v>100</v>
      </c>
      <c r="J76">
        <v>100</v>
      </c>
      <c r="K76">
        <v>100</v>
      </c>
      <c r="L76">
        <v>100</v>
      </c>
      <c r="M76">
        <v>100</v>
      </c>
      <c r="N76">
        <v>100</v>
      </c>
      <c r="O76">
        <v>100</v>
      </c>
      <c r="P76">
        <v>100</v>
      </c>
      <c r="Q76" s="14">
        <f>IF([1]punteo!L77="",0,[1]punteo!L77)</f>
        <v>100</v>
      </c>
      <c r="R76" s="14">
        <f>IF([2]punteo!L77="",0,[2]punteo!L77)</f>
        <v>100</v>
      </c>
      <c r="S76" s="14">
        <f>IF([3]punteo!L77="",0,[3]punteo!L77)</f>
        <v>100</v>
      </c>
      <c r="T76" s="14"/>
      <c r="U76" s="14">
        <f>IF([4]punteo!L77="",0,[4]punteo!L77)</f>
        <v>0</v>
      </c>
      <c r="V76" s="14"/>
      <c r="W76">
        <f t="shared" si="2"/>
        <v>1</v>
      </c>
      <c r="X76">
        <f t="shared" si="3"/>
        <v>1</v>
      </c>
      <c r="Y76">
        <v>0</v>
      </c>
    </row>
    <row r="77" spans="1:26" x14ac:dyDescent="0.35">
      <c r="B77" s="1" t="s">
        <v>79</v>
      </c>
      <c r="C77">
        <v>73</v>
      </c>
      <c r="D77">
        <v>202030192</v>
      </c>
      <c r="E77" t="s">
        <v>80</v>
      </c>
      <c r="F77">
        <v>0</v>
      </c>
      <c r="G77">
        <v>0</v>
      </c>
      <c r="H77">
        <v>50</v>
      </c>
      <c r="I77">
        <v>75</v>
      </c>
      <c r="J77">
        <v>0</v>
      </c>
      <c r="K77">
        <v>100</v>
      </c>
      <c r="L77">
        <v>100</v>
      </c>
      <c r="M77">
        <v>100</v>
      </c>
      <c r="N77">
        <v>100</v>
      </c>
      <c r="O77">
        <v>85</v>
      </c>
      <c r="P77">
        <v>0</v>
      </c>
      <c r="Q77" s="14">
        <f>IF([1]punteo!L78="",0,[1]punteo!L78)</f>
        <v>0</v>
      </c>
      <c r="R77" s="14">
        <f>IF([2]punteo!L78="",0,[2]punteo!L78)</f>
        <v>0</v>
      </c>
      <c r="S77" s="14">
        <f>IF([3]punteo!L78="",0,[3]punteo!L78)</f>
        <v>0</v>
      </c>
      <c r="T77" s="14"/>
      <c r="U77" s="14">
        <f>IF([4]punteo!L78="",0,[4]punteo!L78)</f>
        <v>0</v>
      </c>
      <c r="V77" s="14"/>
      <c r="W77">
        <f t="shared" si="2"/>
        <v>1</v>
      </c>
      <c r="X77">
        <f t="shared" si="3"/>
        <v>0</v>
      </c>
      <c r="Y77">
        <v>0</v>
      </c>
    </row>
    <row r="78" spans="1:26" x14ac:dyDescent="0.35">
      <c r="C78" s="8" t="s">
        <v>74</v>
      </c>
      <c r="D78" s="9"/>
      <c r="E78" s="9"/>
      <c r="F78" s="10">
        <f t="shared" ref="F78:N78" si="4">COUNTIF(F5:F77,"&gt;0")</f>
        <v>49</v>
      </c>
      <c r="G78" s="10">
        <f t="shared" si="4"/>
        <v>11</v>
      </c>
      <c r="H78" s="10">
        <f t="shared" si="4"/>
        <v>59</v>
      </c>
      <c r="I78" s="10">
        <f t="shared" si="4"/>
        <v>46</v>
      </c>
      <c r="J78" s="10">
        <f t="shared" si="4"/>
        <v>52</v>
      </c>
      <c r="K78" s="10">
        <f t="shared" si="4"/>
        <v>52</v>
      </c>
      <c r="L78" s="10">
        <f t="shared" si="4"/>
        <v>60</v>
      </c>
      <c r="M78" s="10">
        <f t="shared" si="4"/>
        <v>61</v>
      </c>
      <c r="N78" s="10">
        <f t="shared" si="4"/>
        <v>57</v>
      </c>
      <c r="O78" s="10">
        <f>COUNTIF(O5:O77,"&gt;0")</f>
        <v>52</v>
      </c>
      <c r="P78" s="11">
        <f>COUNTIF(P5:P77,"&gt;0")</f>
        <v>60</v>
      </c>
      <c r="Q78" s="11">
        <f>COUNTIF(Q5:Q77,"&gt;0")</f>
        <v>49</v>
      </c>
      <c r="R78" s="11">
        <f t="shared" ref="R78:S78" si="5">COUNTIF(R5:R77,"&gt;0")</f>
        <v>41</v>
      </c>
      <c r="S78" s="11">
        <f t="shared" si="5"/>
        <v>52</v>
      </c>
      <c r="T78" s="10"/>
      <c r="U78" s="9"/>
      <c r="V78" s="9"/>
      <c r="W78" s="9"/>
      <c r="X78" s="9"/>
      <c r="Y78" s="9"/>
      <c r="Z78" s="12"/>
    </row>
  </sheetData>
  <mergeCells count="1">
    <mergeCell ref="Y2:Z2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2025-10-27T08:35:59Z</dcterms:modified>
</cp:coreProperties>
</file>